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lgh-financial-model\"/>
    </mc:Choice>
  </mc:AlternateContent>
  <xr:revisionPtr revIDLastSave="0" documentId="13_ncr:20001_{044C707B-EAF0-4148-8D2D-9B7B6559FF5A}" xr6:coauthVersionLast="47" xr6:coauthVersionMax="47" xr10:uidLastSave="{00000000-0000-0000-0000-000000000000}"/>
  <bookViews>
    <workbookView xWindow="-110" yWindow="-110" windowWidth="25820" windowHeight="15500" tabRatio="953" xr2:uid="{00000000-000D-0000-FFFF-FFFF00000000}"/>
  </bookViews>
  <sheets>
    <sheet name="registry" sheetId="1" r:id="rId1"/>
    <sheet name="c12_inputs" sheetId="2" r:id="rId2"/>
    <sheet name="c12_oc" sheetId="3" r:id="rId3"/>
    <sheet name="c12_sk" sheetId="4" r:id="rId4"/>
    <sheet name="c12_bs" sheetId="5" r:id="rId5"/>
    <sheet name="c12_hm" sheetId="6" r:id="rId6"/>
    <sheet name="c12_d&amp;s" sheetId="7" r:id="rId7"/>
    <sheet name="c12_bi&amp;F" sheetId="8" r:id="rId8"/>
    <sheet name=".c12_inputs.hr" sheetId="9" r:id="rId9"/>
    <sheet name=".c12_oc_hr" sheetId="10" r:id="rId10"/>
    <sheet name=".c12_hm_hr" sheetId="11" r:id="rId11"/>
    <sheet name=".c12_d&amp;s_hr" sheetId="12" r:id="rId12"/>
    <sheet name=".c12_bi&amp;f_hr" sheetId="13" r:id="rId13"/>
    <sheet name=".c12_alloc" sheetId="14" r:id="rId14"/>
    <sheet name="c12_diags" sheetId="15" r:id="rId15"/>
  </sheets>
  <definedNames>
    <definedName name="DepartmentNum">'.c12_inputs.hr'!$E$4</definedName>
    <definedName name="_xlnm.Print_Area" localSheetId="0">registry!$T$38:$U$76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" i="1" l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2" i="1"/>
  <c r="G102" i="1"/>
  <c r="H102" i="1"/>
  <c r="I102" i="1"/>
  <c r="J102" i="1"/>
  <c r="K102" i="1"/>
  <c r="L102" i="1"/>
  <c r="F95" i="1"/>
  <c r="G95" i="1"/>
  <c r="H95" i="1"/>
  <c r="I95" i="1"/>
  <c r="J95" i="1"/>
  <c r="K95" i="1"/>
  <c r="L95" i="1"/>
  <c r="F83" i="1"/>
  <c r="G83" i="1"/>
  <c r="H83" i="1"/>
  <c r="I83" i="1"/>
  <c r="J83" i="1"/>
  <c r="K83" i="1"/>
  <c r="L83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O34" i="15"/>
  <c r="N34" i="15"/>
  <c r="M34" i="15"/>
  <c r="O33" i="15"/>
  <c r="N33" i="15"/>
  <c r="M33" i="15"/>
  <c r="O32" i="15"/>
  <c r="N32" i="15"/>
  <c r="M32" i="15"/>
  <c r="O31" i="15"/>
  <c r="N31" i="15"/>
  <c r="M31" i="15"/>
  <c r="O30" i="15"/>
  <c r="N30" i="15"/>
  <c r="M30" i="15"/>
  <c r="O29" i="15"/>
  <c r="N29" i="15"/>
  <c r="M29" i="15"/>
  <c r="O28" i="15"/>
  <c r="N28" i="15"/>
  <c r="M28" i="15"/>
  <c r="O27" i="15"/>
  <c r="N27" i="15"/>
  <c r="M27" i="15"/>
  <c r="O26" i="15"/>
  <c r="N26" i="15"/>
  <c r="M26" i="15"/>
  <c r="O25" i="15"/>
  <c r="N25" i="15"/>
  <c r="M25" i="15"/>
  <c r="O24" i="15"/>
  <c r="N24" i="15"/>
  <c r="M24" i="15"/>
  <c r="O23" i="15"/>
  <c r="N23" i="15"/>
  <c r="M23" i="15"/>
  <c r="O22" i="15"/>
  <c r="N22" i="15"/>
  <c r="M22" i="15"/>
  <c r="O21" i="15"/>
  <c r="N21" i="15"/>
  <c r="M21" i="15"/>
  <c r="O20" i="15"/>
  <c r="N20" i="15"/>
  <c r="M20" i="15"/>
  <c r="O19" i="15"/>
  <c r="N19" i="15"/>
  <c r="M19" i="15"/>
  <c r="O18" i="15"/>
  <c r="N18" i="15"/>
  <c r="M18" i="15"/>
  <c r="O17" i="15"/>
  <c r="N17" i="15"/>
  <c r="M17" i="15"/>
  <c r="O16" i="15"/>
  <c r="N16" i="15"/>
  <c r="M16" i="15"/>
  <c r="O15" i="15"/>
  <c r="N15" i="15"/>
  <c r="M15" i="15"/>
  <c r="O14" i="15"/>
  <c r="N14" i="15"/>
  <c r="M14" i="15"/>
  <c r="O13" i="15"/>
  <c r="N13" i="15"/>
  <c r="M13" i="15"/>
  <c r="O12" i="15"/>
  <c r="N12" i="15"/>
  <c r="M12" i="15"/>
  <c r="O11" i="15"/>
  <c r="N11" i="15"/>
  <c r="M11" i="15"/>
  <c r="O10" i="15"/>
  <c r="N10" i="15"/>
  <c r="M10" i="15"/>
  <c r="O9" i="15"/>
  <c r="N9" i="15"/>
  <c r="M9" i="15"/>
  <c r="O8" i="15"/>
  <c r="N8" i="15"/>
  <c r="M8" i="15"/>
  <c r="O7" i="15"/>
  <c r="N7" i="15"/>
  <c r="M7" i="15"/>
  <c r="O6" i="15"/>
  <c r="N6" i="15"/>
  <c r="M6" i="15"/>
  <c r="O5" i="15"/>
  <c r="N5" i="15"/>
  <c r="M5" i="15"/>
  <c r="H49" i="14"/>
  <c r="G49" i="14"/>
  <c r="F49" i="14"/>
  <c r="E49" i="14"/>
  <c r="H48" i="14"/>
  <c r="G48" i="14"/>
  <c r="F48" i="14"/>
  <c r="E48" i="14"/>
  <c r="H47" i="14"/>
  <c r="G47" i="14"/>
  <c r="F47" i="14"/>
  <c r="E47" i="14"/>
  <c r="H46" i="14"/>
  <c r="G46" i="14"/>
  <c r="F46" i="14"/>
  <c r="E46" i="14"/>
  <c r="H45" i="14"/>
  <c r="G45" i="14"/>
  <c r="F45" i="14"/>
  <c r="E45" i="14"/>
  <c r="H44" i="14"/>
  <c r="G44" i="14"/>
  <c r="F44" i="14"/>
  <c r="E44" i="14"/>
  <c r="H43" i="14"/>
  <c r="G43" i="14"/>
  <c r="F43" i="14"/>
  <c r="E43" i="14"/>
  <c r="H42" i="14"/>
  <c r="G42" i="14"/>
  <c r="F42" i="14"/>
  <c r="E42" i="14"/>
  <c r="H41" i="14"/>
  <c r="G41" i="14"/>
  <c r="F41" i="14"/>
  <c r="E41" i="14"/>
  <c r="H40" i="14"/>
  <c r="G40" i="14"/>
  <c r="F40" i="14"/>
  <c r="E40" i="14"/>
  <c r="H39" i="14"/>
  <c r="G39" i="14"/>
  <c r="F39" i="14"/>
  <c r="E39" i="14"/>
  <c r="H38" i="14"/>
  <c r="G38" i="14"/>
  <c r="F38" i="14"/>
  <c r="E38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6" i="14"/>
  <c r="G16" i="14"/>
  <c r="F16" i="14"/>
  <c r="E16" i="14"/>
  <c r="H15" i="14"/>
  <c r="G15" i="14"/>
  <c r="F15" i="14"/>
  <c r="E15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L51" i="13"/>
  <c r="L50" i="13"/>
  <c r="L49" i="13"/>
  <c r="L48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A47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A46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A45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A44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A43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A42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A41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A40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A39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A38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A37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A36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W44" i="12"/>
  <c r="V44" i="12"/>
  <c r="U44" i="12"/>
  <c r="T44" i="12"/>
  <c r="S44" i="12"/>
  <c r="R44" i="12"/>
  <c r="Q44" i="12"/>
  <c r="P44" i="12"/>
  <c r="O44" i="12"/>
  <c r="N44" i="12"/>
  <c r="M44" i="12"/>
  <c r="L44" i="12"/>
  <c r="A44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A43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A42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A41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A40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A39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A38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A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A36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A35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A34" i="12"/>
  <c r="A30" i="12"/>
  <c r="A29" i="12"/>
  <c r="A28" i="12"/>
  <c r="A27" i="12"/>
  <c r="A26" i="12"/>
  <c r="A25" i="12"/>
  <c r="A24" i="12"/>
  <c r="A23" i="12"/>
  <c r="A22" i="12"/>
  <c r="A21" i="12"/>
  <c r="A20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W29" i="11"/>
  <c r="V29" i="11"/>
  <c r="U29" i="11"/>
  <c r="T29" i="11"/>
  <c r="S29" i="11"/>
  <c r="R29" i="11"/>
  <c r="Q29" i="11"/>
  <c r="P29" i="11"/>
  <c r="O29" i="11"/>
  <c r="N29" i="11"/>
  <c r="M29" i="11"/>
  <c r="L29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A20" i="11"/>
  <c r="A29" i="11" s="1"/>
  <c r="A19" i="11"/>
  <c r="A28" i="11" s="1"/>
  <c r="A18" i="11"/>
  <c r="A27" i="11" s="1"/>
  <c r="A17" i="11"/>
  <c r="A26" i="11" s="1"/>
  <c r="A16" i="11"/>
  <c r="A25" i="11" s="1"/>
  <c r="A15" i="11"/>
  <c r="A24" i="11" s="1"/>
  <c r="W12" i="11"/>
  <c r="V12" i="11"/>
  <c r="U12" i="11"/>
  <c r="T12" i="11"/>
  <c r="S12" i="11"/>
  <c r="R12" i="11"/>
  <c r="Q12" i="11"/>
  <c r="P12" i="11"/>
  <c r="O12" i="11"/>
  <c r="N12" i="11"/>
  <c r="M12" i="11"/>
  <c r="L12" i="11"/>
  <c r="W28" i="10"/>
  <c r="V28" i="10"/>
  <c r="U28" i="10"/>
  <c r="T28" i="10"/>
  <c r="S28" i="10"/>
  <c r="R28" i="10"/>
  <c r="Q28" i="10"/>
  <c r="P28" i="10"/>
  <c r="O28" i="10"/>
  <c r="N28" i="10"/>
  <c r="M28" i="10"/>
  <c r="L28" i="10"/>
  <c r="A28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A27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A26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A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A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A23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A19" i="10"/>
  <c r="A18" i="10"/>
  <c r="A17" i="10"/>
  <c r="A16" i="10"/>
  <c r="A15" i="10"/>
  <c r="A14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L80" i="8"/>
  <c r="L79" i="8"/>
  <c r="L78" i="8"/>
  <c r="L77" i="8"/>
  <c r="S67" i="8"/>
  <c r="R67" i="8"/>
  <c r="Q67" i="8"/>
  <c r="P67" i="8"/>
  <c r="O67" i="8"/>
  <c r="N67" i="8"/>
  <c r="M67" i="8"/>
  <c r="L67" i="8"/>
  <c r="S64" i="8"/>
  <c r="R64" i="8"/>
  <c r="Q64" i="8"/>
  <c r="P64" i="8"/>
  <c r="O64" i="8"/>
  <c r="N64" i="8"/>
  <c r="M64" i="8"/>
  <c r="L64" i="8"/>
  <c r="P57" i="8"/>
  <c r="P58" i="8" s="1"/>
  <c r="P69" i="8" s="1"/>
  <c r="O57" i="8"/>
  <c r="O58" i="8" s="1"/>
  <c r="O69" i="8" s="1"/>
  <c r="N57" i="8"/>
  <c r="N58" i="8" s="1"/>
  <c r="N69" i="8" s="1"/>
  <c r="M57" i="8"/>
  <c r="L57" i="8"/>
  <c r="S56" i="8"/>
  <c r="R56" i="8"/>
  <c r="Q56" i="8"/>
  <c r="P56" i="8"/>
  <c r="O56" i="8"/>
  <c r="N56" i="8"/>
  <c r="M56" i="8"/>
  <c r="L56" i="8"/>
  <c r="L48" i="8"/>
  <c r="L50" i="8" s="1"/>
  <c r="M50" i="8" s="1"/>
  <c r="N50" i="8" s="1"/>
  <c r="O50" i="8" s="1"/>
  <c r="P50" i="8" s="1"/>
  <c r="Q50" i="8" s="1"/>
  <c r="R50" i="8" s="1"/>
  <c r="S50" i="8" s="1"/>
  <c r="O46" i="8"/>
  <c r="O52" i="8" s="1"/>
  <c r="O53" i="8" s="1"/>
  <c r="N46" i="8"/>
  <c r="N52" i="8" s="1"/>
  <c r="N53" i="8" s="1"/>
  <c r="M46" i="8"/>
  <c r="M52" i="8" s="1"/>
  <c r="M53" i="8" s="1"/>
  <c r="L46" i="8"/>
  <c r="L52" i="8" s="1"/>
  <c r="L53" i="8" s="1"/>
  <c r="Q39" i="8"/>
  <c r="R39" i="8" s="1"/>
  <c r="S39" i="8" s="1"/>
  <c r="S36" i="8"/>
  <c r="R36" i="8"/>
  <c r="Q36" i="8"/>
  <c r="P36" i="8"/>
  <c r="S35" i="8"/>
  <c r="S46" i="8" s="1"/>
  <c r="S52" i="8" s="1"/>
  <c r="S53" i="8" s="1"/>
  <c r="R35" i="8"/>
  <c r="R46" i="8" s="1"/>
  <c r="R52" i="8" s="1"/>
  <c r="R53" i="8" s="1"/>
  <c r="Q35" i="8"/>
  <c r="Q46" i="8" s="1"/>
  <c r="Q52" i="8" s="1"/>
  <c r="Q53" i="8" s="1"/>
  <c r="P35" i="8"/>
  <c r="P46" i="8" s="1"/>
  <c r="P52" i="8" s="1"/>
  <c r="P53" i="8" s="1"/>
  <c r="L29" i="8"/>
  <c r="S25" i="8"/>
  <c r="S31" i="8" s="1"/>
  <c r="S32" i="8" s="1"/>
  <c r="R25" i="8"/>
  <c r="R31" i="8" s="1"/>
  <c r="R32" i="8" s="1"/>
  <c r="Q25" i="8"/>
  <c r="Q31" i="8" s="1"/>
  <c r="Q32" i="8" s="1"/>
  <c r="P25" i="8"/>
  <c r="P31" i="8" s="1"/>
  <c r="P32" i="8" s="1"/>
  <c r="O25" i="8"/>
  <c r="O31" i="8" s="1"/>
  <c r="O32" i="8" s="1"/>
  <c r="N25" i="8"/>
  <c r="N31" i="8" s="1"/>
  <c r="N32" i="8" s="1"/>
  <c r="M25" i="8"/>
  <c r="M31" i="8" s="1"/>
  <c r="M32" i="8" s="1"/>
  <c r="L25" i="8"/>
  <c r="L31" i="8" s="1"/>
  <c r="L32" i="8" s="1"/>
  <c r="S67" i="7"/>
  <c r="R67" i="7"/>
  <c r="Q67" i="7"/>
  <c r="P67" i="7"/>
  <c r="O67" i="7"/>
  <c r="N67" i="7"/>
  <c r="M67" i="7"/>
  <c r="L67" i="7"/>
  <c r="S64" i="7"/>
  <c r="R64" i="7"/>
  <c r="Q64" i="7"/>
  <c r="P64" i="7"/>
  <c r="O64" i="7"/>
  <c r="N64" i="7"/>
  <c r="M64" i="7"/>
  <c r="L64" i="7"/>
  <c r="P57" i="7"/>
  <c r="P58" i="7" s="1"/>
  <c r="O57" i="7"/>
  <c r="O58" i="7" s="1"/>
  <c r="N57" i="7"/>
  <c r="N58" i="7" s="1"/>
  <c r="M57" i="7"/>
  <c r="L57" i="7"/>
  <c r="S56" i="7"/>
  <c r="R56" i="7"/>
  <c r="Q56" i="7"/>
  <c r="P56" i="7"/>
  <c r="O56" i="7"/>
  <c r="N56" i="7"/>
  <c r="M56" i="7"/>
  <c r="L56" i="7"/>
  <c r="P40" i="7"/>
  <c r="Q40" i="7" s="1"/>
  <c r="R40" i="7" s="1"/>
  <c r="S40" i="7" s="1"/>
  <c r="O40" i="7"/>
  <c r="N40" i="7"/>
  <c r="M40" i="7"/>
  <c r="R38" i="7"/>
  <c r="S38" i="7" s="1"/>
  <c r="Q38" i="7"/>
  <c r="S37" i="7"/>
  <c r="R37" i="7"/>
  <c r="Q37" i="7"/>
  <c r="P37" i="7"/>
  <c r="O37" i="7"/>
  <c r="N37" i="7"/>
  <c r="M37" i="7"/>
  <c r="L37" i="7"/>
  <c r="S36" i="7"/>
  <c r="R36" i="7"/>
  <c r="Q36" i="7"/>
  <c r="P36" i="7"/>
  <c r="O36" i="7"/>
  <c r="O48" i="7" s="1"/>
  <c r="N36" i="7"/>
  <c r="N48" i="7" s="1"/>
  <c r="M36" i="7"/>
  <c r="M48" i="7" s="1"/>
  <c r="L36" i="7"/>
  <c r="L48" i="7" s="1"/>
  <c r="L50" i="7" s="1"/>
  <c r="S35" i="7"/>
  <c r="S46" i="7" s="1"/>
  <c r="S52" i="7" s="1"/>
  <c r="S53" i="7" s="1"/>
  <c r="R35" i="7"/>
  <c r="R46" i="7" s="1"/>
  <c r="R52" i="7" s="1"/>
  <c r="R53" i="7" s="1"/>
  <c r="Q35" i="7"/>
  <c r="Q46" i="7" s="1"/>
  <c r="Q52" i="7" s="1"/>
  <c r="Q53" i="7" s="1"/>
  <c r="P35" i="7"/>
  <c r="P46" i="7" s="1"/>
  <c r="P52" i="7" s="1"/>
  <c r="P53" i="7" s="1"/>
  <c r="O35" i="7"/>
  <c r="O46" i="7" s="1"/>
  <c r="O52" i="7" s="1"/>
  <c r="O53" i="7" s="1"/>
  <c r="N35" i="7"/>
  <c r="N46" i="7" s="1"/>
  <c r="N52" i="7" s="1"/>
  <c r="N53" i="7" s="1"/>
  <c r="M35" i="7"/>
  <c r="M46" i="7" s="1"/>
  <c r="M52" i="7" s="1"/>
  <c r="M53" i="7" s="1"/>
  <c r="L35" i="7"/>
  <c r="L46" i="7" s="1"/>
  <c r="L52" i="7" s="1"/>
  <c r="L53" i="7" s="1"/>
  <c r="Q27" i="7"/>
  <c r="M27" i="7"/>
  <c r="L27" i="7"/>
  <c r="L29" i="7" s="1"/>
  <c r="L62" i="7" s="1"/>
  <c r="L67" i="3" s="1"/>
  <c r="M25" i="7"/>
  <c r="M31" i="7" s="1"/>
  <c r="M32" i="7" s="1"/>
  <c r="L25" i="7"/>
  <c r="L31" i="7" s="1"/>
  <c r="L32" i="7" s="1"/>
  <c r="S23" i="7"/>
  <c r="S15" i="7"/>
  <c r="R15" i="7"/>
  <c r="Q15" i="7"/>
  <c r="P15" i="7"/>
  <c r="O15" i="7"/>
  <c r="N15" i="7"/>
  <c r="O14" i="7"/>
  <c r="O25" i="7" s="1"/>
  <c r="O31" i="7" s="1"/>
  <c r="O32" i="7" s="1"/>
  <c r="N14" i="7"/>
  <c r="S12" i="7"/>
  <c r="R12" i="7"/>
  <c r="Q12" i="7"/>
  <c r="P12" i="7"/>
  <c r="N8" i="7"/>
  <c r="N25" i="7" s="1"/>
  <c r="N31" i="7" s="1"/>
  <c r="N32" i="7" s="1"/>
  <c r="S67" i="6"/>
  <c r="R67" i="6"/>
  <c r="Q67" i="6"/>
  <c r="P67" i="6"/>
  <c r="O67" i="6"/>
  <c r="N67" i="6"/>
  <c r="M67" i="6"/>
  <c r="L67" i="6"/>
  <c r="S64" i="6"/>
  <c r="R64" i="6"/>
  <c r="Q64" i="6"/>
  <c r="P64" i="6"/>
  <c r="O64" i="6"/>
  <c r="N64" i="6"/>
  <c r="M64" i="6"/>
  <c r="L64" i="6"/>
  <c r="P57" i="6"/>
  <c r="P58" i="6" s="1"/>
  <c r="O57" i="6"/>
  <c r="O58" i="6" s="1"/>
  <c r="N57" i="6"/>
  <c r="N58" i="6" s="1"/>
  <c r="M57" i="6"/>
  <c r="L57" i="6"/>
  <c r="S56" i="6"/>
  <c r="R56" i="6"/>
  <c r="Q56" i="6"/>
  <c r="P56" i="6"/>
  <c r="O56" i="6"/>
  <c r="N56" i="6"/>
  <c r="M56" i="6"/>
  <c r="L56" i="6"/>
  <c r="L50" i="6"/>
  <c r="M50" i="6" s="1"/>
  <c r="N50" i="6" s="1"/>
  <c r="O50" i="6" s="1"/>
  <c r="P50" i="6" s="1"/>
  <c r="S48" i="6"/>
  <c r="R48" i="6"/>
  <c r="Q48" i="6"/>
  <c r="S46" i="6"/>
  <c r="S52" i="6" s="1"/>
  <c r="S53" i="6" s="1"/>
  <c r="R46" i="6"/>
  <c r="R52" i="6" s="1"/>
  <c r="R53" i="6" s="1"/>
  <c r="Q46" i="6"/>
  <c r="Q52" i="6" s="1"/>
  <c r="Q53" i="6" s="1"/>
  <c r="P46" i="6"/>
  <c r="P52" i="6" s="1"/>
  <c r="P53" i="6" s="1"/>
  <c r="O36" i="6"/>
  <c r="N36" i="6"/>
  <c r="M36" i="6"/>
  <c r="L36" i="6"/>
  <c r="O35" i="6"/>
  <c r="O46" i="6" s="1"/>
  <c r="O52" i="6" s="1"/>
  <c r="O53" i="6" s="1"/>
  <c r="N35" i="6"/>
  <c r="N46" i="6" s="1"/>
  <c r="N52" i="6" s="1"/>
  <c r="N53" i="6" s="1"/>
  <c r="M35" i="6"/>
  <c r="M46" i="6" s="1"/>
  <c r="M52" i="6" s="1"/>
  <c r="M53" i="6" s="1"/>
  <c r="L35" i="6"/>
  <c r="L46" i="6" s="1"/>
  <c r="L52" i="6" s="1"/>
  <c r="L53" i="6" s="1"/>
  <c r="O9" i="6"/>
  <c r="N9" i="6"/>
  <c r="N27" i="6" s="1"/>
  <c r="M9" i="6"/>
  <c r="M27" i="6" s="1"/>
  <c r="L9" i="6"/>
  <c r="L27" i="6" s="1"/>
  <c r="L29" i="6" s="1"/>
  <c r="L62" i="6" s="1"/>
  <c r="L65" i="3" s="1"/>
  <c r="S8" i="6"/>
  <c r="R8" i="6"/>
  <c r="Q8" i="6"/>
  <c r="P8" i="6"/>
  <c r="O8" i="6"/>
  <c r="N8" i="6"/>
  <c r="M8" i="6"/>
  <c r="L8" i="6"/>
  <c r="O7" i="6"/>
  <c r="P7" i="6" s="1"/>
  <c r="Q7" i="6" s="1"/>
  <c r="N7" i="6"/>
  <c r="M7" i="6"/>
  <c r="L7" i="6"/>
  <c r="S6" i="6"/>
  <c r="R6" i="6"/>
  <c r="Q6" i="6"/>
  <c r="P6" i="6"/>
  <c r="O6" i="6"/>
  <c r="O25" i="6" s="1"/>
  <c r="N6" i="6"/>
  <c r="N25" i="6" s="1"/>
  <c r="N31" i="6" s="1"/>
  <c r="N32" i="6" s="1"/>
  <c r="M6" i="6"/>
  <c r="M25" i="6" s="1"/>
  <c r="M31" i="6" s="1"/>
  <c r="M32" i="6" s="1"/>
  <c r="L6" i="6"/>
  <c r="L25" i="6" s="1"/>
  <c r="L31" i="6" s="1"/>
  <c r="L32" i="6" s="1"/>
  <c r="E16" i="5"/>
  <c r="E12" i="5"/>
  <c r="E9" i="5"/>
  <c r="E8" i="5"/>
  <c r="E7" i="5"/>
  <c r="E6" i="5"/>
  <c r="E11" i="5" s="1"/>
  <c r="S5" i="4"/>
  <c r="R5" i="4"/>
  <c r="Q5" i="4"/>
  <c r="P5" i="4"/>
  <c r="L5" i="4"/>
  <c r="M5" i="4" s="1"/>
  <c r="A81" i="3"/>
  <c r="A80" i="3"/>
  <c r="A79" i="3"/>
  <c r="A78" i="3"/>
  <c r="S58" i="3"/>
  <c r="R58" i="3"/>
  <c r="Q58" i="3"/>
  <c r="P58" i="3"/>
  <c r="O58" i="3"/>
  <c r="N58" i="3"/>
  <c r="M58" i="3"/>
  <c r="L58" i="3"/>
  <c r="S56" i="3"/>
  <c r="R56" i="3"/>
  <c r="Q56" i="3"/>
  <c r="P56" i="3"/>
  <c r="O56" i="3"/>
  <c r="N56" i="3"/>
  <c r="M56" i="3"/>
  <c r="L56" i="3"/>
  <c r="S55" i="3"/>
  <c r="R55" i="3"/>
  <c r="Q55" i="3"/>
  <c r="P55" i="3"/>
  <c r="O55" i="3"/>
  <c r="N55" i="3"/>
  <c r="M55" i="3"/>
  <c r="L55" i="3"/>
  <c r="S54" i="3"/>
  <c r="R54" i="3"/>
  <c r="Q54" i="3"/>
  <c r="P54" i="3"/>
  <c r="O54" i="3"/>
  <c r="N54" i="3"/>
  <c r="M54" i="3"/>
  <c r="L54" i="3"/>
  <c r="S52" i="3"/>
  <c r="R52" i="3"/>
  <c r="Q52" i="3"/>
  <c r="P52" i="3"/>
  <c r="L52" i="3"/>
  <c r="Q38" i="3"/>
  <c r="P38" i="3"/>
  <c r="O38" i="3"/>
  <c r="N38" i="3"/>
  <c r="M38" i="3"/>
  <c r="S38" i="3" s="1"/>
  <c r="L38" i="3"/>
  <c r="R38" i="3" s="1"/>
  <c r="O37" i="3"/>
  <c r="N37" i="3"/>
  <c r="M37" i="3"/>
  <c r="L37" i="3"/>
  <c r="S31" i="3"/>
  <c r="S53" i="3" s="1"/>
  <c r="R31" i="3"/>
  <c r="R53" i="3" s="1"/>
  <c r="Q31" i="3"/>
  <c r="Q53" i="3" s="1"/>
  <c r="P31" i="3"/>
  <c r="P53" i="3" s="1"/>
  <c r="O31" i="3"/>
  <c r="O53" i="3" s="1"/>
  <c r="N31" i="3"/>
  <c r="N53" i="3" s="1"/>
  <c r="M31" i="3"/>
  <c r="M53" i="3" s="1"/>
  <c r="L31" i="3"/>
  <c r="L53" i="3" s="1"/>
  <c r="S30" i="3"/>
  <c r="R30" i="3"/>
  <c r="Q30" i="3"/>
  <c r="P30" i="3"/>
  <c r="O30" i="3"/>
  <c r="N30" i="3"/>
  <c r="M30" i="3"/>
  <c r="L30" i="3"/>
  <c r="L26" i="3"/>
  <c r="S18" i="3"/>
  <c r="S33" i="3" s="1"/>
  <c r="R18" i="3"/>
  <c r="R33" i="3" s="1"/>
  <c r="Q18" i="3"/>
  <c r="Q33" i="3" s="1"/>
  <c r="P18" i="3"/>
  <c r="P33" i="3" s="1"/>
  <c r="O18" i="3"/>
  <c r="O33" i="3" s="1"/>
  <c r="N18" i="3"/>
  <c r="N33" i="3" s="1"/>
  <c r="M18" i="3"/>
  <c r="M33" i="3" s="1"/>
  <c r="L18" i="3"/>
  <c r="L33" i="3" s="1"/>
  <c r="E106" i="1"/>
  <c r="E105" i="1"/>
  <c r="E104" i="1"/>
  <c r="S102" i="1"/>
  <c r="R102" i="1"/>
  <c r="Q102" i="1"/>
  <c r="P102" i="1"/>
  <c r="O102" i="1"/>
  <c r="N102" i="1"/>
  <c r="M102" i="1"/>
  <c r="E102" i="1"/>
  <c r="E95" i="1"/>
  <c r="S83" i="1"/>
  <c r="R83" i="1"/>
  <c r="Q83" i="1"/>
  <c r="P83" i="1"/>
  <c r="O83" i="1"/>
  <c r="N83" i="1"/>
  <c r="M83" i="1"/>
  <c r="E83" i="1"/>
  <c r="E60" i="1"/>
  <c r="E59" i="1"/>
  <c r="E58" i="1"/>
  <c r="E56" i="1"/>
  <c r="E55" i="1"/>
  <c r="E47" i="1"/>
  <c r="E46" i="1"/>
  <c r="W51" i="13" l="1"/>
  <c r="W48" i="13"/>
  <c r="W50" i="13"/>
  <c r="W49" i="13"/>
  <c r="V51" i="13"/>
  <c r="V50" i="13"/>
  <c r="V48" i="13"/>
  <c r="V49" i="13"/>
  <c r="U51" i="13"/>
  <c r="U50" i="13"/>
  <c r="U48" i="13"/>
  <c r="U49" i="13"/>
  <c r="T51" i="13"/>
  <c r="T50" i="13"/>
  <c r="T48" i="13"/>
  <c r="T49" i="13"/>
  <c r="S51" i="13"/>
  <c r="S80" i="8" s="1"/>
  <c r="S50" i="13"/>
  <c r="S79" i="8" s="1"/>
  <c r="S48" i="13"/>
  <c r="S77" i="8" s="1"/>
  <c r="S49" i="13"/>
  <c r="S78" i="8" s="1"/>
  <c r="S26" i="3" s="1"/>
  <c r="R51" i="13"/>
  <c r="R80" i="8" s="1"/>
  <c r="R50" i="13"/>
  <c r="R79" i="8" s="1"/>
  <c r="R48" i="13"/>
  <c r="R77" i="8" s="1"/>
  <c r="R49" i="13"/>
  <c r="R78" i="8" s="1"/>
  <c r="R26" i="3" s="1"/>
  <c r="Q51" i="13"/>
  <c r="Q80" i="8" s="1"/>
  <c r="Q49" i="13"/>
  <c r="Q78" i="8" s="1"/>
  <c r="Q48" i="13"/>
  <c r="Q77" i="8" s="1"/>
  <c r="Q50" i="13"/>
  <c r="Q79" i="8" s="1"/>
  <c r="P51" i="13"/>
  <c r="P80" i="8" s="1"/>
  <c r="P48" i="13"/>
  <c r="P77" i="8" s="1"/>
  <c r="P50" i="13"/>
  <c r="P79" i="8" s="1"/>
  <c r="P49" i="13"/>
  <c r="P78" i="8" s="1"/>
  <c r="P26" i="3" s="1"/>
  <c r="O49" i="13"/>
  <c r="O78" i="8" s="1"/>
  <c r="O50" i="13"/>
  <c r="O79" i="8" s="1"/>
  <c r="O51" i="13"/>
  <c r="O80" i="8" s="1"/>
  <c r="O48" i="13"/>
  <c r="O77" i="8" s="1"/>
  <c r="N51" i="13"/>
  <c r="N80" i="8" s="1"/>
  <c r="N49" i="13"/>
  <c r="N78" i="8" s="1"/>
  <c r="N50" i="13"/>
  <c r="N79" i="8" s="1"/>
  <c r="N48" i="13"/>
  <c r="N77" i="8" s="1"/>
  <c r="M50" i="13"/>
  <c r="M79" i="8" s="1"/>
  <c r="M51" i="13"/>
  <c r="M80" i="8" s="1"/>
  <c r="M49" i="13"/>
  <c r="M78" i="8" s="1"/>
  <c r="M26" i="3" s="1"/>
  <c r="M48" i="13"/>
  <c r="M77" i="8" s="1"/>
  <c r="W46" i="12"/>
  <c r="W47" i="12"/>
  <c r="W45" i="12"/>
  <c r="W48" i="12"/>
  <c r="V45" i="12"/>
  <c r="V48" i="12"/>
  <c r="V47" i="12"/>
  <c r="V46" i="12"/>
  <c r="U48" i="12"/>
  <c r="U46" i="12"/>
  <c r="U45" i="12"/>
  <c r="U47" i="12"/>
  <c r="T47" i="12"/>
  <c r="T48" i="12"/>
  <c r="T46" i="12"/>
  <c r="T45" i="12"/>
  <c r="S47" i="12"/>
  <c r="S79" i="7" s="1"/>
  <c r="S46" i="12"/>
  <c r="S78" i="7" s="1"/>
  <c r="S27" i="3" s="1"/>
  <c r="S48" i="12"/>
  <c r="S80" i="7" s="1"/>
  <c r="S45" i="12"/>
  <c r="S77" i="7" s="1"/>
  <c r="R46" i="12"/>
  <c r="R78" i="7" s="1"/>
  <c r="R45" i="12"/>
  <c r="R77" i="7" s="1"/>
  <c r="R47" i="12"/>
  <c r="R79" i="7" s="1"/>
  <c r="R48" i="12"/>
  <c r="R80" i="7" s="1"/>
  <c r="Q45" i="12"/>
  <c r="Q77" i="7" s="1"/>
  <c r="Q48" i="12"/>
  <c r="Q80" i="7" s="1"/>
  <c r="Q47" i="12"/>
  <c r="Q79" i="7" s="1"/>
  <c r="Q46" i="12"/>
  <c r="Q78" i="7" s="1"/>
  <c r="P46" i="12"/>
  <c r="P78" i="7" s="1"/>
  <c r="P45" i="12"/>
  <c r="P77" i="7" s="1"/>
  <c r="P48" i="12"/>
  <c r="P80" i="7" s="1"/>
  <c r="P47" i="12"/>
  <c r="P79" i="7" s="1"/>
  <c r="O46" i="12"/>
  <c r="O78" i="7" s="1"/>
  <c r="O45" i="12"/>
  <c r="O77" i="7" s="1"/>
  <c r="O48" i="12"/>
  <c r="O80" i="7" s="1"/>
  <c r="O47" i="12"/>
  <c r="O79" i="7" s="1"/>
  <c r="N48" i="12"/>
  <c r="N80" i="7" s="1"/>
  <c r="N46" i="12"/>
  <c r="N78" i="7" s="1"/>
  <c r="N45" i="12"/>
  <c r="N77" i="7" s="1"/>
  <c r="N47" i="12"/>
  <c r="N79" i="7" s="1"/>
  <c r="M48" i="12"/>
  <c r="M80" i="7" s="1"/>
  <c r="M46" i="12"/>
  <c r="M78" i="7" s="1"/>
  <c r="M45" i="12"/>
  <c r="M77" i="7" s="1"/>
  <c r="M47" i="12"/>
  <c r="M79" i="7" s="1"/>
  <c r="L48" i="12"/>
  <c r="L80" i="7" s="1"/>
  <c r="L46" i="12"/>
  <c r="L78" i="7" s="1"/>
  <c r="L47" i="12"/>
  <c r="L79" i="7" s="1"/>
  <c r="L45" i="12"/>
  <c r="L77" i="7" s="1"/>
  <c r="W32" i="11"/>
  <c r="W31" i="11"/>
  <c r="W33" i="11"/>
  <c r="W34" i="11"/>
  <c r="V34" i="11"/>
  <c r="V31" i="11"/>
  <c r="V33" i="11"/>
  <c r="V32" i="11"/>
  <c r="U31" i="11"/>
  <c r="U33" i="11"/>
  <c r="U32" i="11"/>
  <c r="U34" i="11"/>
  <c r="T33" i="11"/>
  <c r="T34" i="11"/>
  <c r="T31" i="11"/>
  <c r="T32" i="11"/>
  <c r="S32" i="11"/>
  <c r="S78" i="6" s="1"/>
  <c r="S34" i="11"/>
  <c r="S80" i="6" s="1"/>
  <c r="S31" i="11"/>
  <c r="S77" i="6" s="1"/>
  <c r="S33" i="11"/>
  <c r="S79" i="6" s="1"/>
  <c r="R33" i="11"/>
  <c r="R79" i="6" s="1"/>
  <c r="R34" i="11"/>
  <c r="R80" i="6" s="1"/>
  <c r="R32" i="11"/>
  <c r="R78" i="6" s="1"/>
  <c r="R25" i="3" s="1"/>
  <c r="R31" i="11"/>
  <c r="R77" i="6" s="1"/>
  <c r="Q32" i="11"/>
  <c r="Q78" i="6" s="1"/>
  <c r="Q34" i="11"/>
  <c r="Q80" i="6" s="1"/>
  <c r="Q33" i="11"/>
  <c r="Q79" i="6" s="1"/>
  <c r="Q31" i="11"/>
  <c r="Q77" i="6" s="1"/>
  <c r="P33" i="11"/>
  <c r="P79" i="6" s="1"/>
  <c r="P34" i="11"/>
  <c r="P80" i="6" s="1"/>
  <c r="P32" i="11"/>
  <c r="P78" i="6" s="1"/>
  <c r="P25" i="3" s="1"/>
  <c r="P31" i="11"/>
  <c r="P77" i="6" s="1"/>
  <c r="O31" i="11"/>
  <c r="O77" i="6" s="1"/>
  <c r="O32" i="11"/>
  <c r="O78" i="6" s="1"/>
  <c r="O33" i="11"/>
  <c r="O79" i="6" s="1"/>
  <c r="O34" i="11"/>
  <c r="O80" i="6" s="1"/>
  <c r="N32" i="11"/>
  <c r="N78" i="6" s="1"/>
  <c r="N34" i="11"/>
  <c r="N80" i="6" s="1"/>
  <c r="N33" i="11"/>
  <c r="N79" i="6" s="1"/>
  <c r="N31" i="11"/>
  <c r="N77" i="6" s="1"/>
  <c r="M34" i="11"/>
  <c r="M80" i="6" s="1"/>
  <c r="M32" i="11"/>
  <c r="M78" i="6" s="1"/>
  <c r="M31" i="11"/>
  <c r="M77" i="6" s="1"/>
  <c r="M33" i="11"/>
  <c r="M79" i="6" s="1"/>
  <c r="L34" i="11"/>
  <c r="L80" i="6" s="1"/>
  <c r="L33" i="11"/>
  <c r="L79" i="6" s="1"/>
  <c r="L31" i="11"/>
  <c r="L77" i="6" s="1"/>
  <c r="L32" i="11"/>
  <c r="L78" i="6" s="1"/>
  <c r="L25" i="3" s="1"/>
  <c r="W33" i="10"/>
  <c r="W32" i="10"/>
  <c r="W30" i="10"/>
  <c r="W31" i="10"/>
  <c r="V30" i="10"/>
  <c r="V32" i="10"/>
  <c r="V33" i="10"/>
  <c r="V31" i="10"/>
  <c r="U30" i="10"/>
  <c r="U32" i="10"/>
  <c r="U31" i="10"/>
  <c r="U33" i="10"/>
  <c r="T33" i="10"/>
  <c r="T32" i="10"/>
  <c r="T30" i="10"/>
  <c r="T31" i="10"/>
  <c r="S32" i="10"/>
  <c r="S80" i="3" s="1"/>
  <c r="S33" i="10"/>
  <c r="S81" i="3" s="1"/>
  <c r="S41" i="3" s="1"/>
  <c r="S43" i="3" s="1"/>
  <c r="S31" i="10"/>
  <c r="S79" i="3" s="1"/>
  <c r="S30" i="10"/>
  <c r="S78" i="3" s="1"/>
  <c r="S28" i="3" s="1"/>
  <c r="R33" i="10"/>
  <c r="R81" i="3" s="1"/>
  <c r="R41" i="3" s="1"/>
  <c r="R43" i="3" s="1"/>
  <c r="R31" i="10"/>
  <c r="R79" i="3" s="1"/>
  <c r="R32" i="10"/>
  <c r="R80" i="3" s="1"/>
  <c r="R30" i="10"/>
  <c r="R78" i="3" s="1"/>
  <c r="R28" i="3" s="1"/>
  <c r="Q33" i="10"/>
  <c r="Q81" i="3" s="1"/>
  <c r="Q41" i="3" s="1"/>
  <c r="Q43" i="3" s="1"/>
  <c r="Q31" i="10"/>
  <c r="Q79" i="3" s="1"/>
  <c r="Q32" i="10"/>
  <c r="Q80" i="3" s="1"/>
  <c r="Q30" i="10"/>
  <c r="Q78" i="3" s="1"/>
  <c r="Q28" i="3" s="1"/>
  <c r="P32" i="10"/>
  <c r="P80" i="3" s="1"/>
  <c r="P31" i="10"/>
  <c r="P79" i="3" s="1"/>
  <c r="P33" i="10"/>
  <c r="P81" i="3" s="1"/>
  <c r="P41" i="3" s="1"/>
  <c r="P43" i="3" s="1"/>
  <c r="P30" i="10"/>
  <c r="P78" i="3" s="1"/>
  <c r="P28" i="3" s="1"/>
  <c r="O33" i="10"/>
  <c r="O81" i="3" s="1"/>
  <c r="O41" i="3" s="1"/>
  <c r="O43" i="3" s="1"/>
  <c r="O31" i="10"/>
  <c r="O79" i="3" s="1"/>
  <c r="O32" i="10"/>
  <c r="O80" i="3" s="1"/>
  <c r="O30" i="10"/>
  <c r="O78" i="3" s="1"/>
  <c r="O28" i="3" s="1"/>
  <c r="N32" i="10"/>
  <c r="N80" i="3" s="1"/>
  <c r="N31" i="10"/>
  <c r="N79" i="3" s="1"/>
  <c r="N33" i="10"/>
  <c r="N81" i="3" s="1"/>
  <c r="N41" i="3" s="1"/>
  <c r="N43" i="3" s="1"/>
  <c r="N30" i="10"/>
  <c r="N78" i="3" s="1"/>
  <c r="N28" i="3" s="1"/>
  <c r="M33" i="10"/>
  <c r="M81" i="3" s="1"/>
  <c r="M41" i="3" s="1"/>
  <c r="M43" i="3" s="1"/>
  <c r="M32" i="10"/>
  <c r="M80" i="3" s="1"/>
  <c r="M31" i="10"/>
  <c r="M79" i="3" s="1"/>
  <c r="M30" i="10"/>
  <c r="M78" i="3" s="1"/>
  <c r="M28" i="3" s="1"/>
  <c r="L32" i="10"/>
  <c r="L80" i="3" s="1"/>
  <c r="L31" i="10"/>
  <c r="L79" i="3" s="1"/>
  <c r="L30" i="10"/>
  <c r="L78" i="3" s="1"/>
  <c r="L33" i="10"/>
  <c r="L81" i="3" s="1"/>
  <c r="L41" i="3" s="1"/>
  <c r="L43" i="3" s="1"/>
  <c r="S72" i="8"/>
  <c r="S73" i="8"/>
  <c r="R73" i="8"/>
  <c r="R72" i="8"/>
  <c r="Q73" i="8"/>
  <c r="Q72" i="8"/>
  <c r="P73" i="8"/>
  <c r="P72" i="8"/>
  <c r="O73" i="8"/>
  <c r="O72" i="8"/>
  <c r="N72" i="8"/>
  <c r="N73" i="8"/>
  <c r="M73" i="8"/>
  <c r="M72" i="8"/>
  <c r="L72" i="8"/>
  <c r="L73" i="8"/>
  <c r="L68" i="8"/>
  <c r="S57" i="8"/>
  <c r="S58" i="8" s="1"/>
  <c r="M58" i="8"/>
  <c r="L58" i="8"/>
  <c r="R57" i="8"/>
  <c r="R58" i="8" s="1"/>
  <c r="M29" i="8"/>
  <c r="M68" i="8" s="1"/>
  <c r="M70" i="8" s="1"/>
  <c r="M7" i="3" s="1"/>
  <c r="L62" i="8"/>
  <c r="L66" i="3" s="1"/>
  <c r="L68" i="3" s="1"/>
  <c r="S68" i="7"/>
  <c r="S73" i="7"/>
  <c r="S72" i="7"/>
  <c r="R68" i="7"/>
  <c r="R72" i="7"/>
  <c r="R73" i="7"/>
  <c r="Q73" i="7"/>
  <c r="Q68" i="7"/>
  <c r="Q72" i="7"/>
  <c r="P68" i="7"/>
  <c r="P72" i="7"/>
  <c r="P73" i="7"/>
  <c r="O73" i="7"/>
  <c r="O72" i="7"/>
  <c r="O68" i="7"/>
  <c r="N68" i="7"/>
  <c r="N72" i="7"/>
  <c r="N73" i="7"/>
  <c r="M73" i="7"/>
  <c r="M72" i="7"/>
  <c r="M68" i="7"/>
  <c r="L72" i="7"/>
  <c r="L74" i="7" s="1"/>
  <c r="L68" i="7"/>
  <c r="L73" i="7"/>
  <c r="M58" i="7"/>
  <c r="S57" i="7"/>
  <c r="S58" i="7" s="1"/>
  <c r="S69" i="7" s="1"/>
  <c r="S70" i="7" s="1"/>
  <c r="L58" i="7"/>
  <c r="L69" i="7" s="1"/>
  <c r="R57" i="7"/>
  <c r="R58" i="7" s="1"/>
  <c r="R69" i="7" s="1"/>
  <c r="S14" i="7"/>
  <c r="S25" i="7" s="1"/>
  <c r="S31" i="7" s="1"/>
  <c r="S32" i="7" s="1"/>
  <c r="P14" i="7"/>
  <c r="P25" i="7" s="1"/>
  <c r="P31" i="7" s="1"/>
  <c r="P32" i="7" s="1"/>
  <c r="Q14" i="7"/>
  <c r="Q25" i="7" s="1"/>
  <c r="Q31" i="7" s="1"/>
  <c r="Q32" i="7" s="1"/>
  <c r="R14" i="7"/>
  <c r="R25" i="7" s="1"/>
  <c r="R31" i="7" s="1"/>
  <c r="R32" i="7" s="1"/>
  <c r="S73" i="6"/>
  <c r="R73" i="6"/>
  <c r="Q73" i="6"/>
  <c r="P73" i="6"/>
  <c r="O73" i="6"/>
  <c r="N73" i="6"/>
  <c r="N72" i="6"/>
  <c r="N68" i="6"/>
  <c r="M72" i="6"/>
  <c r="M68" i="6"/>
  <c r="M73" i="6"/>
  <c r="L72" i="6"/>
  <c r="L68" i="6"/>
  <c r="L73" i="6"/>
  <c r="S57" i="6"/>
  <c r="S58" i="6" s="1"/>
  <c r="S69" i="6" s="1"/>
  <c r="M58" i="6"/>
  <c r="M69" i="6" s="1"/>
  <c r="M70" i="6" s="1"/>
  <c r="L58" i="6"/>
  <c r="L69" i="6" s="1"/>
  <c r="L70" i="6" s="1"/>
  <c r="R57" i="6"/>
  <c r="R58" i="6" s="1"/>
  <c r="R69" i="6" s="1"/>
  <c r="P9" i="6"/>
  <c r="O27" i="6"/>
  <c r="O72" i="6" s="1"/>
  <c r="R7" i="6"/>
  <c r="L6" i="5"/>
  <c r="E13" i="5"/>
  <c r="E18" i="5" s="1"/>
  <c r="N5" i="4"/>
  <c r="M52" i="3"/>
  <c r="M59" i="3" s="1"/>
  <c r="M9" i="5" s="1"/>
  <c r="N69" i="6"/>
  <c r="N70" i="6" s="1"/>
  <c r="L60" i="6"/>
  <c r="M29" i="6"/>
  <c r="S59" i="3"/>
  <c r="S9" i="5" s="1"/>
  <c r="P59" i="3"/>
  <c r="P9" i="5" s="1"/>
  <c r="O60" i="8"/>
  <c r="O86" i="3" s="1"/>
  <c r="N60" i="8"/>
  <c r="N86" i="3" s="1"/>
  <c r="P60" i="8"/>
  <c r="P86" i="3" s="1"/>
  <c r="P69" i="7"/>
  <c r="O69" i="7"/>
  <c r="N69" i="7"/>
  <c r="M50" i="7"/>
  <c r="N50" i="7" s="1"/>
  <c r="O50" i="7" s="1"/>
  <c r="P50" i="7" s="1"/>
  <c r="Q50" i="7" s="1"/>
  <c r="R50" i="7" s="1"/>
  <c r="S50" i="7" s="1"/>
  <c r="R60" i="7"/>
  <c r="P60" i="7"/>
  <c r="O60" i="7"/>
  <c r="N60" i="7"/>
  <c r="L60" i="7"/>
  <c r="M29" i="7"/>
  <c r="P69" i="6"/>
  <c r="O69" i="6"/>
  <c r="Q50" i="6"/>
  <c r="R50" i="6" s="1"/>
  <c r="S50" i="6" s="1"/>
  <c r="N60" i="6"/>
  <c r="M60" i="6"/>
  <c r="R59" i="3"/>
  <c r="R9" i="5" s="1"/>
  <c r="Q59" i="3"/>
  <c r="Q9" i="5" s="1"/>
  <c r="L59" i="3"/>
  <c r="L9" i="5" s="1"/>
  <c r="Q57" i="8" l="1"/>
  <c r="Q58" i="8" s="1"/>
  <c r="Q26" i="3"/>
  <c r="Q57" i="7"/>
  <c r="Q58" i="7" s="1"/>
  <c r="Q27" i="3"/>
  <c r="Q25" i="3"/>
  <c r="Q57" i="6"/>
  <c r="Q58" i="6" s="1"/>
  <c r="Q69" i="6" s="1"/>
  <c r="N29" i="8"/>
  <c r="M62" i="8"/>
  <c r="M66" i="3" s="1"/>
  <c r="M74" i="7"/>
  <c r="L73" i="3"/>
  <c r="S8" i="3"/>
  <c r="S56" i="1"/>
  <c r="M6" i="3"/>
  <c r="M47" i="1"/>
  <c r="L6" i="3"/>
  <c r="P25" i="6"/>
  <c r="Q9" i="6"/>
  <c r="O31" i="6"/>
  <c r="S7" i="6"/>
  <c r="N52" i="3"/>
  <c r="N59" i="3" s="1"/>
  <c r="N9" i="5" s="1"/>
  <c r="O5" i="4"/>
  <c r="O52" i="3" s="1"/>
  <c r="O59" i="3" s="1"/>
  <c r="O9" i="5" s="1"/>
  <c r="N6" i="3"/>
  <c r="N47" i="1"/>
  <c r="L84" i="3"/>
  <c r="N29" i="6"/>
  <c r="M62" i="6"/>
  <c r="M65" i="3" s="1"/>
  <c r="R55" i="1"/>
  <c r="R85" i="3"/>
  <c r="P55" i="1"/>
  <c r="P85" i="3"/>
  <c r="O55" i="1"/>
  <c r="O85" i="3"/>
  <c r="N55" i="1"/>
  <c r="N85" i="3"/>
  <c r="L85" i="3"/>
  <c r="M62" i="7"/>
  <c r="M67" i="3" s="1"/>
  <c r="N29" i="7"/>
  <c r="N84" i="3"/>
  <c r="N87" i="3" s="1"/>
  <c r="N46" i="1"/>
  <c r="M84" i="3"/>
  <c r="M46" i="1"/>
  <c r="R27" i="3"/>
  <c r="P27" i="3"/>
  <c r="O27" i="3"/>
  <c r="N27" i="3"/>
  <c r="M27" i="3"/>
  <c r="L27" i="3"/>
  <c r="S25" i="3"/>
  <c r="O25" i="3"/>
  <c r="N25" i="3"/>
  <c r="M25" i="3"/>
  <c r="M36" i="3" s="1"/>
  <c r="M39" i="3" s="1"/>
  <c r="M45" i="3"/>
  <c r="L28" i="3"/>
  <c r="L74" i="8"/>
  <c r="L70" i="7"/>
  <c r="R70" i="7"/>
  <c r="S60" i="7"/>
  <c r="L74" i="6"/>
  <c r="P70" i="7"/>
  <c r="O70" i="7"/>
  <c r="N70" i="7"/>
  <c r="O26" i="3"/>
  <c r="N26" i="3"/>
  <c r="S69" i="8"/>
  <c r="S60" i="8"/>
  <c r="S86" i="3" s="1"/>
  <c r="M69" i="8"/>
  <c r="M60" i="8"/>
  <c r="M86" i="3" s="1"/>
  <c r="L69" i="8"/>
  <c r="L70" i="8" s="1"/>
  <c r="L7" i="3" s="1"/>
  <c r="L60" i="8"/>
  <c r="L86" i="3" s="1"/>
  <c r="R69" i="8"/>
  <c r="R60" i="8"/>
  <c r="R86" i="3" s="1"/>
  <c r="M69" i="7"/>
  <c r="M70" i="7" s="1"/>
  <c r="M60" i="7"/>
  <c r="Q60" i="8" l="1"/>
  <c r="Q86" i="3" s="1"/>
  <c r="Q69" i="8"/>
  <c r="Q60" i="7"/>
  <c r="Q69" i="7"/>
  <c r="Q70" i="7" s="1"/>
  <c r="Q37" i="3"/>
  <c r="Q36" i="3"/>
  <c r="Q39" i="3" s="1"/>
  <c r="N68" i="8"/>
  <c r="N70" i="8" s="1"/>
  <c r="N7" i="3" s="1"/>
  <c r="O29" i="8"/>
  <c r="N62" i="8"/>
  <c r="N66" i="3" s="1"/>
  <c r="N74" i="7"/>
  <c r="M73" i="3"/>
  <c r="P27" i="6"/>
  <c r="P31" i="6" s="1"/>
  <c r="Q27" i="6"/>
  <c r="Q25" i="6"/>
  <c r="Q31" i="6" s="1"/>
  <c r="R9" i="6"/>
  <c r="O68" i="6"/>
  <c r="O70" i="6" s="1"/>
  <c r="O32" i="6"/>
  <c r="O60" i="6" s="1"/>
  <c r="O29" i="7"/>
  <c r="N62" i="7"/>
  <c r="N67" i="3" s="1"/>
  <c r="S36" i="3"/>
  <c r="S37" i="3"/>
  <c r="M95" i="1"/>
  <c r="M20" i="3"/>
  <c r="L72" i="3"/>
  <c r="M74" i="8"/>
  <c r="L8" i="3"/>
  <c r="L10" i="3" s="1"/>
  <c r="R56" i="1"/>
  <c r="R8" i="3"/>
  <c r="S55" i="1"/>
  <c r="S85" i="3"/>
  <c r="M74" i="6"/>
  <c r="L71" i="3"/>
  <c r="L74" i="3" s="1"/>
  <c r="P56" i="1"/>
  <c r="P8" i="3"/>
  <c r="O56" i="1"/>
  <c r="O8" i="3"/>
  <c r="N56" i="1"/>
  <c r="N8" i="3"/>
  <c r="M56" i="1"/>
  <c r="M8" i="3"/>
  <c r="M10" i="3" s="1"/>
  <c r="M85" i="3"/>
  <c r="M87" i="3" s="1"/>
  <c r="M55" i="1"/>
  <c r="L87" i="3"/>
  <c r="M68" i="3"/>
  <c r="M105" i="1" s="1"/>
  <c r="L36" i="3"/>
  <c r="L39" i="3" s="1"/>
  <c r="O36" i="3"/>
  <c r="O39" i="3" s="1"/>
  <c r="N36" i="3"/>
  <c r="N39" i="3" s="1"/>
  <c r="N62" i="6"/>
  <c r="N65" i="3" s="1"/>
  <c r="O29" i="6"/>
  <c r="O62" i="6" s="1"/>
  <c r="O65" i="3" s="1"/>
  <c r="R37" i="3"/>
  <c r="R36" i="3"/>
  <c r="R39" i="3" s="1"/>
  <c r="P36" i="3"/>
  <c r="P37" i="3"/>
  <c r="Q85" i="3" l="1"/>
  <c r="Q55" i="1"/>
  <c r="Q8" i="3"/>
  <c r="Q56" i="1"/>
  <c r="Q45" i="3"/>
  <c r="Q95" i="1"/>
  <c r="Q20" i="3"/>
  <c r="O68" i="8"/>
  <c r="O70" i="8" s="1"/>
  <c r="O7" i="3" s="1"/>
  <c r="P29" i="8"/>
  <c r="O62" i="8"/>
  <c r="O66" i="3" s="1"/>
  <c r="O74" i="7"/>
  <c r="N73" i="3"/>
  <c r="P68" i="6"/>
  <c r="P70" i="6" s="1"/>
  <c r="P32" i="6"/>
  <c r="P60" i="6" s="1"/>
  <c r="P72" i="6"/>
  <c r="P29" i="6"/>
  <c r="P62" i="6" s="1"/>
  <c r="P65" i="3" s="1"/>
  <c r="Q72" i="6"/>
  <c r="Q29" i="6"/>
  <c r="Q62" i="6" s="1"/>
  <c r="Q65" i="3" s="1"/>
  <c r="Q68" i="6"/>
  <c r="Q70" i="6" s="1"/>
  <c r="Q32" i="6"/>
  <c r="Q60" i="6" s="1"/>
  <c r="R27" i="6"/>
  <c r="R25" i="6"/>
  <c r="R31" i="6" s="1"/>
  <c r="S9" i="6"/>
  <c r="O47" i="1"/>
  <c r="O6" i="3"/>
  <c r="O10" i="3" s="1"/>
  <c r="O84" i="3"/>
  <c r="O87" i="3" s="1"/>
  <c r="O46" i="1"/>
  <c r="P29" i="7"/>
  <c r="O62" i="7"/>
  <c r="O67" i="3" s="1"/>
  <c r="N74" i="8"/>
  <c r="M72" i="3"/>
  <c r="M71" i="3"/>
  <c r="M74" i="3" s="1"/>
  <c r="N74" i="6"/>
  <c r="L12" i="5"/>
  <c r="L20" i="3"/>
  <c r="L22" i="3" s="1"/>
  <c r="L45" i="3"/>
  <c r="O20" i="3"/>
  <c r="O22" i="3" s="1"/>
  <c r="O95" i="1"/>
  <c r="O45" i="3"/>
  <c r="N20" i="3"/>
  <c r="N95" i="1"/>
  <c r="N45" i="3"/>
  <c r="R45" i="3"/>
  <c r="R95" i="1"/>
  <c r="R20" i="3"/>
  <c r="N10" i="3"/>
  <c r="N68" i="3"/>
  <c r="N105" i="1" s="1"/>
  <c r="S39" i="3"/>
  <c r="M22" i="3"/>
  <c r="M47" i="3" s="1"/>
  <c r="P39" i="3"/>
  <c r="P68" i="8" l="1"/>
  <c r="P70" i="8" s="1"/>
  <c r="P7" i="3" s="1"/>
  <c r="Q29" i="8"/>
  <c r="P62" i="8"/>
  <c r="P66" i="3" s="1"/>
  <c r="P74" i="7"/>
  <c r="O73" i="3"/>
  <c r="P47" i="1"/>
  <c r="P6" i="3"/>
  <c r="P10" i="3" s="1"/>
  <c r="P84" i="3"/>
  <c r="P87" i="3" s="1"/>
  <c r="P46" i="1"/>
  <c r="Q47" i="1"/>
  <c r="Q6" i="3"/>
  <c r="Q84" i="3"/>
  <c r="Q87" i="3" s="1"/>
  <c r="Q46" i="1"/>
  <c r="R29" i="6"/>
  <c r="R62" i="6" s="1"/>
  <c r="R65" i="3" s="1"/>
  <c r="R72" i="6"/>
  <c r="R32" i="6"/>
  <c r="R60" i="6" s="1"/>
  <c r="R68" i="6"/>
  <c r="R70" i="6" s="1"/>
  <c r="S27" i="6"/>
  <c r="S25" i="6"/>
  <c r="S31" i="6" s="1"/>
  <c r="Q29" i="7"/>
  <c r="P62" i="7"/>
  <c r="P67" i="3" s="1"/>
  <c r="O74" i="8"/>
  <c r="N72" i="3"/>
  <c r="M12" i="5"/>
  <c r="M106" i="1"/>
  <c r="O74" i="6"/>
  <c r="N71" i="3"/>
  <c r="N74" i="3" s="1"/>
  <c r="S20" i="3"/>
  <c r="S95" i="1"/>
  <c r="S45" i="3"/>
  <c r="M60" i="3"/>
  <c r="M7" i="5"/>
  <c r="M48" i="3"/>
  <c r="P20" i="3"/>
  <c r="P22" i="3" s="1"/>
  <c r="P95" i="1"/>
  <c r="P45" i="3"/>
  <c r="O68" i="3"/>
  <c r="O105" i="1" s="1"/>
  <c r="L47" i="3"/>
  <c r="O47" i="3"/>
  <c r="N22" i="3"/>
  <c r="N47" i="3" s="1"/>
  <c r="Q68" i="8" l="1"/>
  <c r="Q70" i="8" s="1"/>
  <c r="Q7" i="3" s="1"/>
  <c r="Q10" i="3" s="1"/>
  <c r="R29" i="8"/>
  <c r="Q62" i="8"/>
  <c r="Q66" i="3" s="1"/>
  <c r="Q74" i="7"/>
  <c r="P73" i="3"/>
  <c r="Q22" i="3"/>
  <c r="Q47" i="3" s="1"/>
  <c r="R84" i="3"/>
  <c r="R87" i="3" s="1"/>
  <c r="R46" i="1"/>
  <c r="R47" i="1"/>
  <c r="R6" i="3"/>
  <c r="S29" i="6"/>
  <c r="S62" i="6" s="1"/>
  <c r="S65" i="3" s="1"/>
  <c r="S72" i="6"/>
  <c r="S32" i="6"/>
  <c r="S60" i="6" s="1"/>
  <c r="S68" i="6"/>
  <c r="S70" i="6" s="1"/>
  <c r="Q62" i="7"/>
  <c r="Q67" i="3" s="1"/>
  <c r="R29" i="7"/>
  <c r="P74" i="8"/>
  <c r="O72" i="3"/>
  <c r="P74" i="6"/>
  <c r="O71" i="3"/>
  <c r="O74" i="3" s="1"/>
  <c r="N12" i="5"/>
  <c r="N106" i="1"/>
  <c r="L60" i="3"/>
  <c r="L62" i="3" s="1"/>
  <c r="L7" i="5"/>
  <c r="L48" i="3"/>
  <c r="O60" i="3"/>
  <c r="O7" i="5"/>
  <c r="O48" i="3"/>
  <c r="N60" i="3"/>
  <c r="N7" i="5"/>
  <c r="N48" i="3"/>
  <c r="P68" i="3"/>
  <c r="P105" i="1" s="1"/>
  <c r="P47" i="3"/>
  <c r="R68" i="8" l="1"/>
  <c r="R70" i="8" s="1"/>
  <c r="R7" i="3" s="1"/>
  <c r="R10" i="3" s="1"/>
  <c r="S29" i="8"/>
  <c r="R62" i="8"/>
  <c r="R66" i="3" s="1"/>
  <c r="R74" i="7"/>
  <c r="Q73" i="3"/>
  <c r="Q7" i="5"/>
  <c r="Q60" i="3"/>
  <c r="Q48" i="3"/>
  <c r="R22" i="3"/>
  <c r="R47" i="3" s="1"/>
  <c r="S46" i="1"/>
  <c r="S84" i="3"/>
  <c r="S87" i="3" s="1"/>
  <c r="S47" i="1"/>
  <c r="S6" i="3"/>
  <c r="S29" i="7"/>
  <c r="S62" i="7" s="1"/>
  <c r="S67" i="3" s="1"/>
  <c r="R62" i="7"/>
  <c r="R67" i="3" s="1"/>
  <c r="Q74" i="8"/>
  <c r="P72" i="3"/>
  <c r="Q74" i="6"/>
  <c r="P71" i="3"/>
  <c r="P74" i="3" s="1"/>
  <c r="O12" i="5"/>
  <c r="O106" i="1"/>
  <c r="M62" i="3"/>
  <c r="L8" i="5"/>
  <c r="L11" i="5" s="1"/>
  <c r="L16" i="5"/>
  <c r="P48" i="3"/>
  <c r="P60" i="3"/>
  <c r="P7" i="5"/>
  <c r="Q68" i="3"/>
  <c r="Q105" i="1" s="1"/>
  <c r="S68" i="8" l="1"/>
  <c r="S70" i="8" s="1"/>
  <c r="S7" i="3" s="1"/>
  <c r="S10" i="3" s="1"/>
  <c r="S62" i="8"/>
  <c r="S66" i="3" s="1"/>
  <c r="S68" i="3" s="1"/>
  <c r="S105" i="1" s="1"/>
  <c r="S74" i="7"/>
  <c r="S73" i="3" s="1"/>
  <c r="R73" i="3"/>
  <c r="R48" i="3"/>
  <c r="R60" i="3"/>
  <c r="R7" i="5"/>
  <c r="S22" i="3"/>
  <c r="S47" i="3" s="1"/>
  <c r="Q72" i="3"/>
  <c r="R74" i="8"/>
  <c r="R74" i="6"/>
  <c r="Q71" i="3"/>
  <c r="Q74" i="3" s="1"/>
  <c r="P12" i="5"/>
  <c r="P106" i="1"/>
  <c r="N62" i="3"/>
  <c r="M104" i="1"/>
  <c r="M16" i="5"/>
  <c r="M8" i="5"/>
  <c r="R68" i="3"/>
  <c r="R105" i="1" s="1"/>
  <c r="M6" i="5"/>
  <c r="M11" i="5" s="1"/>
  <c r="L13" i="5"/>
  <c r="L18" i="5" s="1"/>
  <c r="S60" i="3" l="1"/>
  <c r="S7" i="5"/>
  <c r="S48" i="3"/>
  <c r="R72" i="3"/>
  <c r="S74" i="8"/>
  <c r="S72" i="3" s="1"/>
  <c r="R71" i="3"/>
  <c r="R74" i="3" s="1"/>
  <c r="S74" i="6"/>
  <c r="S71" i="3" s="1"/>
  <c r="S74" i="3" s="1"/>
  <c r="Q106" i="1"/>
  <c r="Q12" i="5"/>
  <c r="O62" i="3"/>
  <c r="N104" i="1"/>
  <c r="N16" i="5"/>
  <c r="N8" i="5"/>
  <c r="N6" i="5"/>
  <c r="N11" i="5" s="1"/>
  <c r="M13" i="5"/>
  <c r="M18" i="5" s="1"/>
  <c r="R12" i="5" l="1"/>
  <c r="R106" i="1"/>
  <c r="S12" i="5"/>
  <c r="S106" i="1"/>
  <c r="P62" i="3"/>
  <c r="O104" i="1"/>
  <c r="O16" i="5"/>
  <c r="O8" i="5"/>
  <c r="N13" i="5"/>
  <c r="N18" i="5" s="1"/>
  <c r="O6" i="5"/>
  <c r="Q62" i="3" l="1"/>
  <c r="P104" i="1"/>
  <c r="P16" i="5"/>
  <c r="P8" i="5"/>
  <c r="O11" i="5"/>
  <c r="R62" i="3" l="1"/>
  <c r="Q104" i="1"/>
  <c r="Q16" i="5"/>
  <c r="Q8" i="5"/>
  <c r="P6" i="5"/>
  <c r="P11" i="5" s="1"/>
  <c r="O13" i="5"/>
  <c r="O18" i="5" s="1"/>
  <c r="S62" i="3" l="1"/>
  <c r="R104" i="1"/>
  <c r="R16" i="5"/>
  <c r="R8" i="5"/>
  <c r="P13" i="5"/>
  <c r="P18" i="5" s="1"/>
  <c r="Q6" i="5"/>
  <c r="Q11" i="5" s="1"/>
  <c r="S104" i="1" l="1"/>
  <c r="S16" i="5"/>
  <c r="S8" i="5"/>
  <c r="Q13" i="5"/>
  <c r="Q18" i="5" s="1"/>
  <c r="R6" i="5"/>
  <c r="R11" i="5" s="1"/>
  <c r="R13" i="5" l="1"/>
  <c r="R18" i="5" s="1"/>
  <c r="S6" i="5"/>
  <c r="S11" i="5" s="1"/>
  <c r="S13" i="5" s="1"/>
  <c r="S1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3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V6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E5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6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E9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20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sharedStrings.xml><?xml version="1.0" encoding="utf-8"?>
<sst xmlns="http://schemas.openxmlformats.org/spreadsheetml/2006/main" count="1667" uniqueCount="454">
  <si>
    <t>Year</t>
  </si>
  <si>
    <t>io</t>
  </si>
  <si>
    <t>field</t>
  </si>
  <si>
    <t>index</t>
  </si>
  <si>
    <t>src_row</t>
  </si>
  <si>
    <t>src_page</t>
  </si>
  <si>
    <t>[not sourced from c12]</t>
  </si>
  <si>
    <t>Division Expenses</t>
  </si>
  <si>
    <t>Total LGH HM Fees</t>
  </si>
  <si>
    <t>o</t>
  </si>
  <si>
    <t>total_lgh_hm_revenue</t>
  </si>
  <si>
    <t>c12_hm</t>
  </si>
  <si>
    <t>c12 Participation</t>
  </si>
  <si>
    <t>total_c12_hm_revenue</t>
  </si>
  <si>
    <t>Total LGH D&amp;s Fees</t>
  </si>
  <si>
    <t>total_lgh_ds_revenue</t>
  </si>
  <si>
    <t>c12_d&amp;s</t>
  </si>
  <si>
    <t>c12 D&amp;s Participation</t>
  </si>
  <si>
    <t>total_c12_ds_revenue</t>
  </si>
  <si>
    <t>total c12 participation</t>
  </si>
  <si>
    <t>total_participation_revenue_actual</t>
  </si>
  <si>
    <t>c12_oc</t>
  </si>
  <si>
    <t>total lgh revenue</t>
  </si>
  <si>
    <t>total_lgh_revenue</t>
  </si>
  <si>
    <t>art leases</t>
  </si>
  <si>
    <t>i</t>
  </si>
  <si>
    <t>lease_payments</t>
  </si>
  <si>
    <t>sk</t>
  </si>
  <si>
    <t>c12_sk</t>
  </si>
  <si>
    <t>guarantee payments</t>
  </si>
  <si>
    <t>guarantee_fees</t>
  </si>
  <si>
    <t>Total c12 Operating Expenses</t>
  </si>
  <si>
    <t>total_c12_exp_lgh_actual</t>
  </si>
  <si>
    <t>lgh cuda buy back</t>
  </si>
  <si>
    <t>cuda_buyback</t>
  </si>
  <si>
    <t>c12 loc balance</t>
  </si>
  <si>
    <t>loc_balance</t>
  </si>
  <si>
    <t>LGH Fee AR/AP</t>
  </si>
  <si>
    <t>total_lgh_acc_rec</t>
  </si>
  <si>
    <t>C12 Fee Particpiation AR/AP</t>
  </si>
  <si>
    <t>total_c12_acc_rec</t>
  </si>
  <si>
    <t>Period</t>
  </si>
  <si>
    <t>i/o</t>
  </si>
  <si>
    <t>field_name</t>
  </si>
  <si>
    <t xml:space="preserve">cost inflation </t>
  </si>
  <si>
    <t>cost_inflation_rate_actual</t>
  </si>
  <si>
    <t>Charge Back Percentage</t>
  </si>
  <si>
    <t>chargeback_pct_actual</t>
  </si>
  <si>
    <t>participation%</t>
  </si>
  <si>
    <t>participation_pct_actual</t>
  </si>
  <si>
    <t>actual thru</t>
  </si>
  <si>
    <t>actuals_thru</t>
  </si>
  <si>
    <t>projections from</t>
  </si>
  <si>
    <t>projections_from</t>
  </si>
  <si>
    <t>projections to</t>
  </si>
  <si>
    <t>projections_to</t>
  </si>
  <si>
    <t>actual</t>
  </si>
  <si>
    <t>C12 Participation Revenue (not c/b reimb)</t>
  </si>
  <si>
    <t>HM Fees</t>
  </si>
  <si>
    <t>BI&amp;F Fees</t>
  </si>
  <si>
    <t>DS Fees</t>
  </si>
  <si>
    <t>total participation revenue</t>
  </si>
  <si>
    <t>revenues in nominal dollars</t>
  </si>
  <si>
    <t>Infrastructure</t>
  </si>
  <si>
    <t>nonrecur_exp</t>
  </si>
  <si>
    <t>infrastructure</t>
  </si>
  <si>
    <t>this now two people in bi&amp;f</t>
  </si>
  <si>
    <t>Professional services</t>
  </si>
  <si>
    <t>professional_services</t>
  </si>
  <si>
    <t>Hiring Costs</t>
  </si>
  <si>
    <t>hiring_costs</t>
  </si>
  <si>
    <t>signing bonuses</t>
  </si>
  <si>
    <t>signing_bonus</t>
  </si>
  <si>
    <t>Restructuring</t>
  </si>
  <si>
    <t>restructuring</t>
  </si>
  <si>
    <t>put this in c12_oc_hr costs</t>
  </si>
  <si>
    <t>housing</t>
  </si>
  <si>
    <t>I think this is in oop cos paid by me</t>
  </si>
  <si>
    <t>Total</t>
  </si>
  <si>
    <t>c</t>
  </si>
  <si>
    <t>total_nonrecur_exp</t>
  </si>
  <si>
    <t>Reimbursable Operating Expenses (inc holtel)</t>
  </si>
  <si>
    <t xml:space="preserve">revenue from lgh </t>
  </si>
  <si>
    <t>compensation</t>
  </si>
  <si>
    <t>Hotel Management</t>
  </si>
  <si>
    <t>Business Infrastructure &amp; Finance</t>
  </si>
  <si>
    <t xml:space="preserve">Development &amp; Structuring </t>
  </si>
  <si>
    <t>C12 headoffice</t>
  </si>
  <si>
    <t>this was double counting sk, deleted 1.5m</t>
  </si>
  <si>
    <t>Head office expenses</t>
  </si>
  <si>
    <t>office costs (rent &amp; reoccuring)</t>
  </si>
  <si>
    <t>ho_exp</t>
  </si>
  <si>
    <t>office_costs</t>
  </si>
  <si>
    <t>is this updated?</t>
  </si>
  <si>
    <t>Departmental OOP paid via sk</t>
  </si>
  <si>
    <t>should come from danielle</t>
  </si>
  <si>
    <t>Departmental OOP not paid via sk</t>
  </si>
  <si>
    <t>oop_notsk</t>
  </si>
  <si>
    <t>added mastercard cos not all paid by sk</t>
  </si>
  <si>
    <t>Non-recurring Items paid by LGH</t>
  </si>
  <si>
    <t>nonrecur_lgh</t>
  </si>
  <si>
    <t>C12 Accounts Payable</t>
  </si>
  <si>
    <t>accounts_payable</t>
  </si>
  <si>
    <t>WHAT IS THIS? Not double counting?</t>
  </si>
  <si>
    <t>inflation multiplier</t>
  </si>
  <si>
    <t>inflation_multiplier</t>
  </si>
  <si>
    <t>Inflation</t>
  </si>
  <si>
    <t>inflation</t>
  </si>
  <si>
    <t>revs in nominal dollars cos business forecast nominal, but personnel costs real</t>
  </si>
  <si>
    <t>Compensation - total</t>
  </si>
  <si>
    <t>compensation_total</t>
  </si>
  <si>
    <t>Direct compensation not via trinet</t>
  </si>
  <si>
    <t>compensation_direct</t>
  </si>
  <si>
    <t>Total c12 Expenses paid by LGH</t>
  </si>
  <si>
    <t>C12 H/O compensation not paid by lgh</t>
  </si>
  <si>
    <t>Roots donation by c12</t>
  </si>
  <si>
    <t>roots_donation</t>
  </si>
  <si>
    <t>Total c12 Expenses Not paid by lgh</t>
  </si>
  <si>
    <t>total_c12_exp_not_lgh</t>
  </si>
  <si>
    <t>total costs</t>
  </si>
  <si>
    <t>total_c12_costs</t>
  </si>
  <si>
    <t>Total C12 Profit</t>
  </si>
  <si>
    <t>total_c12_profit_actual</t>
  </si>
  <si>
    <t>c12 profit margin</t>
  </si>
  <si>
    <t>c12_profit_margin</t>
  </si>
  <si>
    <t>Bank transfers (actual or danielle)</t>
  </si>
  <si>
    <t>Bank transfers</t>
  </si>
  <si>
    <t>oop</t>
  </si>
  <si>
    <t>art</t>
  </si>
  <si>
    <t>pay</t>
  </si>
  <si>
    <t>guarantess</t>
  </si>
  <si>
    <t>cuda buy back</t>
  </si>
  <si>
    <t>Distributions</t>
  </si>
  <si>
    <t>distribution_required</t>
  </si>
  <si>
    <t>Distribution after c12 profit</t>
  </si>
  <si>
    <t>loc_draw</t>
  </si>
  <si>
    <t>2024LOC writeoff</t>
  </si>
  <si>
    <t>loc_writeoff</t>
  </si>
  <si>
    <t>Balance of  c12 LOC</t>
  </si>
  <si>
    <t>LGH Accounts Receivable</t>
  </si>
  <si>
    <t>Development &amp; Structuring</t>
  </si>
  <si>
    <t>C12 Accounts Receivable</t>
  </si>
  <si>
    <t>BI&amp;f</t>
  </si>
  <si>
    <t>C12 oc compensation expense (not divisons)</t>
  </si>
  <si>
    <t>lgh revenue</t>
  </si>
  <si>
    <t>hm</t>
  </si>
  <si>
    <t>d&amp;s</t>
  </si>
  <si>
    <t>bif</t>
  </si>
  <si>
    <t>total rev attributable to lgh</t>
  </si>
  <si>
    <t>bank_transfers</t>
  </si>
  <si>
    <t>oop_sk</t>
  </si>
  <si>
    <t>art lease payments to sk</t>
  </si>
  <si>
    <t>guarantee fees to sk</t>
  </si>
  <si>
    <t>assets</t>
  </si>
  <si>
    <t>cash open</t>
  </si>
  <si>
    <t>c12 profit</t>
  </si>
  <si>
    <t>borrow from c12 loc</t>
  </si>
  <si>
    <t>LGH to sk (from danielle)</t>
  </si>
  <si>
    <t>c12 to sk (jp dist)</t>
  </si>
  <si>
    <t>cash close</t>
  </si>
  <si>
    <t>participation accrual</t>
  </si>
  <si>
    <t>total assets</t>
  </si>
  <si>
    <t>liabilities</t>
  </si>
  <si>
    <t>c12loc</t>
  </si>
  <si>
    <t>NAV</t>
  </si>
  <si>
    <t>LGH Fee Revenue</t>
  </si>
  <si>
    <t>lgh_fee_revenue_section</t>
  </si>
  <si>
    <t>Bermuda PB Mgt</t>
  </si>
  <si>
    <t>mgmt_fee</t>
  </si>
  <si>
    <t>pb</t>
  </si>
  <si>
    <t>INPUT</t>
  </si>
  <si>
    <t>Bermuda PB Inc</t>
  </si>
  <si>
    <t>incentive_fee</t>
  </si>
  <si>
    <t>Austin Mgt</t>
  </si>
  <si>
    <t>austin</t>
  </si>
  <si>
    <t>Austin Inc</t>
  </si>
  <si>
    <t>Turks Mgt</t>
  </si>
  <si>
    <t>turks</t>
  </si>
  <si>
    <t>Turks Inc</t>
  </si>
  <si>
    <t>Frithholme</t>
  </si>
  <si>
    <t>fritholme</t>
  </si>
  <si>
    <t>Elbow</t>
  </si>
  <si>
    <t>elbow</t>
  </si>
  <si>
    <t>[LSAT]</t>
  </si>
  <si>
    <t>lsat</t>
  </si>
  <si>
    <t>[blank]</t>
  </si>
  <si>
    <t>[L4]</t>
  </si>
  <si>
    <t>l4</t>
  </si>
  <si>
    <t>Total LGH Fees Earned</t>
  </si>
  <si>
    <t>total_fees_earned</t>
  </si>
  <si>
    <t>Deferred Period Fee</t>
  </si>
  <si>
    <t>deferred_fee</t>
  </si>
  <si>
    <t>Paid Fee Accruals</t>
  </si>
  <si>
    <t>paid_fee_accruals</t>
  </si>
  <si>
    <t>Cumm. Balance Accrued Fee</t>
  </si>
  <si>
    <t>cumm_accrued_fee</t>
  </si>
  <si>
    <t>Paid Current Fees</t>
  </si>
  <si>
    <t>paid_current_fees</t>
  </si>
  <si>
    <t>Total Fees Paid</t>
  </si>
  <si>
    <t>total_fees_paid</t>
  </si>
  <si>
    <t>LGH Service Revenue</t>
  </si>
  <si>
    <t>Bermuda PB</t>
  </si>
  <si>
    <t>hm_service_fee</t>
  </si>
  <si>
    <t>Austin</t>
  </si>
  <si>
    <t>Turks</t>
  </si>
  <si>
    <t>Frith</t>
  </si>
  <si>
    <t>service_fee</t>
  </si>
  <si>
    <t>Total LGH HM Service Revenue</t>
  </si>
  <si>
    <t>total_service_revenue</t>
  </si>
  <si>
    <t>deferred_service_fee</t>
  </si>
  <si>
    <t>Paid Service Accruals</t>
  </si>
  <si>
    <t>paid_service_accruals</t>
  </si>
  <si>
    <t>Cumm. Balance Accrued Service Fee</t>
  </si>
  <si>
    <t>cumm_accrued_service_fee</t>
  </si>
  <si>
    <t>Paid Current Service Fees</t>
  </si>
  <si>
    <t>paid_current_service_fees</t>
  </si>
  <si>
    <t>Total Service Revenue Paid</t>
  </si>
  <si>
    <t>total_service_revenue_paid</t>
  </si>
  <si>
    <t>LGH Chargebacks</t>
  </si>
  <si>
    <t>chargeback fee</t>
  </si>
  <si>
    <t>chargeback_multiplier</t>
  </si>
  <si>
    <t>reimbursable by hotels to LGH</t>
  </si>
  <si>
    <t>reimbursable_by_hotels</t>
  </si>
  <si>
    <t>Total LGH HM Charge Back</t>
  </si>
  <si>
    <t>total_chargeback</t>
  </si>
  <si>
    <t>total LGH HM revenue</t>
  </si>
  <si>
    <t>LGH Accounts Receivable Cumm.</t>
  </si>
  <si>
    <t>lgh_ar_cumm</t>
  </si>
  <si>
    <t>C12 Participation %</t>
  </si>
  <si>
    <t>c12_participation_pct</t>
  </si>
  <si>
    <t>pre-modification extra</t>
  </si>
  <si>
    <t>pre_mod_extra_pct</t>
  </si>
  <si>
    <t>catchup extra%</t>
  </si>
  <si>
    <t>catchup_extra_pct</t>
  </si>
  <si>
    <t>charge back percentrage</t>
  </si>
  <si>
    <t>chargeback_pct</t>
  </si>
  <si>
    <t>C12 Participation $</t>
  </si>
  <si>
    <t>c12_participation_amt</t>
  </si>
  <si>
    <t>chargebacks fees</t>
  </si>
  <si>
    <t>chargeback_fees</t>
  </si>
  <si>
    <t>Total C12 HM revenue</t>
  </si>
  <si>
    <t>increase in accrued participation</t>
  </si>
  <si>
    <t>increase_accrued_participation</t>
  </si>
  <si>
    <t>decrease in accrued partipation</t>
  </si>
  <si>
    <t>decrease_accrued_participation</t>
  </si>
  <si>
    <t>Cumm. Total Accrued Participation</t>
  </si>
  <si>
    <t>cumm_accrued_participation</t>
  </si>
  <si>
    <t>if paydown % were correct then this last number would be zeri</t>
  </si>
  <si>
    <t>from HR sheet</t>
  </si>
  <si>
    <t>Grand Total</t>
  </si>
  <si>
    <t>hr_grand_total</t>
  </si>
  <si>
    <t>reimbersable to hotel</t>
  </si>
  <si>
    <t>hr_reimbursable</t>
  </si>
  <si>
    <t>not reimbersable by hotel, but paid by lgh</t>
  </si>
  <si>
    <t>hr_not_reimbursable</t>
  </si>
  <si>
    <t>only paid by c12</t>
  </si>
  <si>
    <t>hr_only_c12</t>
  </si>
  <si>
    <t xml:space="preserve"> </t>
  </si>
  <si>
    <t>Pink Beach Design Fee</t>
  </si>
  <si>
    <t>design_fee</t>
  </si>
  <si>
    <t>Pink Beach Development Fee</t>
  </si>
  <si>
    <t>development_fee</t>
  </si>
  <si>
    <t>Pink Beach Structuring Fee</t>
  </si>
  <si>
    <t>structuring_fee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</si>
  <si>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</si>
  <si>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</si>
  <si>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</si>
  <si>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</si>
  <si>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</si>
  <si>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</si>
  <si>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</si>
  <si>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</si>
  <si>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</si>
  <si>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construction_fee</t>
  </si>
  <si>
    <t>Elbow Acquisition Fee</t>
  </si>
  <si>
    <t>acquisition_fee</t>
  </si>
  <si>
    <t>Frith Acq Fee</t>
  </si>
  <si>
    <t>Frith Disposition fee</t>
  </si>
  <si>
    <t>disposition_fee</t>
  </si>
  <si>
    <t>SAT</t>
  </si>
  <si>
    <t>PB Design Services</t>
  </si>
  <si>
    <t>design_service_fee</t>
  </si>
  <si>
    <t>Austin Design Services</t>
  </si>
  <si>
    <t>Turks Design Services</t>
  </si>
  <si>
    <t>Elbow Design Services</t>
  </si>
  <si>
    <t>Elbow AM</t>
  </si>
  <si>
    <t>am_fee</t>
  </si>
  <si>
    <t>Frith Design Services</t>
  </si>
  <si>
    <t>Frith AM</t>
  </si>
  <si>
    <t>Bermuda PB AM</t>
  </si>
  <si>
    <t>AustinAM</t>
  </si>
  <si>
    <t>sat</t>
  </si>
  <si>
    <t>Paid Accruals</t>
  </si>
  <si>
    <t>Total LGH D&amp;S Charge Back chk</t>
  </si>
  <si>
    <t>total LGH D&amp;S revenue</t>
  </si>
  <si>
    <t>Total C12 D&amp;S revenue</t>
  </si>
  <si>
    <t>lgh_service_revenue_section</t>
  </si>
  <si>
    <t>accting_fee</t>
  </si>
  <si>
    <t>7f</t>
  </si>
  <si>
    <t>Total LGH Bi&amp;F Service Revenue</t>
  </si>
  <si>
    <t>Total LGH Bi&amp;F Charge Back chk</t>
  </si>
  <si>
    <t>total LGH Bi&amp;F revenue</t>
  </si>
  <si>
    <t>total_lgh_bif_revenue</t>
  </si>
  <si>
    <t>chargebacks</t>
  </si>
  <si>
    <t>Total C12 Bi&amp;f revenue</t>
  </si>
  <si>
    <t>total_c12_bif_revenue</t>
  </si>
  <si>
    <t>ocBenefits</t>
  </si>
  <si>
    <t>benefits_rate</t>
  </si>
  <si>
    <t>oc</t>
  </si>
  <si>
    <t>adjusted down to assume sk doesn’t pay</t>
  </si>
  <si>
    <t>ocBonus Tax</t>
  </si>
  <si>
    <t>bonus_tax_rate_actual</t>
  </si>
  <si>
    <t>hmBenefits</t>
  </si>
  <si>
    <t>benefits_rate_actual</t>
  </si>
  <si>
    <t>hmBonus Tax</t>
  </si>
  <si>
    <t>bfBenefits</t>
  </si>
  <si>
    <t>bfBonus Tax</t>
  </si>
  <si>
    <t>dsBenefits</t>
  </si>
  <si>
    <t>ds</t>
  </si>
  <si>
    <t>dsBonus Tax</t>
  </si>
  <si>
    <t>Base</t>
  </si>
  <si>
    <t>Managing Member (SK)</t>
  </si>
  <si>
    <t>base_salary</t>
  </si>
  <si>
    <t>Philanropy senior exec (LM) (100%roots)</t>
  </si>
  <si>
    <t>lm</t>
  </si>
  <si>
    <t>Bookkeeper (DD)</t>
  </si>
  <si>
    <t>dd</t>
  </si>
  <si>
    <t>Personal Assistant (CD)</t>
  </si>
  <si>
    <t>cd</t>
  </si>
  <si>
    <t>philanthropy assist (100%roots)</t>
  </si>
  <si>
    <t>philanthropy</t>
  </si>
  <si>
    <t>TM (gone)</t>
  </si>
  <si>
    <t>tm</t>
  </si>
  <si>
    <t>Bonus</t>
  </si>
  <si>
    <t>bonus</t>
  </si>
  <si>
    <t>total_salary</t>
  </si>
  <si>
    <t>base</t>
  </si>
  <si>
    <t>ACEO Loren Hotels (CE)</t>
  </si>
  <si>
    <t>ce</t>
  </si>
  <si>
    <t>VP Operations (WS)</t>
  </si>
  <si>
    <t>ws</t>
  </si>
  <si>
    <t>seniorS&amp;Mexe (CL)</t>
  </si>
  <si>
    <t>cl</t>
  </si>
  <si>
    <t>Senior Associate (RF)</t>
  </si>
  <si>
    <t>rf</t>
  </si>
  <si>
    <t>associate (MT)</t>
  </si>
  <si>
    <t>mt</t>
  </si>
  <si>
    <t>project manager</t>
  </si>
  <si>
    <t>project</t>
  </si>
  <si>
    <t>Total Salaries</t>
  </si>
  <si>
    <t>HODS  (RB)</t>
  </si>
  <si>
    <t>rb</t>
  </si>
  <si>
    <t>Project Executive  (LS) (100%)</t>
  </si>
  <si>
    <t>ls</t>
  </si>
  <si>
    <t>Project Manager (BD) (100%)</t>
  </si>
  <si>
    <t>bd</t>
  </si>
  <si>
    <t>Counsel (KT)</t>
  </si>
  <si>
    <t>kt</t>
  </si>
  <si>
    <t>Development Manager??? (alexi?)</t>
  </si>
  <si>
    <t>development</t>
  </si>
  <si>
    <t>Banker (tBD)</t>
  </si>
  <si>
    <t>banker</t>
  </si>
  <si>
    <t>Senior Design Manager (AM)</t>
  </si>
  <si>
    <t>am</t>
  </si>
  <si>
    <t>Design Manager (AL) (gone)</t>
  </si>
  <si>
    <t>al</t>
  </si>
  <si>
    <t>new design manager (TBD)</t>
  </si>
  <si>
    <t>tbd</t>
  </si>
  <si>
    <t>FF&amp;E (SB)</t>
  </si>
  <si>
    <t>sb</t>
  </si>
  <si>
    <t>Senior Financial Analyst (KS)</t>
  </si>
  <si>
    <t>ks</t>
  </si>
  <si>
    <t>HOBI (CW)</t>
  </si>
  <si>
    <t>cw</t>
  </si>
  <si>
    <t xml:space="preserve">CFO (ZS) </t>
  </si>
  <si>
    <t>zs</t>
  </si>
  <si>
    <t xml:space="preserve">Financial Analyst (NR) </t>
  </si>
  <si>
    <t>nr</t>
  </si>
  <si>
    <t>Fin Controls (TB) - 100%</t>
  </si>
  <si>
    <t>tb</t>
  </si>
  <si>
    <t>Administrative Assistant (AM)</t>
  </si>
  <si>
    <t>Administrative Assistant (PT)</t>
  </si>
  <si>
    <t>pt</t>
  </si>
  <si>
    <t>Financial Director (DV) - 100%</t>
  </si>
  <si>
    <t>dv</t>
  </si>
  <si>
    <t>IM (TW)</t>
  </si>
  <si>
    <t>tw</t>
  </si>
  <si>
    <t>HR (100%)</t>
  </si>
  <si>
    <t>hr</t>
  </si>
  <si>
    <t>Legal (100%)</t>
  </si>
  <si>
    <t>legal</t>
  </si>
  <si>
    <t>Tech1</t>
  </si>
  <si>
    <t>tech1</t>
  </si>
  <si>
    <t>Tech2</t>
  </si>
  <si>
    <t>tech2</t>
  </si>
  <si>
    <t>CY Project Time Allocation</t>
  </si>
  <si>
    <t>HO</t>
  </si>
  <si>
    <t>unalloc</t>
  </si>
  <si>
    <t>alloc</t>
  </si>
  <si>
    <t>lgh</t>
  </si>
  <si>
    <t>reimb</t>
  </si>
  <si>
    <t>BDA</t>
  </si>
  <si>
    <t>Aus</t>
  </si>
  <si>
    <t>ELBOW</t>
  </si>
  <si>
    <t>ROOTS</t>
  </si>
  <si>
    <t>FO</t>
  </si>
  <si>
    <t>time_alloc</t>
  </si>
  <si>
    <t>hm_sk</t>
  </si>
  <si>
    <t>hm_lm</t>
  </si>
  <si>
    <t>hm_dd</t>
  </si>
  <si>
    <t>hm_cd</t>
  </si>
  <si>
    <t>hm_philanthropy</t>
  </si>
  <si>
    <t>hm_tm</t>
  </si>
  <si>
    <t>hm_ce</t>
  </si>
  <si>
    <t>hm_ws</t>
  </si>
  <si>
    <t>hm_cl</t>
  </si>
  <si>
    <t>hm_rf</t>
  </si>
  <si>
    <t>hm_mt</t>
  </si>
  <si>
    <t>hm_project</t>
  </si>
  <si>
    <t>D&amp;S</t>
  </si>
  <si>
    <t>ds_rb</t>
  </si>
  <si>
    <t>ds_ls</t>
  </si>
  <si>
    <t>ds_bd</t>
  </si>
  <si>
    <t>ds_kt</t>
  </si>
  <si>
    <t>ds_development</t>
  </si>
  <si>
    <t>ds_banker</t>
  </si>
  <si>
    <t>ds_am</t>
  </si>
  <si>
    <t>ds_al</t>
  </si>
  <si>
    <t>ds_tbd</t>
  </si>
  <si>
    <t>ds_sb</t>
  </si>
  <si>
    <t>ds_ks</t>
  </si>
  <si>
    <t>Bi&amp;F</t>
  </si>
  <si>
    <t>bif_cw</t>
  </si>
  <si>
    <t>bif_zs</t>
  </si>
  <si>
    <t>bif_nr</t>
  </si>
  <si>
    <t>bif_tb</t>
  </si>
  <si>
    <t>bif_am</t>
  </si>
  <si>
    <t>bif_pt</t>
  </si>
  <si>
    <t>bif_dv</t>
  </si>
  <si>
    <t>bif_tw</t>
  </si>
  <si>
    <t>bif_hr</t>
  </si>
  <si>
    <t>bif_legal</t>
  </si>
  <si>
    <t>bif_tech1</t>
  </si>
  <si>
    <t>bif_tech2</t>
  </si>
  <si>
    <t>LIVE (Python)</t>
  </si>
  <si>
    <t>BASELINE (frozen)</t>
  </si>
  <si>
    <t>ERROR = live - baseline</t>
  </si>
  <si>
    <t>Q2_2026</t>
  </si>
  <si>
    <t>Q3_2026</t>
  </si>
  <si>
    <t>Q4_2026</t>
  </si>
  <si>
    <t>sheet</t>
  </si>
  <si>
    <t>label</t>
  </si>
  <si>
    <t>Cumm. Accrued Participation</t>
  </si>
  <si>
    <t>c12_bi&amp;F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</si>
</sst>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"/>
    <numFmt numFmtId="166" formatCode="_(&quot;$&quot;* #,##0_);_(&quot;$&quot;* \(#,##0\);_(&quot;$&quot;* &quot;-&quot;??_);_(@_)"/>
    <numFmt numFmtId="167" formatCode="_([$$-409]* #,##0_);_([$$-409]* \(#,##0\);_([$$-409]* &quot;-&quot;??_);_(@_)"/>
    <numFmt numFmtId="168" formatCode="0.0%"/>
    <numFmt numFmtId="174" formatCode="&quot;Year&quot;\ 0"/>
    <numFmt numFmtId="181" formatCode="[$-409]d\-mmm\-yy;@"/>
    <numFmt numFmtId="182" formatCode="yyyy\-mm\-dd"/>
    <numFmt numFmtId="183" formatCode="#,##0;\(#,##0\);\-"/>
    <numFmt numFmtId="184" formatCode="_-* #,##0.00_-;\-* #,##0.00_-;_-* &quot;-&quot;??_-;_-@_-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 Light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 Light"/>
      <family val="2"/>
    </font>
    <font>
      <sz val="14"/>
      <color rgb="FF000000"/>
      <name val="Calibri Light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</font>
    <font>
      <sz val="14"/>
      <color rgb="FF000000"/>
      <name val="Calibri"/>
    </font>
    <font>
      <sz val="11"/>
      <color rgb="FF000000"/>
      <name val="Calibri Light"/>
    </font>
    <font>
      <sz val="11"/>
      <color rgb="FF000000"/>
      <name val="Aptos Narrow"/>
    </font>
    <font>
      <b/>
      <sz val="11"/>
      <color rgb="FFFFFFFF"/>
      <name val="Calibri"/>
    </font>
    <font>
      <b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D3D3D3"/>
      </patternFill>
    </fill>
    <fill>
      <patternFill patternType="solid">
        <fgColor rgb="FF00B0F0"/>
        <bgColor indexed="64"/>
      </patternFill>
    </fill>
    <fill>
      <patternFill patternType="solid">
        <fgColor rgb="FFCC9966"/>
      </patternFill>
    </fill>
    <fill>
      <patternFill patternType="solid">
        <fgColor rgb="FF00B050"/>
        <bgColor indexed="64"/>
      </patternFill>
    </fill>
    <fill>
      <patternFill patternType="solid">
        <fgColor rgb="FF2F5597"/>
      </patternFill>
    </fill>
    <fill>
      <patternFill patternType="solid">
        <fgColor rgb="FF548235"/>
      </patternFill>
    </fill>
    <fill>
      <patternFill patternType="solid">
        <fgColor rgb="FFC0000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</borders>
  <cellStyleXfs count="19">
    <xf numFmtId="0" fontId="0" fillId="0" borderId="10"/>
    <xf numFmtId="43" fontId="1" fillId="0" borderId="10"/>
    <xf numFmtId="44" fontId="1" fillId="0" borderId="10"/>
    <xf numFmtId="9" fontId="1" fillId="0" borderId="10"/>
    <xf numFmtId="0" fontId="1" fillId="0" borderId="10"/>
    <xf numFmtId="184" fontId="1" fillId="0" borderId="10"/>
    <xf numFmtId="43" fontId="4" fillId="0" borderId="10"/>
    <xf numFmtId="43" fontId="1" fillId="0" borderId="10"/>
    <xf numFmtId="0" fontId="4" fillId="0" borderId="10"/>
    <xf numFmtId="37" fontId="6" fillId="0" borderId="10"/>
    <xf numFmtId="43" fontId="7" fillId="0" borderId="10"/>
    <xf numFmtId="9" fontId="7" fillId="0" borderId="10"/>
    <xf numFmtId="44" fontId="7" fillId="0" borderId="10"/>
    <xf numFmtId="0" fontId="5" fillId="0" borderId="10"/>
    <xf numFmtId="43" fontId="5" fillId="0" borderId="10"/>
    <xf numFmtId="0" fontId="4" fillId="0" borderId="10"/>
    <xf numFmtId="0" fontId="1" fillId="0" borderId="10"/>
    <xf numFmtId="0" fontId="10" fillId="0" borderId="10"/>
    <xf numFmtId="44" fontId="3" fillId="0" borderId="10"/>
  </cellStyleXfs>
  <cellXfs count="325"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0" fontId="8" fillId="0" borderId="0" xfId="0" applyFont="1" applyBorder="1"/>
    <xf numFmtId="0" fontId="9" fillId="0" borderId="0" xfId="0" applyFont="1" applyBorder="1"/>
    <xf numFmtId="164" fontId="1" fillId="0" borderId="0" xfId="1" applyNumberFormat="1" applyBorder="1"/>
    <xf numFmtId="164" fontId="11" fillId="0" borderId="0" xfId="0" applyNumberFormat="1" applyFont="1" applyBorder="1"/>
    <xf numFmtId="0" fontId="10" fillId="0" borderId="0" xfId="0" applyFont="1" applyBorder="1"/>
    <xf numFmtId="0" fontId="0" fillId="2" borderId="0" xfId="0" applyFill="1" applyBorder="1"/>
    <xf numFmtId="0" fontId="0" fillId="4" borderId="0" xfId="0" applyFill="1" applyBorder="1"/>
    <xf numFmtId="0" fontId="10" fillId="4" borderId="0" xfId="0" applyFont="1" applyFill="1" applyBorder="1"/>
    <xf numFmtId="0" fontId="0" fillId="5" borderId="0" xfId="0" applyFill="1" applyBorder="1"/>
    <xf numFmtId="164" fontId="1" fillId="5" borderId="0" xfId="1" applyNumberFormat="1" applyFill="1" applyBorder="1"/>
    <xf numFmtId="0" fontId="10" fillId="5" borderId="0" xfId="0" applyFont="1" applyFill="1" applyBorder="1"/>
    <xf numFmtId="0" fontId="9" fillId="5" borderId="0" xfId="0" applyFont="1" applyFill="1" applyBorder="1"/>
    <xf numFmtId="0" fontId="13" fillId="8" borderId="1" xfId="13" applyFont="1" applyFill="1" applyBorder="1" applyAlignment="1">
      <alignment vertical="center"/>
    </xf>
    <xf numFmtId="43" fontId="1" fillId="0" borderId="1" xfId="1" applyBorder="1"/>
    <xf numFmtId="164" fontId="1" fillId="0" borderId="1" xfId="1" applyNumberFormat="1" applyBorder="1"/>
    <xf numFmtId="0" fontId="14" fillId="0" borderId="0" xfId="0" applyFont="1" applyBorder="1"/>
    <xf numFmtId="0" fontId="14" fillId="5" borderId="0" xfId="0" applyFont="1" applyFill="1" applyBorder="1"/>
    <xf numFmtId="0" fontId="9" fillId="0" borderId="1" xfId="0" applyFont="1" applyBorder="1"/>
    <xf numFmtId="0" fontId="0" fillId="0" borderId="1" xfId="0" applyBorder="1"/>
    <xf numFmtId="0" fontId="15" fillId="6" borderId="2" xfId="0" applyFont="1" applyFill="1" applyBorder="1"/>
    <xf numFmtId="0" fontId="15" fillId="8" borderId="2" xfId="13" applyFont="1" applyFill="1" applyBorder="1" applyAlignment="1">
      <alignment vertical="center"/>
    </xf>
    <xf numFmtId="0" fontId="15" fillId="8" borderId="2" xfId="0" applyFont="1" applyFill="1" applyBorder="1"/>
    <xf numFmtId="0" fontId="15" fillId="6" borderId="2" xfId="13" applyFont="1" applyFill="1" applyBorder="1" applyAlignment="1">
      <alignment vertical="center"/>
    </xf>
    <xf numFmtId="164" fontId="15" fillId="6" borderId="2" xfId="1" applyNumberFormat="1" applyFont="1" applyFill="1" applyBorder="1"/>
    <xf numFmtId="164" fontId="15" fillId="6" borderId="2" xfId="1" applyNumberFormat="1" applyFont="1" applyFill="1" applyBorder="1" applyAlignment="1">
      <alignment horizontal="center"/>
    </xf>
    <xf numFmtId="10" fontId="15" fillId="6" borderId="2" xfId="3" applyNumberFormat="1" applyFont="1" applyFill="1" applyBorder="1" applyAlignment="1">
      <alignment horizontal="center"/>
    </xf>
    <xf numFmtId="10" fontId="15" fillId="6" borderId="2" xfId="3" applyNumberFormat="1" applyFont="1" applyFill="1" applyBorder="1"/>
    <xf numFmtId="9" fontId="15" fillId="6" borderId="2" xfId="3" applyFont="1" applyFill="1" applyBorder="1"/>
    <xf numFmtId="164" fontId="15" fillId="6" borderId="2" xfId="0" applyNumberFormat="1" applyFont="1" applyFill="1" applyBorder="1"/>
    <xf numFmtId="0" fontId="16" fillId="8" borderId="2" xfId="0" applyFont="1" applyFill="1" applyBorder="1"/>
    <xf numFmtId="0" fontId="15" fillId="6" borderId="2" xfId="0" quotePrefix="1" applyFont="1" applyFill="1" applyBorder="1" applyAlignment="1">
      <alignment horizontal="right"/>
    </xf>
    <xf numFmtId="3" fontId="15" fillId="6" borderId="2" xfId="0" applyNumberFormat="1" applyFont="1" applyFill="1" applyBorder="1"/>
    <xf numFmtId="9" fontId="15" fillId="8" borderId="2" xfId="3" applyFont="1" applyFill="1" applyBorder="1"/>
    <xf numFmtId="166" fontId="15" fillId="6" borderId="2" xfId="2" applyNumberFormat="1" applyFont="1" applyFill="1" applyBorder="1"/>
    <xf numFmtId="0" fontId="15" fillId="6" borderId="2" xfId="0" applyFont="1" applyFill="1" applyBorder="1" applyAlignment="1">
      <alignment horizontal="center"/>
    </xf>
    <xf numFmtId="0" fontId="15" fillId="8" borderId="2" xfId="13" applyFont="1" applyFill="1" applyBorder="1" applyAlignment="1">
      <alignment horizontal="left" indent="1"/>
    </xf>
    <xf numFmtId="167" fontId="15" fillId="6" borderId="2" xfId="13" applyNumberFormat="1" applyFont="1" applyFill="1" applyBorder="1" applyAlignment="1">
      <alignment vertical="center"/>
    </xf>
    <xf numFmtId="43" fontId="15" fillId="6" borderId="2" xfId="1" applyFont="1" applyFill="1" applyBorder="1"/>
    <xf numFmtId="164" fontId="15" fillId="8" borderId="2" xfId="1" applyNumberFormat="1" applyFont="1" applyFill="1" applyBorder="1"/>
    <xf numFmtId="9" fontId="15" fillId="6" borderId="2" xfId="0" applyNumberFormat="1" applyFont="1" applyFill="1" applyBorder="1" applyAlignment="1">
      <alignment horizontal="center"/>
    </xf>
    <xf numFmtId="10" fontId="15" fillId="6" borderId="2" xfId="0" applyNumberFormat="1" applyFont="1" applyFill="1" applyBorder="1" applyAlignment="1">
      <alignment horizontal="center"/>
    </xf>
    <xf numFmtId="44" fontId="15" fillId="6" borderId="2" xfId="0" applyNumberFormat="1" applyFont="1" applyFill="1" applyBorder="1"/>
    <xf numFmtId="3" fontId="17" fillId="3" borderId="3" xfId="0" applyNumberFormat="1" applyFont="1" applyFill="1" applyBorder="1"/>
    <xf numFmtId="3" fontId="17" fillId="6" borderId="3" xfId="0" applyNumberFormat="1" applyFont="1" applyFill="1" applyBorder="1"/>
    <xf numFmtId="0" fontId="17" fillId="6" borderId="3" xfId="0" applyFont="1" applyFill="1" applyBorder="1"/>
    <xf numFmtId="0" fontId="0" fillId="0" borderId="2" xfId="0" applyBorder="1"/>
    <xf numFmtId="0" fontId="9" fillId="0" borderId="2" xfId="0" applyFont="1" applyBorder="1"/>
    <xf numFmtId="0" fontId="10" fillId="0" borderId="2" xfId="0" applyFont="1" applyBorder="1"/>
    <xf numFmtId="164" fontId="17" fillId="3" borderId="2" xfId="1" applyNumberFormat="1" applyFont="1" applyFill="1" applyBorder="1" applyAlignment="1">
      <alignment vertical="center"/>
    </xf>
    <xf numFmtId="0" fontId="0" fillId="5" borderId="2" xfId="0" applyFill="1" applyBorder="1"/>
    <xf numFmtId="0" fontId="9" fillId="10" borderId="0" xfId="0" applyFont="1" applyFill="1" applyBorder="1"/>
    <xf numFmtId="0" fontId="9" fillId="0" borderId="2" xfId="0" applyFont="1" applyBorder="1" applyAlignment="1">
      <alignment horizontal="left"/>
    </xf>
    <xf numFmtId="164" fontId="1" fillId="0" borderId="4" xfId="1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2" fillId="6" borderId="8" xfId="0" applyFont="1" applyFill="1" applyBorder="1"/>
    <xf numFmtId="0" fontId="19" fillId="6" borderId="8" xfId="0" applyFont="1" applyFill="1" applyBorder="1" applyAlignment="1">
      <alignment horizontal="left"/>
    </xf>
    <xf numFmtId="0" fontId="19" fillId="6" borderId="8" xfId="0" applyFont="1" applyFill="1" applyBorder="1"/>
    <xf numFmtId="0" fontId="22" fillId="11" borderId="8" xfId="13" applyFont="1" applyFill="1" applyBorder="1" applyAlignment="1">
      <alignment vertical="center"/>
    </xf>
    <xf numFmtId="0" fontId="22" fillId="11" borderId="8" xfId="13" applyFont="1" applyFill="1" applyBorder="1" applyAlignment="1">
      <alignment horizontal="left" vertical="center"/>
    </xf>
    <xf numFmtId="165" fontId="22" fillId="11" borderId="8" xfId="13" applyNumberFormat="1" applyFont="1" applyFill="1" applyBorder="1" applyAlignment="1">
      <alignment horizontal="right" vertical="center"/>
    </xf>
    <xf numFmtId="165" fontId="22" fillId="11" borderId="8" xfId="13" applyNumberFormat="1" applyFont="1" applyFill="1" applyBorder="1" applyAlignment="1">
      <alignment horizontal="center" vertical="center"/>
    </xf>
    <xf numFmtId="0" fontId="22" fillId="11" borderId="8" xfId="0" applyFont="1" applyFill="1" applyBorder="1"/>
    <xf numFmtId="0" fontId="22" fillId="11" borderId="8" xfId="13" applyFont="1" applyFill="1" applyBorder="1" applyAlignment="1">
      <alignment horizontal="right" vertical="center"/>
    </xf>
    <xf numFmtId="0" fontId="22" fillId="11" borderId="8" xfId="13" applyFont="1" applyFill="1" applyBorder="1" applyAlignment="1">
      <alignment horizontal="center" vertical="center"/>
    </xf>
    <xf numFmtId="168" fontId="23" fillId="8" borderId="8" xfId="3" applyNumberFormat="1" applyFont="1" applyFill="1" applyBorder="1" applyAlignment="1">
      <alignment horizontal="left" vertical="center"/>
    </xf>
    <xf numFmtId="168" fontId="23" fillId="8" borderId="8" xfId="3" applyNumberFormat="1" applyFont="1" applyFill="1" applyBorder="1" applyAlignment="1">
      <alignment vertical="center"/>
    </xf>
    <xf numFmtId="0" fontId="22" fillId="8" borderId="8" xfId="0" applyFont="1" applyFill="1" applyBorder="1"/>
    <xf numFmtId="0" fontId="22" fillId="8" borderId="8" xfId="13" applyFont="1" applyFill="1" applyBorder="1" applyAlignment="1">
      <alignment horizontal="left" vertical="center"/>
    </xf>
    <xf numFmtId="0" fontId="22" fillId="8" borderId="8" xfId="13" applyFont="1" applyFill="1" applyBorder="1" applyAlignment="1">
      <alignment vertical="center"/>
    </xf>
    <xf numFmtId="0" fontId="22" fillId="6" borderId="8" xfId="13" applyFont="1" applyFill="1" applyBorder="1" applyAlignment="1">
      <alignment horizontal="left" vertical="center"/>
    </xf>
    <xf numFmtId="9" fontId="22" fillId="3" borderId="8" xfId="3" applyFont="1" applyFill="1" applyBorder="1"/>
    <xf numFmtId="0" fontId="22" fillId="6" borderId="8" xfId="13" applyFont="1" applyFill="1" applyBorder="1" applyAlignment="1">
      <alignment vertical="center"/>
    </xf>
    <xf numFmtId="0" fontId="22" fillId="6" borderId="8" xfId="13" applyFont="1" applyFill="1" applyBorder="1" applyAlignment="1">
      <alignment horizontal="left" vertical="center" indent="1"/>
    </xf>
    <xf numFmtId="168" fontId="22" fillId="3" borderId="8" xfId="0" applyNumberFormat="1" applyFont="1" applyFill="1" applyBorder="1"/>
    <xf numFmtId="9" fontId="22" fillId="3" borderId="8" xfId="0" applyNumberFormat="1" applyFont="1" applyFill="1" applyBorder="1"/>
    <xf numFmtId="0" fontId="22" fillId="6" borderId="8" xfId="0" applyFont="1" applyFill="1" applyBorder="1" applyAlignment="1">
      <alignment horizontal="left"/>
    </xf>
    <xf numFmtId="168" fontId="23" fillId="6" borderId="8" xfId="3" applyNumberFormat="1" applyFont="1" applyFill="1" applyBorder="1" applyAlignment="1">
      <alignment horizontal="left" vertical="center"/>
    </xf>
    <xf numFmtId="168" fontId="23" fillId="6" borderId="8" xfId="3" applyNumberFormat="1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/>
    </xf>
    <xf numFmtId="0" fontId="22" fillId="6" borderId="8" xfId="13" applyFont="1" applyFill="1" applyBorder="1" applyAlignment="1">
      <alignment horizontal="center" vertical="center"/>
    </xf>
    <xf numFmtId="0" fontId="22" fillId="6" borderId="8" xfId="13" applyFont="1" applyFill="1" applyBorder="1" applyAlignment="1">
      <alignment horizontal="right" vertical="center"/>
    </xf>
    <xf numFmtId="0" fontId="22" fillId="8" borderId="8" xfId="13" applyFont="1" applyFill="1" applyBorder="1" applyAlignment="1">
      <alignment horizontal="left" vertical="center" indent="1"/>
    </xf>
    <xf numFmtId="164" fontId="22" fillId="6" borderId="8" xfId="1" applyNumberFormat="1" applyFont="1" applyFill="1" applyBorder="1" applyAlignment="1">
      <alignment vertical="center"/>
    </xf>
    <xf numFmtId="0" fontId="22" fillId="8" borderId="8" xfId="13" applyFont="1" applyFill="1" applyBorder="1" applyAlignment="1">
      <alignment horizontal="right" vertical="center"/>
    </xf>
    <xf numFmtId="164" fontId="22" fillId="7" borderId="9" xfId="1" applyNumberFormat="1" applyFont="1" applyFill="1" applyBorder="1" applyAlignment="1">
      <alignment vertical="center"/>
    </xf>
    <xf numFmtId="3" fontId="22" fillId="6" borderId="8" xfId="0" applyNumberFormat="1" applyFont="1" applyFill="1" applyBorder="1"/>
    <xf numFmtId="164" fontId="22" fillId="9" borderId="9" xfId="1" applyNumberFormat="1" applyFont="1" applyFill="1" applyBorder="1" applyAlignment="1">
      <alignment vertical="center"/>
    </xf>
    <xf numFmtId="0" fontId="22" fillId="8" borderId="8" xfId="0" applyFont="1" applyFill="1" applyBorder="1" applyAlignment="1">
      <alignment horizontal="left"/>
    </xf>
    <xf numFmtId="164" fontId="22" fillId="6" borderId="8" xfId="1" applyNumberFormat="1" applyFont="1" applyFill="1" applyBorder="1" applyAlignment="1">
      <alignment horizontal="center"/>
    </xf>
    <xf numFmtId="44" fontId="22" fillId="6" borderId="8" xfId="2" applyFont="1" applyFill="1" applyBorder="1" applyAlignment="1">
      <alignment horizontal="right" vertical="top" wrapText="1"/>
    </xf>
    <xf numFmtId="0" fontId="22" fillId="3" borderId="8" xfId="0" applyFont="1" applyFill="1" applyBorder="1" applyAlignment="1">
      <alignment horizontal="center"/>
    </xf>
    <xf numFmtId="164" fontId="22" fillId="3" borderId="8" xfId="1" applyNumberFormat="1" applyFont="1" applyFill="1" applyBorder="1" applyAlignment="1">
      <alignment horizontal="center"/>
    </xf>
    <xf numFmtId="11" fontId="22" fillId="3" borderId="8" xfId="0" applyNumberFormat="1" applyFont="1" applyFill="1" applyBorder="1" applyAlignment="1">
      <alignment horizontal="center"/>
    </xf>
    <xf numFmtId="1" fontId="22" fillId="6" borderId="8" xfId="0" applyNumberFormat="1" applyFont="1" applyFill="1" applyBorder="1"/>
    <xf numFmtId="0" fontId="22" fillId="8" borderId="8" xfId="0" applyFont="1" applyFill="1" applyBorder="1" applyAlignment="1">
      <alignment horizontal="right"/>
    </xf>
    <xf numFmtId="0" fontId="22" fillId="6" borderId="8" xfId="13" applyFont="1" applyFill="1" applyBorder="1" applyAlignment="1">
      <alignment horizontal="right" indent="1"/>
    </xf>
    <xf numFmtId="0" fontId="22" fillId="6" borderId="8" xfId="13" applyFont="1" applyFill="1" applyBorder="1" applyAlignment="1">
      <alignment horizontal="left"/>
    </xf>
    <xf numFmtId="0" fontId="22" fillId="6" borderId="8" xfId="13" applyFont="1" applyFill="1" applyBorder="1" applyAlignment="1">
      <alignment horizontal="left" indent="1"/>
    </xf>
    <xf numFmtId="4" fontId="22" fillId="6" borderId="8" xfId="0" applyNumberFormat="1" applyFont="1" applyFill="1" applyBorder="1"/>
    <xf numFmtId="0" fontId="22" fillId="8" borderId="8" xfId="13" applyFont="1" applyFill="1" applyBorder="1" applyAlignment="1">
      <alignment horizontal="left" indent="1"/>
    </xf>
    <xf numFmtId="0" fontId="22" fillId="8" borderId="8" xfId="13" applyFont="1" applyFill="1" applyBorder="1" applyAlignment="1">
      <alignment horizontal="left"/>
    </xf>
    <xf numFmtId="164" fontId="22" fillId="3" borderId="8" xfId="1" applyNumberFormat="1" applyFont="1" applyFill="1" applyBorder="1" applyAlignment="1">
      <alignment vertical="center"/>
    </xf>
    <xf numFmtId="0" fontId="22" fillId="8" borderId="8" xfId="0" applyFont="1" applyFill="1" applyBorder="1" applyAlignment="1">
      <alignment horizontal="left" indent="1"/>
    </xf>
    <xf numFmtId="164" fontId="22" fillId="3" borderId="8" xfId="0" applyNumberFormat="1" applyFont="1" applyFill="1" applyBorder="1"/>
    <xf numFmtId="164" fontId="22" fillId="6" borderId="8" xfId="0" applyNumberFormat="1" applyFont="1" applyFill="1" applyBorder="1"/>
    <xf numFmtId="43" fontId="22" fillId="8" borderId="8" xfId="1" applyFont="1" applyFill="1" applyBorder="1"/>
    <xf numFmtId="43" fontId="22" fillId="8" borderId="8" xfId="1" applyFont="1" applyFill="1" applyBorder="1" applyAlignment="1">
      <alignment horizontal="left"/>
    </xf>
    <xf numFmtId="43" fontId="22" fillId="6" borderId="8" xfId="1" applyFont="1" applyFill="1" applyBorder="1" applyAlignment="1">
      <alignment horizontal="left"/>
    </xf>
    <xf numFmtId="43" fontId="22" fillId="6" borderId="8" xfId="1" applyFont="1" applyFill="1" applyBorder="1"/>
    <xf numFmtId="43" fontId="22" fillId="3" borderId="8" xfId="1" applyFont="1" applyFill="1" applyBorder="1"/>
    <xf numFmtId="3" fontId="19" fillId="6" borderId="8" xfId="0" applyNumberFormat="1" applyFont="1" applyFill="1" applyBorder="1"/>
    <xf numFmtId="164" fontId="22" fillId="7" borderId="8" xfId="1" applyNumberFormat="1" applyFont="1" applyFill="1" applyBorder="1" applyAlignment="1">
      <alignment vertical="center"/>
    </xf>
    <xf numFmtId="164" fontId="22" fillId="6" borderId="8" xfId="1" applyNumberFormat="1" applyFont="1" applyFill="1" applyBorder="1"/>
    <xf numFmtId="164" fontId="22" fillId="7" borderId="8" xfId="1" applyNumberFormat="1" applyFont="1" applyFill="1" applyBorder="1" applyAlignment="1">
      <alignment horizontal="right" vertical="center"/>
    </xf>
    <xf numFmtId="164" fontId="22" fillId="9" borderId="8" xfId="1" applyNumberFormat="1" applyFont="1" applyFill="1" applyBorder="1" applyAlignment="1">
      <alignment horizontal="right" vertical="center"/>
    </xf>
    <xf numFmtId="4" fontId="22" fillId="6" borderId="8" xfId="1" applyNumberFormat="1" applyFont="1" applyFill="1" applyBorder="1" applyAlignment="1">
      <alignment horizontal="center"/>
    </xf>
    <xf numFmtId="9" fontId="22" fillId="6" borderId="8" xfId="3" applyFont="1" applyFill="1" applyBorder="1" applyAlignment="1">
      <alignment horizont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left"/>
    </xf>
    <xf numFmtId="0" fontId="24" fillId="6" borderId="8" xfId="0" applyFont="1" applyFill="1" applyBorder="1" applyAlignment="1">
      <alignment horizontal="left"/>
    </xf>
    <xf numFmtId="164" fontId="19" fillId="6" borderId="8" xfId="1" applyNumberFormat="1" applyFont="1" applyFill="1" applyBorder="1" applyAlignment="1">
      <alignment vertical="center"/>
    </xf>
    <xf numFmtId="9" fontId="24" fillId="6" borderId="8" xfId="3" applyFont="1" applyFill="1" applyBorder="1"/>
    <xf numFmtId="9" fontId="24" fillId="6" borderId="8" xfId="3" applyFont="1" applyFill="1" applyBorder="1" applyAlignment="1">
      <alignment horizontal="center"/>
    </xf>
    <xf numFmtId="9" fontId="24" fillId="6" borderId="8" xfId="0" applyNumberFormat="1" applyFont="1" applyFill="1" applyBorder="1" applyAlignment="1">
      <alignment horizontal="center"/>
    </xf>
    <xf numFmtId="9" fontId="24" fillId="6" borderId="8" xfId="0" applyNumberFormat="1" applyFont="1" applyFill="1" applyBorder="1"/>
    <xf numFmtId="0" fontId="24" fillId="6" borderId="8" xfId="0" applyFont="1" applyFill="1" applyBorder="1"/>
    <xf numFmtId="10" fontId="24" fillId="6" borderId="8" xfId="1" applyNumberFormat="1" applyFont="1" applyFill="1" applyBorder="1"/>
    <xf numFmtId="4" fontId="24" fillId="6" borderId="8" xfId="3" applyNumberFormat="1" applyFont="1" applyFill="1" applyBorder="1"/>
    <xf numFmtId="164" fontId="22" fillId="8" borderId="8" xfId="1" applyNumberFormat="1" applyFont="1" applyFill="1" applyBorder="1" applyAlignment="1">
      <alignment horizontal="right"/>
    </xf>
    <xf numFmtId="164" fontId="22" fillId="8" borderId="8" xfId="1" applyNumberFormat="1" applyFont="1" applyFill="1" applyBorder="1"/>
    <xf numFmtId="164" fontId="22" fillId="3" borderId="8" xfId="1" applyNumberFormat="1" applyFont="1" applyFill="1" applyBorder="1"/>
    <xf numFmtId="0" fontId="24" fillId="6" borderId="8" xfId="0" applyFont="1" applyFill="1" applyBorder="1" applyAlignment="1">
      <alignment horizontal="right"/>
    </xf>
    <xf numFmtId="164" fontId="24" fillId="6" borderId="8" xfId="3" applyNumberFormat="1" applyFont="1" applyFill="1" applyBorder="1"/>
    <xf numFmtId="3" fontId="24" fillId="6" borderId="8" xfId="3" applyNumberFormat="1" applyFont="1" applyFill="1" applyBorder="1"/>
    <xf numFmtId="0" fontId="24" fillId="8" borderId="8" xfId="0" applyFont="1" applyFill="1" applyBorder="1" applyAlignment="1">
      <alignment horizontal="right"/>
    </xf>
    <xf numFmtId="164" fontId="24" fillId="7" borderId="8" xfId="1" applyNumberFormat="1" applyFont="1" applyFill="1" applyBorder="1"/>
    <xf numFmtId="164" fontId="24" fillId="9" borderId="8" xfId="1" applyNumberFormat="1" applyFont="1" applyFill="1" applyBorder="1"/>
    <xf numFmtId="164" fontId="24" fillId="6" borderId="8" xfId="1" applyNumberFormat="1" applyFont="1" applyFill="1" applyBorder="1"/>
    <xf numFmtId="164" fontId="24" fillId="3" borderId="8" xfId="1" applyNumberFormat="1" applyFont="1" applyFill="1" applyBorder="1"/>
    <xf numFmtId="164" fontId="24" fillId="7" borderId="9" xfId="3" applyNumberFormat="1" applyFont="1" applyFill="1" applyBorder="1"/>
    <xf numFmtId="164" fontId="24" fillId="9" borderId="9" xfId="3" applyNumberFormat="1" applyFont="1" applyFill="1" applyBorder="1"/>
    <xf numFmtId="9" fontId="22" fillId="6" borderId="8" xfId="3" applyFont="1" applyFill="1" applyBorder="1"/>
    <xf numFmtId="9" fontId="22" fillId="6" borderId="8" xfId="0" applyNumberFormat="1" applyFont="1" applyFill="1" applyBorder="1" applyAlignment="1">
      <alignment horizontal="center"/>
    </xf>
    <xf numFmtId="9" fontId="22" fillId="6" borderId="8" xfId="0" applyNumberFormat="1" applyFont="1" applyFill="1" applyBorder="1"/>
    <xf numFmtId="164" fontId="22" fillId="6" borderId="9" xfId="1" applyNumberFormat="1" applyFont="1" applyFill="1" applyBorder="1"/>
    <xf numFmtId="164" fontId="22" fillId="9" borderId="9" xfId="1" applyNumberFormat="1" applyFont="1" applyFill="1" applyBorder="1"/>
    <xf numFmtId="0" fontId="22" fillId="6" borderId="8" xfId="0" applyFont="1" applyFill="1" applyBorder="1" applyAlignment="1">
      <alignment horizontal="right"/>
    </xf>
    <xf numFmtId="164" fontId="22" fillId="6" borderId="9" xfId="0" applyNumberFormat="1" applyFont="1" applyFill="1" applyBorder="1"/>
    <xf numFmtId="164" fontId="22" fillId="9" borderId="9" xfId="0" applyNumberFormat="1" applyFont="1" applyFill="1" applyBorder="1"/>
    <xf numFmtId="164" fontId="22" fillId="6" borderId="8" xfId="1" applyNumberFormat="1" applyFont="1" applyFill="1" applyBorder="1" applyAlignment="1">
      <alignment horizontal="left"/>
    </xf>
    <xf numFmtId="0" fontId="21" fillId="6" borderId="8" xfId="0" applyFont="1" applyFill="1" applyBorder="1" applyAlignment="1">
      <alignment horizontal="center"/>
    </xf>
    <xf numFmtId="0" fontId="19" fillId="8" borderId="8" xfId="0" applyFont="1" applyFill="1" applyBorder="1"/>
    <xf numFmtId="164" fontId="22" fillId="7" borderId="8" xfId="1" applyNumberFormat="1" applyFont="1" applyFill="1" applyBorder="1"/>
    <xf numFmtId="0" fontId="19" fillId="8" borderId="8" xfId="0" applyFont="1" applyFill="1" applyBorder="1" applyAlignment="1">
      <alignment horizontal="left"/>
    </xf>
    <xf numFmtId="164" fontId="19" fillId="6" borderId="9" xfId="0" applyNumberFormat="1" applyFont="1" applyFill="1" applyBorder="1"/>
    <xf numFmtId="164" fontId="19" fillId="9" borderId="9" xfId="0" applyNumberFormat="1" applyFont="1" applyFill="1" applyBorder="1"/>
    <xf numFmtId="164" fontId="22" fillId="8" borderId="8" xfId="1" applyNumberFormat="1" applyFont="1" applyFill="1" applyBorder="1" applyAlignment="1">
      <alignment horizontal="left" indent="2"/>
    </xf>
    <xf numFmtId="0" fontId="22" fillId="3" borderId="8" xfId="0" applyFont="1" applyFill="1" applyBorder="1"/>
    <xf numFmtId="0" fontId="19" fillId="6" borderId="8" xfId="13" applyFont="1" applyFill="1" applyBorder="1" applyAlignment="1">
      <alignment vertical="center"/>
    </xf>
    <xf numFmtId="168" fontId="20" fillId="6" borderId="8" xfId="3" applyNumberFormat="1" applyFont="1" applyFill="1" applyBorder="1" applyAlignment="1">
      <alignment horizontal="center" vertical="center"/>
    </xf>
    <xf numFmtId="0" fontId="19" fillId="6" borderId="8" xfId="13" applyFont="1" applyFill="1" applyBorder="1" applyAlignment="1">
      <alignment horizontal="center" vertical="center"/>
    </xf>
    <xf numFmtId="174" fontId="19" fillId="6" borderId="8" xfId="13" applyNumberFormat="1" applyFont="1" applyFill="1" applyBorder="1" applyAlignment="1">
      <alignment horizontal="right" vertical="center"/>
    </xf>
    <xf numFmtId="0" fontId="19" fillId="8" borderId="8" xfId="13" applyFont="1" applyFill="1" applyBorder="1" applyAlignment="1">
      <alignment vertical="center"/>
    </xf>
    <xf numFmtId="164" fontId="19" fillId="6" borderId="8" xfId="13" applyNumberFormat="1" applyFont="1" applyFill="1" applyBorder="1" applyAlignment="1">
      <alignment vertical="center"/>
    </xf>
    <xf numFmtId="164" fontId="19" fillId="7" borderId="8" xfId="1" applyNumberFormat="1" applyFont="1" applyFill="1" applyBorder="1" applyAlignment="1">
      <alignment vertical="center"/>
    </xf>
    <xf numFmtId="164" fontId="19" fillId="3" borderId="8" xfId="1" applyNumberFormat="1" applyFont="1" applyFill="1" applyBorder="1" applyAlignment="1">
      <alignment vertical="center"/>
    </xf>
    <xf numFmtId="164" fontId="19" fillId="8" borderId="8" xfId="1" applyNumberFormat="1" applyFont="1" applyFill="1" applyBorder="1" applyAlignment="1">
      <alignment vertical="center"/>
    </xf>
    <xf numFmtId="168" fontId="22" fillId="6" borderId="8" xfId="0" applyNumberFormat="1" applyFont="1" applyFill="1" applyBorder="1" applyAlignment="1">
      <alignment horizontal="center"/>
    </xf>
    <xf numFmtId="9" fontId="19" fillId="6" borderId="8" xfId="0" applyNumberFormat="1" applyFont="1" applyFill="1" applyBorder="1"/>
    <xf numFmtId="10" fontId="19" fillId="6" borderId="8" xfId="0" applyNumberFormat="1" applyFont="1" applyFill="1" applyBorder="1"/>
    <xf numFmtId="43" fontId="19" fillId="6" borderId="8" xfId="1" applyFont="1" applyFill="1" applyBorder="1" applyAlignment="1">
      <alignment vertical="center"/>
    </xf>
    <xf numFmtId="168" fontId="19" fillId="6" borderId="8" xfId="0" applyNumberFormat="1" applyFont="1" applyFill="1" applyBorder="1"/>
    <xf numFmtId="0" fontId="19" fillId="8" borderId="8" xfId="13" applyFont="1" applyFill="1" applyBorder="1" applyAlignment="1">
      <alignment horizontal="right" vertical="center"/>
    </xf>
    <xf numFmtId="4" fontId="21" fillId="6" borderId="8" xfId="0" applyNumberFormat="1" applyFont="1" applyFill="1" applyBorder="1" applyAlignment="1">
      <alignment horizontal="center"/>
    </xf>
    <xf numFmtId="0" fontId="19" fillId="3" borderId="8" xfId="0" applyFont="1" applyFill="1" applyBorder="1"/>
    <xf numFmtId="164" fontId="19" fillId="3" borderId="8" xfId="1" applyNumberFormat="1" applyFont="1" applyFill="1" applyBorder="1"/>
    <xf numFmtId="164" fontId="19" fillId="6" borderId="8" xfId="1" applyNumberFormat="1" applyFont="1" applyFill="1" applyBorder="1"/>
    <xf numFmtId="10" fontId="21" fillId="6" borderId="8" xfId="0" applyNumberFormat="1" applyFont="1" applyFill="1" applyBorder="1" applyAlignment="1">
      <alignment horizontal="center"/>
    </xf>
    <xf numFmtId="9" fontId="19" fillId="6" borderId="8" xfId="1" applyNumberFormat="1" applyFont="1" applyFill="1" applyBorder="1" applyAlignment="1">
      <alignment vertical="center"/>
    </xf>
    <xf numFmtId="0" fontId="22" fillId="6" borderId="8" xfId="0" applyFont="1" applyFill="1" applyBorder="1" applyAlignment="1">
      <alignment horizontal="centerContinuous"/>
    </xf>
    <xf numFmtId="164" fontId="19" fillId="6" borderId="8" xfId="0" applyNumberFormat="1" applyFont="1" applyFill="1" applyBorder="1"/>
    <xf numFmtId="43" fontId="19" fillId="6" borderId="8" xfId="0" applyNumberFormat="1" applyFont="1" applyFill="1" applyBorder="1"/>
    <xf numFmtId="164" fontId="19" fillId="6" borderId="9" xfId="1" applyNumberFormat="1" applyFont="1" applyFill="1" applyBorder="1" applyAlignment="1">
      <alignment vertical="center"/>
    </xf>
    <xf numFmtId="164" fontId="19" fillId="9" borderId="9" xfId="1" applyNumberFormat="1" applyFont="1" applyFill="1" applyBorder="1" applyAlignment="1">
      <alignment vertical="center"/>
    </xf>
    <xf numFmtId="0" fontId="19" fillId="6" borderId="8" xfId="13" applyFont="1" applyFill="1" applyBorder="1" applyAlignment="1">
      <alignment horizontal="right" vertical="center"/>
    </xf>
    <xf numFmtId="164" fontId="19" fillId="9" borderId="8" xfId="1" applyNumberFormat="1" applyFont="1" applyFill="1" applyBorder="1" applyAlignment="1">
      <alignment vertical="center"/>
    </xf>
    <xf numFmtId="168" fontId="19" fillId="6" borderId="8" xfId="1" applyNumberFormat="1" applyFont="1" applyFill="1" applyBorder="1" applyAlignment="1">
      <alignment vertical="center"/>
    </xf>
    <xf numFmtId="164" fontId="22" fillId="9" borderId="8" xfId="1" applyNumberFormat="1" applyFont="1" applyFill="1" applyBorder="1"/>
    <xf numFmtId="0" fontId="19" fillId="8" borderId="8" xfId="13" applyFont="1" applyFill="1" applyBorder="1" applyAlignment="1">
      <alignment horizontal="left" vertical="center" indent="1"/>
    </xf>
    <xf numFmtId="0" fontId="19" fillId="8" borderId="8" xfId="13" applyFont="1" applyFill="1" applyBorder="1" applyAlignment="1">
      <alignment horizontal="left" vertical="center"/>
    </xf>
    <xf numFmtId="4" fontId="22" fillId="6" borderId="8" xfId="1" applyNumberFormat="1" applyFont="1" applyFill="1" applyBorder="1" applyAlignment="1">
      <alignment horizontal="centerContinuous"/>
    </xf>
    <xf numFmtId="4" fontId="22" fillId="6" borderId="8" xfId="1" applyNumberFormat="1" applyFont="1" applyFill="1" applyBorder="1"/>
    <xf numFmtId="10" fontId="22" fillId="6" borderId="8" xfId="0" applyNumberFormat="1" applyFont="1" applyFill="1" applyBorder="1"/>
    <xf numFmtId="168" fontId="22" fillId="6" borderId="8" xfId="0" applyNumberFormat="1" applyFont="1" applyFill="1" applyBorder="1"/>
    <xf numFmtId="0" fontId="22" fillId="11" borderId="8" xfId="0" applyFont="1" applyFill="1" applyBorder="1" applyAlignment="1">
      <alignment horizontal="center"/>
    </xf>
    <xf numFmtId="4" fontId="22" fillId="11" borderId="8" xfId="0" applyNumberFormat="1" applyFont="1" applyFill="1" applyBorder="1"/>
    <xf numFmtId="168" fontId="23" fillId="11" borderId="8" xfId="3" applyNumberFormat="1" applyFont="1" applyFill="1" applyBorder="1" applyAlignment="1">
      <alignment horizontal="left" vertical="center"/>
    </xf>
    <xf numFmtId="168" fontId="23" fillId="11" borderId="8" xfId="3" applyNumberFormat="1" applyFont="1" applyFill="1" applyBorder="1" applyAlignment="1">
      <alignment vertical="center"/>
    </xf>
    <xf numFmtId="0" fontId="19" fillId="11" borderId="8" xfId="0" applyFont="1" applyFill="1" applyBorder="1" applyAlignment="1">
      <alignment horizontal="left"/>
    </xf>
    <xf numFmtId="0" fontId="19" fillId="11" borderId="8" xfId="0" applyFont="1" applyFill="1" applyBorder="1"/>
    <xf numFmtId="4" fontId="22" fillId="11" borderId="8" xfId="0" applyNumberFormat="1" applyFont="1" applyFill="1" applyBorder="1" applyAlignment="1">
      <alignment horizontal="centerContinuous"/>
    </xf>
    <xf numFmtId="0" fontId="22" fillId="11" borderId="8" xfId="0" applyFont="1" applyFill="1" applyBorder="1" applyAlignment="1">
      <alignment horizontal="centerContinuous"/>
    </xf>
    <xf numFmtId="4" fontId="22" fillId="11" borderId="8" xfId="1" applyNumberFormat="1" applyFont="1" applyFill="1" applyBorder="1" applyAlignment="1">
      <alignment horizontal="center"/>
    </xf>
    <xf numFmtId="9" fontId="22" fillId="11" borderId="8" xfId="3" applyFont="1" applyFill="1" applyBorder="1" applyAlignment="1">
      <alignment horizontal="center"/>
    </xf>
    <xf numFmtId="9" fontId="22" fillId="3" borderId="8" xfId="1" applyNumberFormat="1" applyFont="1" applyFill="1" applyBorder="1" applyAlignment="1">
      <alignment horizontal="center"/>
    </xf>
    <xf numFmtId="9" fontId="22" fillId="3" borderId="8" xfId="0" applyNumberFormat="1" applyFont="1" applyFill="1" applyBorder="1" applyAlignment="1">
      <alignment horizontal="center"/>
    </xf>
    <xf numFmtId="4" fontId="22" fillId="8" borderId="8" xfId="1" applyNumberFormat="1" applyFont="1" applyFill="1" applyBorder="1" applyAlignment="1">
      <alignment horizontal="center"/>
    </xf>
    <xf numFmtId="9" fontId="22" fillId="8" borderId="8" xfId="3" applyFont="1" applyFill="1" applyBorder="1" applyAlignment="1">
      <alignment horizontal="center"/>
    </xf>
    <xf numFmtId="168" fontId="18" fillId="6" borderId="8" xfId="3" applyNumberFormat="1" applyFont="1" applyFill="1" applyBorder="1" applyAlignment="1">
      <alignment horizontal="left" vertical="center"/>
    </xf>
    <xf numFmtId="0" fontId="12" fillId="6" borderId="8" xfId="13" applyFont="1" applyFill="1" applyBorder="1" applyAlignment="1">
      <alignment horizontal="left" vertical="center" indent="1"/>
    </xf>
    <xf numFmtId="0" fontId="12" fillId="8" borderId="8" xfId="13" applyFont="1" applyFill="1" applyBorder="1" applyAlignment="1">
      <alignment horizontal="left" indent="1"/>
    </xf>
    <xf numFmtId="0" fontId="12" fillId="6" borderId="8" xfId="13" applyFont="1" applyFill="1" applyBorder="1" applyAlignment="1">
      <alignment horizontal="left" vertical="center"/>
    </xf>
    <xf numFmtId="0" fontId="0" fillId="0" borderId="8" xfId="0" applyBorder="1"/>
    <xf numFmtId="164" fontId="1" fillId="12" borderId="8" xfId="1" applyNumberFormat="1" applyFill="1" applyBorder="1"/>
    <xf numFmtId="164" fontId="22" fillId="5" borderId="8" xfId="1" applyNumberFormat="1" applyFont="1" applyFill="1" applyBorder="1" applyAlignment="1">
      <alignment vertical="center"/>
    </xf>
    <xf numFmtId="0" fontId="12" fillId="8" borderId="8" xfId="13" applyFont="1" applyFill="1" applyBorder="1" applyAlignment="1">
      <alignment horizontal="left"/>
    </xf>
    <xf numFmtId="0" fontId="12" fillId="8" borderId="8" xfId="0" applyFont="1" applyFill="1" applyBorder="1"/>
    <xf numFmtId="164" fontId="12" fillId="8" borderId="8" xfId="1" applyNumberFormat="1" applyFont="1" applyFill="1" applyBorder="1"/>
    <xf numFmtId="164" fontId="17" fillId="10" borderId="2" xfId="1" applyNumberFormat="1" applyFont="1" applyFill="1" applyBorder="1" applyAlignment="1">
      <alignment vertical="center"/>
    </xf>
    <xf numFmtId="14" fontId="22" fillId="11" borderId="8" xfId="13" applyNumberFormat="1" applyFont="1" applyFill="1" applyBorder="1" applyAlignment="1">
      <alignment horizontal="left" vertical="center"/>
    </xf>
    <xf numFmtId="14" fontId="22" fillId="11" borderId="8" xfId="13" applyNumberFormat="1" applyFont="1" applyFill="1" applyBorder="1" applyAlignment="1">
      <alignment horizontal="right" vertical="center"/>
    </xf>
    <xf numFmtId="181" fontId="22" fillId="11" borderId="8" xfId="13" applyNumberFormat="1" applyFont="1" applyFill="1" applyBorder="1" applyAlignment="1">
      <alignment horizontal="right" vertical="center"/>
    </xf>
    <xf numFmtId="14" fontId="22" fillId="11" borderId="8" xfId="0" applyNumberFormat="1" applyFont="1" applyFill="1" applyBorder="1" applyAlignment="1">
      <alignment horizontal="right"/>
    </xf>
    <xf numFmtId="14" fontId="0" fillId="0" borderId="0" xfId="0" applyNumberFormat="1" applyBorder="1" applyAlignment="1">
      <alignment horizontal="right"/>
    </xf>
    <xf numFmtId="0" fontId="22" fillId="11" borderId="8" xfId="0" applyFont="1" applyFill="1" applyBorder="1" applyAlignment="1">
      <alignment horizontal="right"/>
    </xf>
    <xf numFmtId="0" fontId="12" fillId="11" borderId="8" xfId="13" applyFont="1" applyFill="1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25" fillId="6" borderId="10" xfId="0" applyFont="1" applyFill="1"/>
    <xf numFmtId="0" fontId="25" fillId="6" borderId="10" xfId="0" applyFont="1" applyFill="1" applyAlignment="1">
      <alignment horizontal="center"/>
    </xf>
    <xf numFmtId="4" fontId="25" fillId="6" borderId="10" xfId="0" applyNumberFormat="1" applyFont="1" applyFill="1"/>
    <xf numFmtId="14" fontId="25" fillId="11" borderId="10" xfId="13" applyNumberFormat="1" applyFont="1" applyFill="1" applyAlignment="1">
      <alignment horizontal="left" vertical="center"/>
    </xf>
    <xf numFmtId="14" fontId="25" fillId="11" borderId="10" xfId="13" applyNumberFormat="1" applyFont="1" applyFill="1" applyAlignment="1">
      <alignment horizontal="right" vertical="center"/>
    </xf>
    <xf numFmtId="181" fontId="25" fillId="11" borderId="10" xfId="13" applyNumberFormat="1" applyFont="1" applyFill="1" applyAlignment="1">
      <alignment horizontal="right" vertical="center"/>
    </xf>
    <xf numFmtId="14" fontId="25" fillId="11" borderId="10" xfId="0" applyNumberFormat="1" applyFont="1" applyFill="1" applyAlignment="1">
      <alignment horizontal="right"/>
    </xf>
    <xf numFmtId="168" fontId="26" fillId="8" borderId="10" xfId="3" applyNumberFormat="1" applyFont="1" applyFill="1" applyAlignment="1">
      <alignment horizontal="left" vertical="center"/>
    </xf>
    <xf numFmtId="168" fontId="26" fillId="8" borderId="10" xfId="3" applyNumberFormat="1" applyFont="1" applyFill="1" applyAlignment="1">
      <alignment vertical="center"/>
    </xf>
    <xf numFmtId="0" fontId="25" fillId="6" borderId="10" xfId="13" applyFont="1" applyFill="1" applyAlignment="1">
      <alignment horizontal="center" vertical="center"/>
    </xf>
    <xf numFmtId="174" fontId="25" fillId="6" borderId="10" xfId="13" applyNumberFormat="1" applyFont="1" applyFill="1" applyAlignment="1">
      <alignment horizontal="center" vertical="center"/>
    </xf>
    <xf numFmtId="174" fontId="25" fillId="6" borderId="10" xfId="13" applyNumberFormat="1" applyFont="1" applyFill="1" applyAlignment="1">
      <alignment horizontal="right" vertical="center"/>
    </xf>
    <xf numFmtId="4" fontId="25" fillId="8" borderId="10" xfId="0" applyNumberFormat="1" applyFont="1" applyFill="1"/>
    <xf numFmtId="0" fontId="25" fillId="6" borderId="10" xfId="13" applyFont="1" applyFill="1" applyAlignment="1">
      <alignment horizontal="left" vertical="center"/>
    </xf>
    <xf numFmtId="0" fontId="25" fillId="6" borderId="10" xfId="13" applyFont="1" applyFill="1" applyAlignment="1">
      <alignment vertical="center"/>
    </xf>
    <xf numFmtId="0" fontId="25" fillId="8" borderId="10" xfId="0" applyFont="1" applyFill="1" applyAlignment="1">
      <alignment vertical="top" wrapText="1"/>
    </xf>
    <xf numFmtId="0" fontId="25" fillId="8" borderId="10" xfId="13" applyFont="1" applyFill="1" applyAlignment="1">
      <alignment horizontal="left" vertical="center"/>
    </xf>
    <xf numFmtId="0" fontId="25" fillId="8" borderId="10" xfId="13" applyFont="1" applyFill="1" applyAlignment="1">
      <alignment vertical="center"/>
    </xf>
    <xf numFmtId="0" fontId="25" fillId="8" borderId="10" xfId="13" applyFont="1" applyFill="1" applyAlignment="1">
      <alignment horizontal="left" vertical="center" indent="1"/>
    </xf>
    <xf numFmtId="164" fontId="25" fillId="6" borderId="10" xfId="1" applyNumberFormat="1" applyFont="1" applyFill="1"/>
    <xf numFmtId="3" fontId="25" fillId="7" borderId="10" xfId="0" applyNumberFormat="1" applyFont="1" applyFill="1"/>
    <xf numFmtId="3" fontId="25" fillId="3" borderId="10" xfId="0" applyNumberFormat="1" applyFont="1" applyFill="1"/>
    <xf numFmtId="44" fontId="25" fillId="3" borderId="10" xfId="2" applyFont="1" applyFill="1" applyAlignment="1">
      <alignment horizontal="right" vertical="top" wrapText="1"/>
    </xf>
    <xf numFmtId="164" fontId="25" fillId="3" borderId="10" xfId="1" applyNumberFormat="1" applyFont="1" applyFill="1"/>
    <xf numFmtId="3" fontId="25" fillId="6" borderId="10" xfId="0" applyNumberFormat="1" applyFont="1" applyFill="1"/>
    <xf numFmtId="164" fontId="25" fillId="3" borderId="10" xfId="1" applyNumberFormat="1" applyFont="1" applyFill="1" applyAlignment="1">
      <alignment horizontal="right" vertical="top" wrapText="1"/>
    </xf>
    <xf numFmtId="0" fontId="25" fillId="8" borderId="10" xfId="0" applyFont="1" applyFill="1"/>
    <xf numFmtId="0" fontId="25" fillId="8" borderId="10" xfId="0" applyFont="1" applyFill="1" applyAlignment="1">
      <alignment horizontal="right"/>
    </xf>
    <xf numFmtId="44" fontId="25" fillId="6" borderId="10" xfId="2" applyFont="1" applyFill="1" applyAlignment="1">
      <alignment horizontal="right" vertical="top" wrapText="1"/>
    </xf>
    <xf numFmtId="164" fontId="25" fillId="7" borderId="10" xfId="1" applyNumberFormat="1" applyFont="1" applyFill="1"/>
    <xf numFmtId="1" fontId="25" fillId="6" borderId="10" xfId="0" applyNumberFormat="1" applyFont="1" applyFill="1"/>
    <xf numFmtId="0" fontId="25" fillId="6" borderId="10" xfId="0" applyFont="1" applyFill="1" applyAlignment="1">
      <alignment horizontal="right"/>
    </xf>
    <xf numFmtId="164" fontId="27" fillId="6" borderId="10" xfId="1" applyNumberFormat="1" applyFont="1" applyFill="1" applyAlignment="1">
      <alignment vertical="center"/>
    </xf>
    <xf numFmtId="3" fontId="25" fillId="9" borderId="10" xfId="0" applyNumberFormat="1" applyFont="1" applyFill="1"/>
    <xf numFmtId="164" fontId="27" fillId="7" borderId="10" xfId="1" applyNumberFormat="1" applyFont="1" applyFill="1" applyAlignment="1">
      <alignment vertical="center"/>
    </xf>
    <xf numFmtId="164" fontId="27" fillId="9" borderId="10" xfId="1" applyNumberFormat="1" applyFont="1" applyFill="1" applyAlignment="1">
      <alignment vertical="center"/>
    </xf>
    <xf numFmtId="164" fontId="25" fillId="6" borderId="10" xfId="0" applyNumberFormat="1" applyFont="1" applyFill="1"/>
    <xf numFmtId="3" fontId="27" fillId="6" borderId="10" xfId="0" applyNumberFormat="1" applyFont="1" applyFill="1"/>
    <xf numFmtId="0" fontId="27" fillId="6" borderId="10" xfId="0" applyFont="1" applyFill="1"/>
    <xf numFmtId="0" fontId="25" fillId="6" borderId="10" xfId="0" applyFont="1" applyFill="1" applyAlignment="1">
      <alignment horizontal="left"/>
    </xf>
    <xf numFmtId="168" fontId="27" fillId="8" borderId="10" xfId="0" applyNumberFormat="1" applyFont="1" applyFill="1"/>
    <xf numFmtId="0" fontId="28" fillId="6" borderId="10" xfId="0" applyFont="1" applyFill="1" applyAlignment="1">
      <alignment horizontal="center"/>
    </xf>
    <xf numFmtId="166" fontId="25" fillId="7" borderId="10" xfId="2" applyNumberFormat="1" applyFont="1" applyFill="1" applyAlignment="1">
      <alignment horizontal="right" vertical="top" wrapText="1"/>
    </xf>
    <xf numFmtId="166" fontId="25" fillId="3" borderId="10" xfId="2" applyNumberFormat="1" applyFont="1" applyFill="1" applyAlignment="1">
      <alignment horizontal="right" vertical="top" wrapText="1"/>
    </xf>
    <xf numFmtId="0" fontId="27" fillId="8" borderId="10" xfId="0" applyFont="1" applyFill="1" applyAlignment="1">
      <alignment horizontal="left"/>
    </xf>
    <xf numFmtId="0" fontId="27" fillId="8" borderId="10" xfId="0" applyFont="1" applyFill="1"/>
    <xf numFmtId="0" fontId="27" fillId="8" borderId="10" xfId="0" applyFont="1" applyFill="1" applyAlignment="1">
      <alignment horizontal="right"/>
    </xf>
    <xf numFmtId="0" fontId="27" fillId="6" borderId="10" xfId="0" applyFont="1" applyFill="1" applyAlignment="1">
      <alignment horizontal="right"/>
    </xf>
    <xf numFmtId="0" fontId="25" fillId="6" borderId="10" xfId="0" applyFont="1" applyFill="1" applyAlignment="1">
      <alignment horizontal="centerContinuous"/>
    </xf>
    <xf numFmtId="3" fontId="27" fillId="7" borderId="10" xfId="0" applyNumberFormat="1" applyFont="1" applyFill="1"/>
    <xf numFmtId="3" fontId="27" fillId="9" borderId="10" xfId="0" applyNumberFormat="1" applyFont="1" applyFill="1"/>
    <xf numFmtId="3" fontId="25" fillId="3" borderId="10" xfId="1" applyNumberFormat="1" applyFont="1" applyFill="1"/>
    <xf numFmtId="44" fontId="25" fillId="7" borderId="10" xfId="2" applyFont="1" applyFill="1" applyAlignment="1">
      <alignment horizontal="right" vertical="top" wrapText="1"/>
    </xf>
    <xf numFmtId="0" fontId="27" fillId="6" borderId="10" xfId="0" applyFont="1" applyFill="1" applyAlignment="1">
      <alignment horizontal="centerContinuous"/>
    </xf>
    <xf numFmtId="0" fontId="27" fillId="6" borderId="10" xfId="13" applyFont="1" applyFill="1" applyAlignment="1">
      <alignment horizontal="left" vertical="center" indent="1"/>
    </xf>
    <xf numFmtId="3" fontId="25" fillId="6" borderId="10" xfId="0" applyNumberFormat="1" applyFont="1" applyFill="1" applyAlignment="1">
      <alignment horizontal="center"/>
    </xf>
    <xf numFmtId="164" fontId="25" fillId="6" borderId="10" xfId="0" applyNumberFormat="1" applyFont="1" applyFill="1" applyAlignment="1">
      <alignment horizontal="center"/>
    </xf>
    <xf numFmtId="0" fontId="27" fillId="6" borderId="10" xfId="13" applyFont="1" applyFill="1" applyAlignment="1">
      <alignment horizontal="right" vertical="center" indent="1"/>
    </xf>
    <xf numFmtId="181" fontId="22" fillId="12" borderId="8" xfId="13" applyNumberFormat="1" applyFont="1" applyFill="1" applyBorder="1" applyAlignment="1">
      <alignment horizontal="right" vertical="center"/>
    </xf>
    <xf numFmtId="0" fontId="12" fillId="2" borderId="8" xfId="0" applyFont="1" applyFill="1" applyBorder="1"/>
    <xf numFmtId="0" fontId="22" fillId="2" borderId="8" xfId="0" applyFont="1" applyFill="1" applyBorder="1"/>
    <xf numFmtId="0" fontId="12" fillId="8" borderId="8" xfId="0" applyFont="1" applyFill="1" applyBorder="1" applyAlignment="1">
      <alignment horizontal="left"/>
    </xf>
    <xf numFmtId="0" fontId="13" fillId="8" borderId="8" xfId="13" applyFont="1" applyFill="1" applyBorder="1" applyAlignment="1">
      <alignment horizontal="left" vertical="center" indent="1"/>
    </xf>
    <xf numFmtId="0" fontId="13" fillId="8" borderId="8" xfId="0" applyFont="1" applyFill="1" applyBorder="1" applyAlignment="1">
      <alignment horizontal="left"/>
    </xf>
    <xf numFmtId="0" fontId="12" fillId="8" borderId="8" xfId="13" applyFont="1" applyFill="1" applyBorder="1" applyAlignment="1">
      <alignment vertical="center"/>
    </xf>
    <xf numFmtId="0" fontId="12" fillId="8" borderId="8" xfId="13" applyFont="1" applyFill="1" applyBorder="1" applyAlignment="1">
      <alignment horizontal="left" vertical="center" indent="1"/>
    </xf>
    <xf numFmtId="164" fontId="22" fillId="0" borderId="8" xfId="0" applyNumberFormat="1" applyFont="1" applyBorder="1"/>
    <xf numFmtId="164" fontId="22" fillId="0" borderId="8" xfId="1" applyNumberFormat="1" applyFont="1" applyBorder="1"/>
    <xf numFmtId="0" fontId="12" fillId="6" borderId="8" xfId="13" applyFont="1" applyFill="1" applyBorder="1" applyAlignment="1">
      <alignment vertical="center"/>
    </xf>
    <xf numFmtId="14" fontId="22" fillId="11" borderId="8" xfId="13" applyNumberFormat="1" applyFont="1" applyFill="1" applyBorder="1" applyAlignment="1">
      <alignment vertical="center"/>
    </xf>
    <xf numFmtId="0" fontId="12" fillId="6" borderId="8" xfId="0" applyFont="1" applyFill="1" applyBorder="1"/>
    <xf numFmtId="0" fontId="16" fillId="8" borderId="8" xfId="0" applyFont="1" applyFill="1" applyBorder="1" applyAlignment="1">
      <alignment horizontal="left"/>
    </xf>
    <xf numFmtId="0" fontId="12" fillId="8" borderId="2" xfId="0" applyFont="1" applyFill="1" applyBorder="1"/>
    <xf numFmtId="0" fontId="29" fillId="13" borderId="0" xfId="0" applyFont="1" applyFill="1" applyBorder="1"/>
    <xf numFmtId="0" fontId="29" fillId="14" borderId="0" xfId="0" applyFont="1" applyFill="1" applyBorder="1"/>
    <xf numFmtId="0" fontId="29" fillId="15" borderId="0" xfId="0" applyFont="1" applyFill="1" applyBorder="1"/>
    <xf numFmtId="182" fontId="0" fillId="0" borderId="0" xfId="0" applyNumberFormat="1" applyBorder="1"/>
    <xf numFmtId="0" fontId="30" fillId="0" borderId="0" xfId="0" applyFont="1" applyBorder="1"/>
    <xf numFmtId="183" fontId="0" fillId="0" borderId="0" xfId="0" applyNumberFormat="1" applyBorder="1"/>
    <xf numFmtId="0" fontId="19" fillId="6" borderId="8" xfId="13" applyFont="1" applyFill="1" applyBorder="1" applyAlignment="1">
      <alignment horizontal="left" vertical="center"/>
    </xf>
    <xf numFmtId="0" fontId="22" fillId="6" borderId="10" xfId="0" applyFont="1" applyFill="1" applyAlignment="1">
      <alignment horizontal="center"/>
    </xf>
    <xf numFmtId="0" fontId="0" fillId="0" borderId="0" xfId="0" applyBorder="1"/>
    <xf numFmtId="0" fontId="15" fillId="6" borderId="10" xfId="0" applyFont="1" applyFill="1" applyBorder="1"/>
    <xf numFmtId="0" fontId="15" fillId="8" borderId="10" xfId="13" applyFont="1" applyFill="1" applyBorder="1" applyAlignment="1">
      <alignment vertical="center"/>
    </xf>
    <xf numFmtId="0" fontId="15" fillId="6" borderId="10" xfId="13" applyFont="1" applyFill="1" applyBorder="1" applyAlignment="1">
      <alignment vertical="center"/>
    </xf>
    <xf numFmtId="0" fontId="15" fillId="8" borderId="10" xfId="0" applyFont="1" applyFill="1" applyBorder="1"/>
    <xf numFmtId="0" fontId="16" fillId="8" borderId="10" xfId="0" applyFont="1" applyFill="1" applyBorder="1"/>
    <xf numFmtId="9" fontId="15" fillId="8" borderId="10" xfId="3" applyFont="1" applyFill="1" applyBorder="1"/>
    <xf numFmtId="0" fontId="15" fillId="8" borderId="10" xfId="13" applyFont="1" applyFill="1" applyBorder="1" applyAlignment="1">
      <alignment horizontal="left" indent="1"/>
    </xf>
    <xf numFmtId="164" fontId="15" fillId="8" borderId="10" xfId="1" applyNumberFormat="1" applyFont="1" applyFill="1" applyBorder="1"/>
    <xf numFmtId="0" fontId="12" fillId="8" borderId="10" xfId="0" applyFont="1" applyFill="1" applyBorder="1"/>
    <xf numFmtId="0" fontId="0" fillId="0" borderId="10" xfId="0" applyBorder="1"/>
  </cellXfs>
  <cellStyles count="19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BG195"/>
  <sheetViews>
    <sheetView showGridLines="0" tabSelected="1" zoomScale="87" zoomScaleNormal="85" workbookViewId="0">
      <pane xSplit="1" ySplit="2" topLeftCell="B77" activePane="bottomRight" state="frozen"/>
      <selection pane="topRight" activeCell="B1" sqref="B1"/>
      <selection pane="bottomLeft" activeCell="A3" sqref="A3"/>
      <selection pane="bottomRight" activeCell="A110" sqref="A110"/>
    </sheetView>
  </sheetViews>
  <sheetFormatPr defaultColWidth="12.6328125" defaultRowHeight="14.5"/>
  <cols>
    <col min="1" max="1" width="33.6328125" customWidth="1"/>
    <col min="2" max="4" width="33.6328125" style="324" customWidth="1"/>
    <col min="5" max="5" width="18.54296875" style="5" bestFit="1" customWidth="1"/>
    <col min="6" max="8" width="10.7265625" style="59" customWidth="1"/>
    <col min="9" max="10" width="10.7265625" bestFit="1" customWidth="1"/>
    <col min="11" max="11" width="10.7265625" style="218" customWidth="1"/>
    <col min="12" max="14" width="19.26953125" style="5" bestFit="1" customWidth="1"/>
    <col min="15" max="16" width="18.54296875" style="5" bestFit="1" customWidth="1"/>
    <col min="17" max="19" width="19.26953125" style="5" bestFit="1" customWidth="1"/>
    <col min="20" max="23" width="18.54296875" bestFit="1" customWidth="1"/>
    <col min="33" max="33" width="6.453125" bestFit="1" customWidth="1"/>
    <col min="34" max="34" width="5.6328125" bestFit="1" customWidth="1"/>
  </cols>
  <sheetData>
    <row r="1" spans="1:59" s="229" customFormat="1">
      <c r="A1" s="225" t="s">
        <v>0</v>
      </c>
      <c r="B1" s="226"/>
      <c r="C1" s="226"/>
      <c r="D1" s="226"/>
      <c r="E1" s="227">
        <v>45657</v>
      </c>
      <c r="F1" s="227">
        <v>45747</v>
      </c>
      <c r="G1" s="227">
        <v>45838</v>
      </c>
      <c r="H1" s="227">
        <v>45930</v>
      </c>
      <c r="I1" s="227">
        <v>46022</v>
      </c>
      <c r="J1" s="227">
        <v>46112</v>
      </c>
      <c r="K1" s="227">
        <v>46203</v>
      </c>
      <c r="L1" s="227">
        <v>45747</v>
      </c>
      <c r="M1" s="227">
        <v>45838</v>
      </c>
      <c r="N1" s="227">
        <v>45930</v>
      </c>
      <c r="O1" s="227">
        <v>46022</v>
      </c>
      <c r="P1" s="227">
        <v>46112</v>
      </c>
      <c r="Q1" s="227">
        <v>46203</v>
      </c>
      <c r="R1" s="227">
        <v>46295</v>
      </c>
      <c r="S1" s="227">
        <v>46387</v>
      </c>
      <c r="T1" s="227"/>
      <c r="U1" s="227"/>
      <c r="V1" s="227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8"/>
      <c r="AZ1" s="228"/>
      <c r="BA1" s="228"/>
      <c r="BB1" s="228"/>
      <c r="BC1" s="228"/>
      <c r="BD1" s="228"/>
      <c r="BE1" s="228"/>
      <c r="BF1" s="228"/>
      <c r="BG1" s="228"/>
    </row>
    <row r="2" spans="1:59" s="232" customFormat="1">
      <c r="A2" s="68"/>
      <c r="B2" s="230"/>
      <c r="C2" s="230"/>
      <c r="D2" s="230"/>
      <c r="E2" s="231" t="s">
        <v>56</v>
      </c>
      <c r="F2" s="68"/>
      <c r="G2" s="68"/>
      <c r="H2" s="68"/>
      <c r="I2" s="68"/>
      <c r="J2" s="68"/>
      <c r="K2" s="231"/>
      <c r="L2" s="231" t="s">
        <v>42</v>
      </c>
      <c r="M2" s="68"/>
      <c r="N2" s="68"/>
      <c r="O2" s="68"/>
      <c r="P2" s="68"/>
      <c r="Q2" s="68"/>
      <c r="R2" s="68"/>
      <c r="S2" s="68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</row>
    <row r="3" spans="1:59" s="2" customFormat="1">
      <c r="A3" s="25"/>
      <c r="B3" s="317"/>
      <c r="C3" s="317"/>
      <c r="D3" s="317"/>
      <c r="E3" s="26"/>
      <c r="F3" s="68"/>
      <c r="G3" s="68"/>
      <c r="H3" s="68"/>
      <c r="I3" s="68"/>
      <c r="J3" s="68"/>
      <c r="K3" s="231"/>
      <c r="L3" s="27"/>
      <c r="M3" s="27"/>
      <c r="N3" s="27"/>
      <c r="O3" s="28"/>
      <c r="P3" s="29"/>
      <c r="Q3" s="29"/>
      <c r="R3" s="29"/>
      <c r="S3" s="26"/>
      <c r="T3" s="22" t="s">
        <v>1</v>
      </c>
      <c r="U3" s="22" t="s">
        <v>2</v>
      </c>
      <c r="V3" s="22" t="s">
        <v>3</v>
      </c>
      <c r="W3" s="22" t="s">
        <v>4</v>
      </c>
      <c r="X3" s="22" t="s">
        <v>5</v>
      </c>
      <c r="Y3" s="22"/>
      <c r="Z3" s="22"/>
      <c r="AA3" s="22"/>
      <c r="AB3" s="22"/>
      <c r="AC3" s="22"/>
      <c r="AD3" s="22"/>
    </row>
    <row r="4" spans="1:59">
      <c r="A4" s="22"/>
      <c r="B4" s="315"/>
      <c r="C4" s="315"/>
      <c r="D4" s="315"/>
      <c r="E4" s="30"/>
      <c r="F4" s="233"/>
      <c r="G4" s="233"/>
      <c r="H4" s="233"/>
      <c r="I4" s="242"/>
      <c r="J4" s="242"/>
      <c r="K4" s="233"/>
      <c r="L4" s="30"/>
      <c r="M4" s="30"/>
      <c r="N4" s="30"/>
      <c r="O4" s="30"/>
      <c r="P4" s="30"/>
      <c r="Q4" s="30"/>
      <c r="R4" s="30"/>
      <c r="S4" s="30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59">
      <c r="A5" s="24" t="s">
        <v>6</v>
      </c>
      <c r="B5" s="318"/>
      <c r="C5" s="318"/>
      <c r="D5" s="318"/>
      <c r="E5" s="26"/>
      <c r="F5" s="233"/>
      <c r="G5" s="233"/>
      <c r="H5" s="233"/>
      <c r="I5" s="242"/>
      <c r="J5" s="242"/>
      <c r="K5" s="233"/>
      <c r="L5" s="26"/>
      <c r="M5" s="26"/>
      <c r="N5" s="26"/>
      <c r="O5" s="26"/>
      <c r="P5" s="26"/>
      <c r="Q5" s="26"/>
      <c r="R5" s="26"/>
      <c r="S5" s="26"/>
      <c r="T5" s="22"/>
      <c r="U5" s="22"/>
      <c r="V5" s="22"/>
      <c r="W5" s="22"/>
      <c r="X5" s="22"/>
      <c r="Y5" s="22"/>
      <c r="Z5" s="22"/>
      <c r="AA5" s="22"/>
      <c r="AB5" s="22"/>
      <c r="AC5" s="22"/>
      <c r="AD5" s="26"/>
    </row>
    <row r="6" spans="1:59">
      <c r="A6" s="24" t="s">
        <v>6</v>
      </c>
      <c r="B6" s="318"/>
      <c r="C6" s="318"/>
      <c r="D6" s="318"/>
      <c r="E6" s="26"/>
      <c r="F6" s="233"/>
      <c r="G6" s="233"/>
      <c r="H6" s="233"/>
      <c r="I6" s="253"/>
      <c r="J6" s="253"/>
      <c r="K6" s="233"/>
      <c r="L6" s="26"/>
      <c r="M6" s="26"/>
      <c r="N6" s="26"/>
      <c r="O6" s="26"/>
      <c r="P6" s="26"/>
      <c r="Q6" s="26"/>
      <c r="R6" s="26"/>
      <c r="S6" s="26"/>
      <c r="T6" s="22"/>
      <c r="U6" s="22"/>
      <c r="V6" s="22"/>
      <c r="W6" s="22"/>
      <c r="X6" s="22"/>
      <c r="Y6" s="22"/>
      <c r="Z6" s="22"/>
      <c r="AA6" s="22"/>
      <c r="AB6" s="22"/>
      <c r="AC6" s="22"/>
      <c r="AD6" s="26"/>
    </row>
    <row r="7" spans="1:59">
      <c r="A7" s="24" t="s">
        <v>6</v>
      </c>
      <c r="B7" s="318"/>
      <c r="C7" s="318"/>
      <c r="D7" s="318"/>
      <c r="E7" s="26"/>
      <c r="F7" s="233"/>
      <c r="G7" s="233"/>
      <c r="H7" s="233"/>
      <c r="I7" s="253"/>
      <c r="J7" s="253"/>
      <c r="K7" s="233"/>
      <c r="L7" s="26"/>
      <c r="M7" s="26"/>
      <c r="N7" s="26"/>
      <c r="O7" s="26"/>
      <c r="P7" s="26"/>
      <c r="Q7" s="26"/>
      <c r="R7" s="26"/>
      <c r="S7" s="26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59">
      <c r="A8" s="22"/>
      <c r="B8" s="315"/>
      <c r="C8" s="315"/>
      <c r="D8" s="315"/>
      <c r="E8" s="22"/>
      <c r="F8" s="233"/>
      <c r="G8" s="233"/>
      <c r="H8" s="233"/>
      <c r="I8" s="253"/>
      <c r="J8" s="253"/>
      <c r="K8" s="233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31"/>
    </row>
    <row r="9" spans="1:59">
      <c r="A9" s="22"/>
      <c r="B9" s="315"/>
      <c r="C9" s="315"/>
      <c r="D9" s="315"/>
      <c r="E9" s="30"/>
      <c r="F9" s="233"/>
      <c r="G9" s="233"/>
      <c r="H9" s="233"/>
      <c r="I9" s="253"/>
      <c r="J9" s="253"/>
      <c r="K9" s="233"/>
      <c r="L9" s="30"/>
      <c r="M9" s="30"/>
      <c r="N9" s="30"/>
      <c r="O9" s="30"/>
      <c r="P9" s="30"/>
      <c r="Q9" s="30"/>
      <c r="R9" s="30"/>
      <c r="S9" s="30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59">
      <c r="A10" s="24" t="s">
        <v>6</v>
      </c>
      <c r="B10" s="318"/>
      <c r="C10" s="318"/>
      <c r="D10" s="318"/>
      <c r="E10" s="26"/>
      <c r="F10" s="257"/>
      <c r="G10" s="257"/>
      <c r="H10" s="257"/>
      <c r="I10" s="253"/>
      <c r="J10" s="253"/>
      <c r="K10" s="257"/>
      <c r="L10" s="26"/>
      <c r="M10" s="26"/>
      <c r="N10" s="26"/>
      <c r="O10" s="26"/>
      <c r="P10" s="26"/>
      <c r="Q10" s="26"/>
      <c r="R10" s="26"/>
      <c r="S10" s="26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59">
      <c r="A11" s="24" t="s">
        <v>6</v>
      </c>
      <c r="B11" s="318"/>
      <c r="C11" s="318"/>
      <c r="D11" s="318"/>
      <c r="E11" s="26"/>
      <c r="F11" s="233"/>
      <c r="G11" s="233"/>
      <c r="H11" s="233"/>
      <c r="I11" s="253"/>
      <c r="J11" s="253"/>
      <c r="K11" s="233"/>
      <c r="L11" s="26"/>
      <c r="M11" s="26"/>
      <c r="N11" s="26"/>
      <c r="O11" s="26"/>
      <c r="P11" s="26"/>
      <c r="Q11" s="26"/>
      <c r="R11" s="26"/>
      <c r="S11" s="26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31"/>
    </row>
    <row r="12" spans="1:59">
      <c r="A12" s="24" t="s">
        <v>6</v>
      </c>
      <c r="B12" s="318"/>
      <c r="C12" s="318"/>
      <c r="D12" s="318"/>
      <c r="E12" s="26"/>
      <c r="F12" s="261"/>
      <c r="G12" s="261"/>
      <c r="H12" s="261"/>
      <c r="I12" s="253"/>
      <c r="J12" s="253"/>
      <c r="K12" s="261"/>
      <c r="L12" s="26"/>
      <c r="M12" s="26"/>
      <c r="N12" s="26"/>
      <c r="O12" s="26"/>
      <c r="P12" s="26"/>
      <c r="Q12" s="26"/>
      <c r="R12" s="26"/>
      <c r="S12" s="26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59">
      <c r="A13" s="24" t="s">
        <v>6</v>
      </c>
      <c r="B13" s="318"/>
      <c r="C13" s="318"/>
      <c r="D13" s="318"/>
      <c r="E13" s="26"/>
      <c r="F13" s="261"/>
      <c r="G13" s="261"/>
      <c r="H13" s="261"/>
      <c r="I13" s="233"/>
      <c r="J13" s="233"/>
      <c r="K13" s="261"/>
      <c r="L13" s="26"/>
      <c r="M13" s="26"/>
      <c r="N13" s="26"/>
      <c r="O13" s="26"/>
      <c r="P13" s="26"/>
      <c r="Q13" s="26"/>
      <c r="R13" s="26"/>
      <c r="S13" s="26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59">
      <c r="A14" s="24" t="s">
        <v>6</v>
      </c>
      <c r="B14" s="318"/>
      <c r="C14" s="318"/>
      <c r="D14" s="318"/>
      <c r="E14" s="26"/>
      <c r="F14" s="233"/>
      <c r="G14" s="233"/>
      <c r="H14" s="233"/>
      <c r="I14" s="262"/>
      <c r="J14" s="262"/>
      <c r="K14" s="233"/>
      <c r="L14" s="26"/>
      <c r="M14" s="26"/>
      <c r="N14" s="26"/>
      <c r="O14" s="26"/>
      <c r="P14" s="26"/>
      <c r="Q14" s="26"/>
      <c r="R14" s="26"/>
      <c r="S14" s="26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59">
      <c r="A15" s="24" t="s">
        <v>6</v>
      </c>
      <c r="B15" s="318"/>
      <c r="C15" s="318"/>
      <c r="D15" s="318"/>
      <c r="E15" s="26"/>
      <c r="F15" s="233"/>
      <c r="G15" s="233"/>
      <c r="H15" s="233"/>
      <c r="I15" s="262"/>
      <c r="J15" s="262"/>
      <c r="K15" s="233"/>
      <c r="L15" s="26"/>
      <c r="M15" s="26"/>
      <c r="N15" s="26"/>
      <c r="O15" s="26"/>
      <c r="P15" s="26"/>
      <c r="Q15" s="26"/>
      <c r="R15" s="26"/>
      <c r="S15" s="26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59">
      <c r="A16" s="32" t="s">
        <v>6</v>
      </c>
      <c r="B16" s="319"/>
      <c r="C16" s="319"/>
      <c r="D16" s="319"/>
      <c r="E16" s="26"/>
      <c r="F16" s="233"/>
      <c r="G16" s="233"/>
      <c r="H16" s="233"/>
      <c r="I16" s="262"/>
      <c r="J16" s="262"/>
      <c r="K16" s="233"/>
      <c r="L16" s="26"/>
      <c r="M16" s="26"/>
      <c r="N16" s="26"/>
      <c r="O16" s="26"/>
      <c r="P16" s="26"/>
      <c r="Q16" s="26"/>
      <c r="R16" s="26"/>
      <c r="S16" s="26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33"/>
    </row>
    <row r="17" spans="1:30">
      <c r="A17" s="32" t="s">
        <v>6</v>
      </c>
      <c r="B17" s="319"/>
      <c r="C17" s="319"/>
      <c r="D17" s="319"/>
      <c r="E17" s="26"/>
      <c r="F17" s="263"/>
      <c r="G17" s="263"/>
      <c r="H17" s="263"/>
      <c r="I17" s="262"/>
      <c r="J17" s="262"/>
      <c r="K17" s="263"/>
      <c r="L17" s="26"/>
      <c r="M17" s="26"/>
      <c r="N17" s="26"/>
      <c r="O17" s="26"/>
      <c r="P17" s="26"/>
      <c r="Q17" s="26"/>
      <c r="R17" s="26"/>
      <c r="S17" s="26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33"/>
    </row>
    <row r="18" spans="1:30" s="9" customFormat="1">
      <c r="A18" s="22" t="s">
        <v>6</v>
      </c>
      <c r="B18" s="315"/>
      <c r="C18" s="315"/>
      <c r="D18" s="315"/>
      <c r="E18" s="34"/>
      <c r="F18" s="263"/>
      <c r="G18" s="263"/>
      <c r="H18" s="263"/>
      <c r="I18" s="262"/>
      <c r="J18" s="262"/>
      <c r="K18" s="263"/>
      <c r="L18" s="34"/>
      <c r="M18" s="34"/>
      <c r="N18" s="34"/>
      <c r="O18" s="34"/>
      <c r="P18" s="34"/>
      <c r="Q18" s="34"/>
      <c r="R18" s="34"/>
      <c r="S18" s="34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>
      <c r="A19" s="22"/>
      <c r="B19" s="315"/>
      <c r="C19" s="315"/>
      <c r="D19" s="315"/>
      <c r="E19" s="22"/>
      <c r="F19" s="257"/>
      <c r="G19" s="257"/>
      <c r="H19" s="257"/>
      <c r="I19" s="262"/>
      <c r="J19" s="262"/>
      <c r="K19" s="257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>
      <c r="A20" s="22"/>
      <c r="B20" s="315"/>
      <c r="C20" s="315"/>
      <c r="D20" s="315"/>
      <c r="E20" s="30"/>
      <c r="F20" s="233"/>
      <c r="G20" s="233"/>
      <c r="H20" s="233"/>
      <c r="I20" s="253"/>
      <c r="J20" s="253"/>
      <c r="K20" s="233"/>
      <c r="L20" s="30"/>
      <c r="M20" s="30"/>
      <c r="N20" s="30"/>
      <c r="O20" s="30"/>
      <c r="P20" s="30"/>
      <c r="Q20" s="30"/>
      <c r="R20" s="30"/>
      <c r="S20" s="30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>
      <c r="A21" s="24" t="s">
        <v>6</v>
      </c>
      <c r="B21" s="318"/>
      <c r="C21" s="318"/>
      <c r="D21" s="318"/>
      <c r="E21" s="26"/>
      <c r="F21" s="235"/>
      <c r="G21" s="235"/>
      <c r="H21" s="235"/>
      <c r="I21" s="257"/>
      <c r="J21" s="257"/>
      <c r="K21" s="235"/>
      <c r="L21" s="26"/>
      <c r="M21" s="26"/>
      <c r="N21" s="26"/>
      <c r="O21" s="26"/>
      <c r="P21" s="26"/>
      <c r="Q21" s="26"/>
      <c r="R21" s="26"/>
      <c r="S21" s="26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>
      <c r="A22" s="24" t="s">
        <v>6</v>
      </c>
      <c r="B22" s="318"/>
      <c r="C22" s="318"/>
      <c r="D22" s="318"/>
      <c r="E22" s="26"/>
      <c r="F22" s="257"/>
      <c r="G22" s="257"/>
      <c r="H22" s="257"/>
      <c r="I22" s="233"/>
      <c r="J22" s="233"/>
      <c r="K22" s="257"/>
      <c r="L22" s="26"/>
      <c r="M22" s="26"/>
      <c r="N22" s="26"/>
      <c r="O22" s="26"/>
      <c r="P22" s="26"/>
      <c r="Q22" s="26"/>
      <c r="R22" s="26"/>
      <c r="S22" s="26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>
      <c r="A23" s="24" t="s">
        <v>6</v>
      </c>
      <c r="B23" s="318"/>
      <c r="C23" s="318"/>
      <c r="D23" s="318"/>
      <c r="E23" s="26"/>
      <c r="F23" s="257"/>
      <c r="G23" s="257"/>
      <c r="H23" s="257"/>
      <c r="I23" s="253"/>
      <c r="J23" s="253"/>
      <c r="K23" s="257"/>
      <c r="L23" s="26"/>
      <c r="M23" s="26"/>
      <c r="N23" s="26"/>
      <c r="O23" s="26"/>
      <c r="P23" s="26"/>
      <c r="Q23" s="26"/>
      <c r="R23" s="26"/>
      <c r="S23" s="26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>
      <c r="A24" s="22"/>
      <c r="B24" s="315"/>
      <c r="C24" s="315"/>
      <c r="D24" s="315"/>
      <c r="E24" s="22"/>
      <c r="F24" s="257"/>
      <c r="G24" s="257"/>
      <c r="H24" s="257"/>
      <c r="I24" s="253"/>
      <c r="J24" s="253"/>
      <c r="K24" s="257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>
      <c r="A25" s="22"/>
      <c r="B25" s="315"/>
      <c r="C25" s="315"/>
      <c r="D25" s="315"/>
      <c r="E25" s="30"/>
      <c r="F25" s="257"/>
      <c r="G25" s="257"/>
      <c r="H25" s="257"/>
      <c r="I25" s="253"/>
      <c r="J25" s="253"/>
      <c r="K25" s="257"/>
      <c r="L25" s="30"/>
      <c r="M25" s="30"/>
      <c r="N25" s="30"/>
      <c r="O25" s="30"/>
      <c r="P25" s="30"/>
      <c r="Q25" s="30"/>
      <c r="R25" s="30"/>
      <c r="S25" s="30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>
      <c r="A26" s="24" t="s">
        <v>6</v>
      </c>
      <c r="B26" s="318"/>
      <c r="C26" s="318"/>
      <c r="D26" s="318"/>
      <c r="E26" s="26"/>
      <c r="F26" s="257"/>
      <c r="G26" s="257"/>
      <c r="H26" s="257"/>
      <c r="I26" s="253"/>
      <c r="J26" s="253"/>
      <c r="K26" s="257"/>
      <c r="L26" s="26"/>
      <c r="M26" s="26"/>
      <c r="N26" s="26"/>
      <c r="O26" s="26"/>
      <c r="P26" s="26"/>
      <c r="Q26" s="26"/>
      <c r="R26" s="26"/>
      <c r="S26" s="26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>
      <c r="A27" s="35" t="s">
        <v>6</v>
      </c>
      <c r="B27" s="320"/>
      <c r="C27" s="320"/>
      <c r="D27" s="320"/>
      <c r="E27" s="26"/>
      <c r="F27" s="257"/>
      <c r="G27" s="257"/>
      <c r="H27" s="257"/>
      <c r="I27" s="253"/>
      <c r="J27" s="253"/>
      <c r="K27" s="257"/>
      <c r="L27" s="26"/>
      <c r="M27" s="26"/>
      <c r="N27" s="26"/>
      <c r="O27" s="26"/>
      <c r="P27" s="26"/>
      <c r="Q27" s="26"/>
      <c r="R27" s="26"/>
      <c r="S27" s="26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>
      <c r="A28" s="24" t="s">
        <v>6</v>
      </c>
      <c r="B28" s="318"/>
      <c r="C28" s="318"/>
      <c r="D28" s="318"/>
      <c r="E28" s="26"/>
      <c r="F28" s="257"/>
      <c r="G28" s="257"/>
      <c r="H28" s="257"/>
      <c r="I28" s="253"/>
      <c r="J28" s="253"/>
      <c r="K28" s="257"/>
      <c r="L28" s="26"/>
      <c r="M28" s="26"/>
      <c r="N28" s="26"/>
      <c r="O28" s="26"/>
      <c r="P28" s="26"/>
      <c r="Q28" s="26"/>
      <c r="R28" s="26"/>
      <c r="S28" s="26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>
      <c r="A29" s="22"/>
      <c r="B29" s="315"/>
      <c r="C29" s="315"/>
      <c r="D29" s="315"/>
      <c r="E29" s="36"/>
      <c r="F29" s="257"/>
      <c r="G29" s="257"/>
      <c r="H29" s="257"/>
      <c r="I29" s="257"/>
      <c r="J29" s="257"/>
      <c r="K29" s="257"/>
      <c r="L29" s="36"/>
      <c r="M29" s="36"/>
      <c r="N29" s="36"/>
      <c r="O29" s="36"/>
      <c r="P29" s="36"/>
      <c r="Q29" s="36"/>
      <c r="R29" s="36"/>
      <c r="S29" s="36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>
      <c r="A30" s="22"/>
      <c r="B30" s="315"/>
      <c r="C30" s="315"/>
      <c r="D30" s="315"/>
      <c r="E30" s="30"/>
      <c r="F30" s="257"/>
      <c r="G30" s="257"/>
      <c r="H30" s="257"/>
      <c r="I30" s="253"/>
      <c r="J30" s="253"/>
      <c r="K30" s="257"/>
      <c r="L30" s="30"/>
      <c r="M30" s="30"/>
      <c r="N30" s="30"/>
      <c r="O30" s="30"/>
      <c r="P30" s="30"/>
      <c r="Q30" s="30"/>
      <c r="R30" s="30"/>
      <c r="S30" s="30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>
      <c r="A31" s="24" t="s">
        <v>6</v>
      </c>
      <c r="B31" s="318"/>
      <c r="C31" s="318"/>
      <c r="D31" s="318"/>
      <c r="E31" s="26"/>
      <c r="F31" s="257"/>
      <c r="G31" s="257"/>
      <c r="H31" s="257"/>
      <c r="I31" s="267"/>
      <c r="J31" s="267"/>
      <c r="K31" s="257"/>
      <c r="L31" s="26"/>
      <c r="M31" s="26"/>
      <c r="N31" s="26"/>
      <c r="O31" s="26"/>
      <c r="P31" s="26"/>
      <c r="Q31" s="26"/>
      <c r="R31" s="26"/>
      <c r="S31" s="26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>
      <c r="A32" s="24" t="s">
        <v>6</v>
      </c>
      <c r="B32" s="318"/>
      <c r="C32" s="318"/>
      <c r="D32" s="318"/>
      <c r="E32" s="26"/>
      <c r="F32" s="257"/>
      <c r="G32" s="257"/>
      <c r="H32" s="257"/>
      <c r="I32" s="267"/>
      <c r="J32" s="267"/>
      <c r="K32" s="257"/>
      <c r="L32" s="26"/>
      <c r="M32" s="26"/>
      <c r="N32" s="26"/>
      <c r="O32" s="26"/>
      <c r="P32" s="26"/>
      <c r="Q32" s="26"/>
      <c r="R32" s="26"/>
      <c r="S32" s="26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>
      <c r="A33" s="24" t="s">
        <v>6</v>
      </c>
      <c r="B33" s="318"/>
      <c r="C33" s="318"/>
      <c r="D33" s="318"/>
      <c r="E33" s="26"/>
      <c r="F33" s="263"/>
      <c r="G33" s="263"/>
      <c r="H33" s="263"/>
      <c r="I33" s="267"/>
      <c r="J33" s="267"/>
      <c r="K33" s="263"/>
      <c r="L33" s="26"/>
      <c r="M33" s="26"/>
      <c r="N33" s="26"/>
      <c r="O33" s="26"/>
      <c r="P33" s="26"/>
      <c r="Q33" s="26"/>
      <c r="R33" s="26"/>
      <c r="S33" s="26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>
      <c r="A34" s="22"/>
      <c r="B34" s="315"/>
      <c r="C34" s="315"/>
      <c r="D34" s="315"/>
      <c r="E34" s="26"/>
      <c r="F34" s="257"/>
      <c r="G34" s="257"/>
      <c r="H34" s="257"/>
      <c r="I34" s="233"/>
      <c r="J34" s="233"/>
      <c r="K34" s="257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>
      <c r="A35" s="22"/>
      <c r="B35" s="315"/>
      <c r="C35" s="315"/>
      <c r="D35" s="315"/>
      <c r="E35" s="26"/>
      <c r="F35" s="233"/>
      <c r="G35" s="233"/>
      <c r="H35" s="233"/>
      <c r="I35" s="233"/>
      <c r="J35" s="233"/>
      <c r="K35" s="233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s="9" customFormat="1">
      <c r="A36" s="22" t="s">
        <v>6</v>
      </c>
      <c r="B36" s="315"/>
      <c r="C36" s="315"/>
      <c r="D36" s="315"/>
      <c r="E36" s="26"/>
      <c r="F36" s="270"/>
      <c r="G36" s="270"/>
      <c r="H36" s="270"/>
      <c r="I36" s="233"/>
      <c r="J36" s="233"/>
      <c r="K36" s="270"/>
      <c r="L36" s="26"/>
      <c r="M36" s="26"/>
      <c r="N36" s="26"/>
      <c r="O36" s="26"/>
      <c r="P36" s="26"/>
      <c r="Q36" s="26"/>
      <c r="R36" s="26"/>
      <c r="S36" s="26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s="9" customFormat="1">
      <c r="A37" s="22" t="s">
        <v>6</v>
      </c>
      <c r="B37" s="315"/>
      <c r="C37" s="315"/>
      <c r="D37" s="315"/>
      <c r="E37" s="26"/>
      <c r="F37" s="270"/>
      <c r="G37" s="270"/>
      <c r="H37" s="270"/>
      <c r="I37" s="233"/>
      <c r="J37" s="233"/>
      <c r="K37" s="270"/>
      <c r="L37" s="26"/>
      <c r="M37" s="26"/>
      <c r="N37" s="26"/>
      <c r="O37" s="26"/>
      <c r="P37" s="26"/>
      <c r="Q37" s="26"/>
      <c r="R37" s="26"/>
      <c r="S37" s="26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>
      <c r="A38" s="22"/>
      <c r="B38" s="315"/>
      <c r="C38" s="315"/>
      <c r="D38" s="315"/>
      <c r="E38" s="22"/>
      <c r="F38" s="270"/>
      <c r="G38" s="270"/>
      <c r="H38" s="270"/>
      <c r="I38" s="233"/>
      <c r="J38" s="233"/>
      <c r="K38" s="270"/>
      <c r="L38" s="22"/>
      <c r="M38" s="22"/>
      <c r="N38" s="22"/>
      <c r="O38" s="22"/>
      <c r="P38" s="22"/>
      <c r="Q38" s="22"/>
      <c r="R38" s="22"/>
      <c r="S38" s="37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>
      <c r="A39" s="22"/>
      <c r="B39" s="315"/>
      <c r="C39" s="315"/>
      <c r="D39" s="315"/>
      <c r="E39" s="30"/>
      <c r="F39" s="270"/>
      <c r="G39" s="270"/>
      <c r="H39" s="270"/>
      <c r="I39" s="233"/>
      <c r="J39" s="233"/>
      <c r="K39" s="270"/>
      <c r="L39" s="30"/>
      <c r="M39" s="30"/>
      <c r="N39" s="30"/>
      <c r="O39" s="30"/>
      <c r="P39" s="30"/>
      <c r="Q39" s="30"/>
      <c r="R39" s="30"/>
      <c r="S39" s="30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>
      <c r="A40" s="22"/>
      <c r="B40" s="315"/>
      <c r="C40" s="315"/>
      <c r="D40" s="315"/>
      <c r="E40" s="22"/>
      <c r="F40" s="257"/>
      <c r="G40" s="257"/>
      <c r="H40" s="257"/>
      <c r="I40" s="233"/>
      <c r="J40" s="233"/>
      <c r="K40" s="257"/>
      <c r="L40" s="22"/>
      <c r="M40" s="22"/>
      <c r="N40" s="22"/>
      <c r="O40" s="22"/>
      <c r="P40" s="22"/>
      <c r="Q40" s="22"/>
      <c r="R40" s="22"/>
      <c r="S40" s="37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>
      <c r="A41" s="22"/>
      <c r="B41" s="315"/>
      <c r="C41" s="315"/>
      <c r="D41" s="315"/>
      <c r="E41" s="30"/>
      <c r="F41" s="270"/>
      <c r="G41" s="270"/>
      <c r="H41" s="270"/>
      <c r="I41" s="233"/>
      <c r="J41" s="233"/>
      <c r="K41" s="270"/>
      <c r="L41" s="30"/>
      <c r="M41" s="30"/>
      <c r="N41" s="30"/>
      <c r="O41" s="30"/>
      <c r="P41" s="30"/>
      <c r="Q41" s="30"/>
      <c r="R41" s="30"/>
      <c r="S41" s="30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>
      <c r="A42" s="23" t="s">
        <v>7</v>
      </c>
      <c r="B42" s="316"/>
      <c r="C42" s="316"/>
      <c r="D42" s="316"/>
      <c r="E42" s="22"/>
      <c r="F42" s="270"/>
      <c r="G42" s="270"/>
      <c r="H42" s="270"/>
      <c r="I42" s="233"/>
      <c r="J42" s="233"/>
      <c r="K42" s="270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>
      <c r="A43" s="38" t="s">
        <v>6</v>
      </c>
      <c r="B43" s="321"/>
      <c r="C43" s="321"/>
      <c r="D43" s="321"/>
      <c r="E43" s="26"/>
      <c r="F43" s="270"/>
      <c r="G43" s="270"/>
      <c r="H43" s="270"/>
      <c r="I43" s="233"/>
      <c r="J43" s="233"/>
      <c r="K43" s="270"/>
      <c r="L43" s="26"/>
      <c r="M43" s="26"/>
      <c r="N43" s="26"/>
      <c r="O43" s="26"/>
      <c r="P43" s="26"/>
      <c r="Q43" s="26"/>
      <c r="R43" s="26"/>
      <c r="S43" s="26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>
      <c r="A44" s="22"/>
      <c r="B44" s="315"/>
      <c r="C44" s="315"/>
      <c r="D44" s="315"/>
      <c r="E44" s="22"/>
      <c r="F44" s="270"/>
      <c r="G44" s="270"/>
      <c r="H44" s="270"/>
      <c r="I44" s="233"/>
      <c r="J44" s="233"/>
      <c r="K44" s="270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>
      <c r="A45" s="22"/>
      <c r="B45" s="315"/>
      <c r="C45" s="315"/>
      <c r="D45" s="315"/>
      <c r="E45" s="30"/>
      <c r="F45" s="270"/>
      <c r="G45" s="270"/>
      <c r="H45" s="270"/>
      <c r="I45" s="233"/>
      <c r="J45" s="233"/>
      <c r="K45" s="270"/>
      <c r="L45" s="30"/>
      <c r="M45" s="30"/>
      <c r="N45" s="30"/>
      <c r="O45" s="30"/>
      <c r="P45" s="30"/>
      <c r="Q45" s="30"/>
      <c r="R45" s="30"/>
      <c r="S45" s="30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>
      <c r="A46" s="23" t="s">
        <v>8</v>
      </c>
      <c r="B46" s="316"/>
      <c r="C46" s="316"/>
      <c r="D46" s="316"/>
      <c r="E46" s="26">
        <f>+'c12_hm'!E60</f>
        <v>0</v>
      </c>
      <c r="F46" s="26">
        <f>+'c12_hm'!F60</f>
        <v>0</v>
      </c>
      <c r="G46" s="26">
        <f>+'c12_hm'!G60</f>
        <v>0</v>
      </c>
      <c r="H46" s="26">
        <f>+'c12_hm'!H60</f>
        <v>0</v>
      </c>
      <c r="I46" s="26">
        <f>+'c12_hm'!I60</f>
        <v>447597</v>
      </c>
      <c r="J46" s="26">
        <f>+'c12_hm'!J60</f>
        <v>310715.78947368421</v>
      </c>
      <c r="K46" s="26">
        <f>+'c12_hm'!K60</f>
        <v>0</v>
      </c>
      <c r="L46" s="26">
        <f>+'c12_hm'!L60</f>
        <v>558947</v>
      </c>
      <c r="M46" s="27">
        <f>+'c12_hm'!M60</f>
        <v>558947</v>
      </c>
      <c r="N46" s="27">
        <f>+'c12_hm'!N60</f>
        <v>558947</v>
      </c>
      <c r="O46" s="27">
        <f>+'c12_hm'!O60</f>
        <v>447597</v>
      </c>
      <c r="P46" s="26">
        <f>+'c12_hm'!P60</f>
        <v>310715.78947368416</v>
      </c>
      <c r="Q46" s="26">
        <f>+'c12_hm'!Q60</f>
        <v>902637.28947368416</v>
      </c>
      <c r="R46" s="26">
        <f>+'c12_hm'!R60</f>
        <v>948110.97368421056</v>
      </c>
      <c r="S46" s="26">
        <f>+'c12_hm'!S60</f>
        <v>2385063.6052631577</v>
      </c>
      <c r="T46" s="22" t="s">
        <v>9</v>
      </c>
      <c r="U46" s="22" t="s">
        <v>10</v>
      </c>
      <c r="V46" s="22"/>
      <c r="W46" s="22">
        <v>60</v>
      </c>
      <c r="X46" s="22" t="s">
        <v>11</v>
      </c>
      <c r="Y46" s="22"/>
      <c r="Z46" s="22"/>
      <c r="AA46" s="22"/>
      <c r="AB46" s="22"/>
      <c r="AC46" s="22"/>
      <c r="AD46" s="22"/>
    </row>
    <row r="47" spans="1:30">
      <c r="A47" s="23" t="s">
        <v>12</v>
      </c>
      <c r="B47" s="316"/>
      <c r="C47" s="316"/>
      <c r="D47" s="316"/>
      <c r="E47" s="26">
        <f>+'c12_hm'!E70</f>
        <v>0</v>
      </c>
      <c r="F47" s="26">
        <f>+'c12_hm'!F70</f>
        <v>0</v>
      </c>
      <c r="G47" s="26">
        <f>+'c12_hm'!G70</f>
        <v>0</v>
      </c>
      <c r="H47" s="26">
        <f>+'c12_hm'!H70</f>
        <v>0</v>
      </c>
      <c r="I47" s="26">
        <f>+'c12_hm'!I70</f>
        <v>447597</v>
      </c>
      <c r="J47" s="26">
        <f>+'c12_hm'!J70</f>
        <v>63035.789473684214</v>
      </c>
      <c r="K47" s="26">
        <f>+'c12_hm'!K70</f>
        <v>0</v>
      </c>
      <c r="L47" s="26">
        <f>+'c12_hm'!L70</f>
        <v>558947</v>
      </c>
      <c r="M47" s="27">
        <f>+'c12_hm'!M70</f>
        <v>558947</v>
      </c>
      <c r="N47" s="27">
        <f>+'c12_hm'!N70</f>
        <v>558947</v>
      </c>
      <c r="O47" s="27">
        <f>+'c12_hm'!O70</f>
        <v>447597</v>
      </c>
      <c r="P47" s="26">
        <f>+'c12_hm'!P70</f>
        <v>63035.789473684214</v>
      </c>
      <c r="Q47" s="26">
        <f>+'c12_hm'!Q70</f>
        <v>398173.6519736842</v>
      </c>
      <c r="R47" s="26">
        <f>+'c12_hm'!R70</f>
        <v>400447.33618421049</v>
      </c>
      <c r="S47" s="26">
        <f>+'c12_hm'!S70</f>
        <v>662529.63026315777</v>
      </c>
      <c r="T47" s="22" t="s">
        <v>9</v>
      </c>
      <c r="U47" s="22" t="s">
        <v>13</v>
      </c>
      <c r="V47" s="22"/>
      <c r="W47" s="22">
        <v>70</v>
      </c>
      <c r="X47" s="22" t="s">
        <v>11</v>
      </c>
      <c r="Y47" s="22"/>
      <c r="Z47" s="22"/>
      <c r="AA47" s="22"/>
      <c r="AB47" s="22"/>
      <c r="AC47" s="22"/>
      <c r="AD47" s="22"/>
    </row>
    <row r="48" spans="1:30">
      <c r="A48" s="25"/>
      <c r="B48" s="317"/>
      <c r="C48" s="317"/>
      <c r="D48" s="317"/>
      <c r="E48" s="22"/>
      <c r="F48" s="265"/>
      <c r="G48" s="265"/>
      <c r="H48" s="265"/>
      <c r="I48" s="233"/>
      <c r="J48" s="233"/>
      <c r="K48" s="265"/>
      <c r="L48" s="27"/>
      <c r="M48" s="27"/>
      <c r="N48" s="27"/>
      <c r="O48" s="27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>
      <c r="A49" s="24" t="s">
        <v>6</v>
      </c>
      <c r="B49" s="318"/>
      <c r="C49" s="318"/>
      <c r="D49" s="318"/>
      <c r="E49" s="26"/>
      <c r="F49" s="265"/>
      <c r="G49" s="265"/>
      <c r="H49" s="265"/>
      <c r="I49" s="233"/>
      <c r="J49" s="233"/>
      <c r="K49" s="265"/>
      <c r="L49" s="26"/>
      <c r="M49" s="26"/>
      <c r="N49" s="26"/>
      <c r="O49" s="26"/>
      <c r="P49" s="26"/>
      <c r="Q49" s="26"/>
      <c r="R49" s="26"/>
      <c r="S49" s="26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>
      <c r="A50" s="24" t="s">
        <v>6</v>
      </c>
      <c r="B50" s="318"/>
      <c r="C50" s="318"/>
      <c r="D50" s="318"/>
      <c r="E50" s="26"/>
      <c r="F50" s="265"/>
      <c r="G50" s="265"/>
      <c r="H50" s="265"/>
      <c r="I50" s="233"/>
      <c r="J50" s="233"/>
      <c r="K50" s="265"/>
      <c r="L50" s="26"/>
      <c r="M50" s="26"/>
      <c r="N50" s="26"/>
      <c r="O50" s="26"/>
      <c r="P50" s="26"/>
      <c r="Q50" s="26"/>
      <c r="R50" s="26"/>
      <c r="S50" s="26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spans="1:30">
      <c r="A51" s="23" t="s">
        <v>6</v>
      </c>
      <c r="B51" s="316"/>
      <c r="C51" s="316"/>
      <c r="D51" s="316"/>
      <c r="E51" s="26"/>
      <c r="F51" s="265"/>
      <c r="G51" s="265"/>
      <c r="H51" s="265"/>
      <c r="I51" s="233"/>
      <c r="J51" s="233"/>
      <c r="K51" s="265"/>
      <c r="L51" s="26"/>
      <c r="M51" s="26"/>
      <c r="N51" s="26"/>
      <c r="O51" s="26"/>
      <c r="P51" s="26"/>
      <c r="Q51" s="26"/>
      <c r="R51" s="26"/>
      <c r="S51" s="26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spans="1:30">
      <c r="A52" s="22"/>
      <c r="B52" s="315"/>
      <c r="C52" s="315"/>
      <c r="D52" s="315"/>
      <c r="E52" s="22"/>
      <c r="F52" s="265"/>
      <c r="G52" s="265"/>
      <c r="H52" s="265"/>
      <c r="I52" s="233"/>
      <c r="J52" s="233"/>
      <c r="K52" s="265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spans="1:30">
      <c r="A53" s="22"/>
      <c r="B53" s="315"/>
      <c r="C53" s="315"/>
      <c r="D53" s="315"/>
      <c r="E53" s="22"/>
      <c r="F53" s="233"/>
      <c r="G53" s="233"/>
      <c r="H53" s="233"/>
      <c r="I53" s="233"/>
      <c r="J53" s="233"/>
      <c r="K53" s="233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spans="1:30">
      <c r="A54" s="22"/>
      <c r="B54" s="315"/>
      <c r="C54" s="315"/>
      <c r="D54" s="315"/>
      <c r="E54" s="30"/>
      <c r="F54" s="233"/>
      <c r="G54" s="233"/>
      <c r="H54" s="233"/>
      <c r="I54" s="233"/>
      <c r="J54" s="233"/>
      <c r="K54" s="233"/>
      <c r="L54" s="30"/>
      <c r="M54" s="30"/>
      <c r="N54" s="30"/>
      <c r="O54" s="30"/>
      <c r="P54" s="30"/>
      <c r="Q54" s="30"/>
      <c r="R54" s="30"/>
      <c r="S54" s="30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spans="1:30">
      <c r="A55" s="23" t="s">
        <v>14</v>
      </c>
      <c r="B55" s="316"/>
      <c r="C55" s="316"/>
      <c r="D55" s="316"/>
      <c r="E55" s="26">
        <f>'c12_d&amp;s'!E60</f>
        <v>0</v>
      </c>
      <c r="F55" s="26">
        <f>'c12_d&amp;s'!F60</f>
        <v>0</v>
      </c>
      <c r="G55" s="26">
        <f>'c12_d&amp;s'!G60</f>
        <v>0</v>
      </c>
      <c r="H55" s="26">
        <f>'c12_d&amp;s'!H60</f>
        <v>0</v>
      </c>
      <c r="I55" s="26">
        <f>'c12_d&amp;s'!I60</f>
        <v>911235.5</v>
      </c>
      <c r="J55" s="26">
        <f>'c12_d&amp;s'!J60</f>
        <v>1735259.1270175439</v>
      </c>
      <c r="K55" s="26">
        <f>'c12_d&amp;s'!K60</f>
        <v>0</v>
      </c>
      <c r="L55" s="26">
        <f>'c12_d&amp;s'!L60</f>
        <v>128735.5</v>
      </c>
      <c r="M55" s="26">
        <f>'c12_d&amp;s'!M60</f>
        <v>128735.5</v>
      </c>
      <c r="N55" s="26">
        <f>'c12_d&amp;s'!N60</f>
        <v>699135.5</v>
      </c>
      <c r="O55" s="26">
        <f>'c12_d&amp;s'!O60</f>
        <v>911235.5</v>
      </c>
      <c r="P55" s="26">
        <f>'c12_d&amp;s'!P60</f>
        <v>1735259.1270175439</v>
      </c>
      <c r="Q55" s="26">
        <f>'c12_d&amp;s'!Q60</f>
        <v>2473819.8070175434</v>
      </c>
      <c r="R55" s="26">
        <f>'c12_d&amp;s'!R60</f>
        <v>2205638.8070175434</v>
      </c>
      <c r="S55" s="26">
        <f>'c12_d&amp;s'!S60</f>
        <v>5828630.333333333</v>
      </c>
      <c r="T55" s="22" t="s">
        <v>9</v>
      </c>
      <c r="U55" s="22" t="s">
        <v>15</v>
      </c>
      <c r="V55" s="22"/>
      <c r="W55" s="22">
        <v>60</v>
      </c>
      <c r="X55" s="22" t="s">
        <v>16</v>
      </c>
      <c r="Y55" s="22"/>
      <c r="Z55" s="22"/>
      <c r="AA55" s="22"/>
      <c r="AB55" s="22"/>
      <c r="AC55" s="22"/>
      <c r="AD55" s="22"/>
    </row>
    <row r="56" spans="1:30">
      <c r="A56" s="23" t="s">
        <v>17</v>
      </c>
      <c r="B56" s="316"/>
      <c r="C56" s="316"/>
      <c r="D56" s="316"/>
      <c r="E56" s="26">
        <f>'c12_d&amp;s'!E70</f>
        <v>0</v>
      </c>
      <c r="F56" s="26">
        <f>'c12_d&amp;s'!F70</f>
        <v>0</v>
      </c>
      <c r="G56" s="26">
        <f>'c12_d&amp;s'!G70</f>
        <v>0</v>
      </c>
      <c r="H56" s="26">
        <f>'c12_d&amp;s'!H70</f>
        <v>0</v>
      </c>
      <c r="I56" s="26">
        <f>'c12_d&amp;s'!I70</f>
        <v>455617.75</v>
      </c>
      <c r="J56" s="26">
        <f>'c12_d&amp;s'!J70</f>
        <v>806580.95035087725</v>
      </c>
      <c r="K56" s="26">
        <f>'c12_d&amp;s'!K70</f>
        <v>0</v>
      </c>
      <c r="L56" s="26">
        <f>'c12_d&amp;s'!L70</f>
        <v>64367.75</v>
      </c>
      <c r="M56" s="26">
        <f>'c12_d&amp;s'!M70</f>
        <v>64367.75</v>
      </c>
      <c r="N56" s="26">
        <f>'c12_d&amp;s'!N70</f>
        <v>349567.75</v>
      </c>
      <c r="O56" s="26">
        <f>'c12_d&amp;s'!O70</f>
        <v>455617.75</v>
      </c>
      <c r="P56" s="26">
        <f>'c12_d&amp;s'!P70</f>
        <v>806580.95035087725</v>
      </c>
      <c r="Q56" s="26">
        <f>'c12_d&amp;s'!Q70</f>
        <v>1015405.0903508773</v>
      </c>
      <c r="R56" s="26">
        <f>'c12_d&amp;s'!R70</f>
        <v>935314.59035087726</v>
      </c>
      <c r="S56" s="26">
        <f>'c12_d&amp;s'!S70</f>
        <v>2208920.6166666662</v>
      </c>
      <c r="T56" s="22" t="s">
        <v>9</v>
      </c>
      <c r="U56" s="22" t="s">
        <v>18</v>
      </c>
      <c r="V56" s="22"/>
      <c r="W56" s="22">
        <v>70</v>
      </c>
      <c r="X56" s="22" t="s">
        <v>16</v>
      </c>
      <c r="Y56" s="22"/>
      <c r="Z56" s="22"/>
      <c r="AA56" s="22"/>
      <c r="AB56" s="22"/>
      <c r="AC56" s="22"/>
      <c r="AD56" s="22"/>
    </row>
    <row r="57" spans="1:30">
      <c r="A57" s="25"/>
      <c r="B57" s="317"/>
      <c r="C57" s="317"/>
      <c r="D57" s="317"/>
      <c r="E57" s="26"/>
      <c r="F57" s="233"/>
      <c r="G57" s="233"/>
      <c r="H57" s="233"/>
      <c r="I57" s="233"/>
      <c r="J57" s="233"/>
      <c r="K57" s="233"/>
      <c r="L57" s="26"/>
      <c r="M57" s="26"/>
      <c r="N57" s="26"/>
      <c r="O57" s="26"/>
      <c r="P57" s="26"/>
      <c r="Q57" s="26"/>
      <c r="R57" s="26"/>
      <c r="S57" s="26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spans="1:30">
      <c r="A58" s="23" t="s">
        <v>19</v>
      </c>
      <c r="B58" s="316"/>
      <c r="C58" s="316"/>
      <c r="D58" s="316"/>
      <c r="E58" s="26">
        <f>'c12_oc'!E10</f>
        <v>2452451</v>
      </c>
      <c r="F58" s="26">
        <f>'c12_oc'!F10</f>
        <v>0</v>
      </c>
      <c r="G58" s="26">
        <f>'c12_oc'!G10</f>
        <v>0</v>
      </c>
      <c r="H58" s="26">
        <f>'c12_oc'!H10</f>
        <v>0</v>
      </c>
      <c r="I58" s="26">
        <f>'c12_oc'!I10</f>
        <v>0</v>
      </c>
      <c r="J58" s="26">
        <f>'c12_oc'!J10</f>
        <v>0</v>
      </c>
      <c r="K58" s="26">
        <f>'c12_oc'!K10</f>
        <v>0</v>
      </c>
      <c r="L58" s="26">
        <f>'c12_oc'!L10</f>
        <v>623314.75</v>
      </c>
      <c r="M58" s="26">
        <f>'c12_oc'!M10</f>
        <v>623314.75</v>
      </c>
      <c r="N58" s="26">
        <f>'c12_oc'!N10</f>
        <v>908514.75</v>
      </c>
      <c r="O58" s="26">
        <f>'c12_oc'!O10</f>
        <v>903214.75</v>
      </c>
      <c r="P58" s="26">
        <f>'c12_oc'!P10</f>
        <v>886331.47666666668</v>
      </c>
      <c r="Q58" s="26">
        <f>'c12_oc'!Q10</f>
        <v>1430293.4791666667</v>
      </c>
      <c r="R58" s="26">
        <f>'c12_oc'!R10</f>
        <v>1358160.8739035088</v>
      </c>
      <c r="S58" s="26">
        <f>'c12_oc'!S10</f>
        <v>2898497.3521929821</v>
      </c>
      <c r="T58" s="22" t="s">
        <v>9</v>
      </c>
      <c r="U58" s="22" t="s">
        <v>20</v>
      </c>
      <c r="V58" s="22"/>
      <c r="W58" s="22">
        <v>10</v>
      </c>
      <c r="X58" s="22" t="s">
        <v>21</v>
      </c>
      <c r="Y58" s="22"/>
      <c r="Z58" s="22"/>
      <c r="AA58" s="22"/>
      <c r="AB58" s="22"/>
      <c r="AC58" s="22"/>
      <c r="AD58" s="22"/>
    </row>
    <row r="59" spans="1:30" s="11" customFormat="1">
      <c r="A59" s="24" t="s">
        <v>22</v>
      </c>
      <c r="B59" s="318"/>
      <c r="C59" s="318"/>
      <c r="D59" s="318"/>
      <c r="E59" s="39">
        <f>'c12_oc'!E87</f>
        <v>0</v>
      </c>
      <c r="F59" s="39">
        <f>'c12_oc'!F87</f>
        <v>0</v>
      </c>
      <c r="G59" s="39">
        <f>'c12_oc'!G87</f>
        <v>0</v>
      </c>
      <c r="H59" s="39">
        <f>'c12_oc'!H87</f>
        <v>0</v>
      </c>
      <c r="I59" s="39">
        <f>'c12_oc'!I87</f>
        <v>0</v>
      </c>
      <c r="J59" s="39">
        <f>'c12_oc'!J87</f>
        <v>0</v>
      </c>
      <c r="K59" s="39">
        <f>'c12_oc'!K87</f>
        <v>0</v>
      </c>
      <c r="L59" s="39">
        <f>'c12_oc'!L87</f>
        <v>687682.5</v>
      </c>
      <c r="M59" s="39">
        <f>'c12_oc'!M87</f>
        <v>687682.5</v>
      </c>
      <c r="N59" s="39">
        <f>'c12_oc'!N87</f>
        <v>1258082.5</v>
      </c>
      <c r="O59" s="39">
        <f>'c12_oc'!O87</f>
        <v>1358832.5</v>
      </c>
      <c r="P59" s="39">
        <f>'c12_oc'!P87</f>
        <v>2200269.6533333333</v>
      </c>
      <c r="Q59" s="39">
        <f>'c12_oc'!Q87</f>
        <v>3530751.8333333326</v>
      </c>
      <c r="R59" s="39">
        <f>'c12_oc'!R87</f>
        <v>3421728.7280701748</v>
      </c>
      <c r="S59" s="39">
        <f>'c12_oc'!S87</f>
        <v>8574636.0438596494</v>
      </c>
      <c r="T59" s="22" t="s">
        <v>9</v>
      </c>
      <c r="U59" s="22" t="s">
        <v>23</v>
      </c>
      <c r="V59" s="22"/>
      <c r="W59" s="22">
        <v>87</v>
      </c>
      <c r="X59" s="22" t="s">
        <v>21</v>
      </c>
      <c r="Y59" s="22"/>
      <c r="Z59" s="22"/>
      <c r="AA59" s="22"/>
      <c r="AB59" s="22"/>
      <c r="AC59" s="22"/>
      <c r="AD59" s="22"/>
    </row>
    <row r="60" spans="1:30" s="11" customFormat="1">
      <c r="A60" s="24" t="s">
        <v>24</v>
      </c>
      <c r="B60" s="318"/>
      <c r="C60" s="318"/>
      <c r="D60" s="318"/>
      <c r="E60" s="39">
        <f>'c12_sk'!E7</f>
        <v>0</v>
      </c>
      <c r="F60" s="39">
        <f>'c12_sk'!F7</f>
        <v>0</v>
      </c>
      <c r="G60" s="39">
        <f>'c12_sk'!G7</f>
        <v>0</v>
      </c>
      <c r="H60" s="39">
        <f>'c12_sk'!H7</f>
        <v>0</v>
      </c>
      <c r="I60" s="39">
        <f>'c12_sk'!I7</f>
        <v>0</v>
      </c>
      <c r="J60" s="39">
        <f>'c12_sk'!J7</f>
        <v>0</v>
      </c>
      <c r="K60" s="39">
        <f>'c12_sk'!K7</f>
        <v>0</v>
      </c>
      <c r="L60" s="39">
        <f>'c12_sk'!L7</f>
        <v>0</v>
      </c>
      <c r="M60" s="39">
        <f>'c12_sk'!M7</f>
        <v>0</v>
      </c>
      <c r="N60" s="39">
        <f>'c12_sk'!N7</f>
        <v>0</v>
      </c>
      <c r="O60" s="39">
        <f>'c12_sk'!O7</f>
        <v>0</v>
      </c>
      <c r="P60" s="39">
        <f>'c12_sk'!P7</f>
        <v>50000</v>
      </c>
      <c r="Q60" s="39">
        <f>'c12_sk'!Q7</f>
        <v>50000</v>
      </c>
      <c r="R60" s="39">
        <f>'c12_sk'!R7</f>
        <v>50000</v>
      </c>
      <c r="S60" s="39">
        <f>'c12_sk'!S7</f>
        <v>50000</v>
      </c>
      <c r="T60" s="22" t="s">
        <v>25</v>
      </c>
      <c r="U60" s="22" t="s">
        <v>26</v>
      </c>
      <c r="V60" s="22" t="s">
        <v>27</v>
      </c>
      <c r="W60" s="22">
        <v>7</v>
      </c>
      <c r="X60" s="22" t="s">
        <v>28</v>
      </c>
      <c r="Y60" s="22"/>
      <c r="Z60" s="22"/>
      <c r="AA60" s="22"/>
      <c r="AB60" s="22"/>
      <c r="AC60" s="22"/>
      <c r="AD60" s="22"/>
    </row>
    <row r="61" spans="1:30">
      <c r="A61" s="25"/>
      <c r="B61" s="317"/>
      <c r="C61" s="317"/>
      <c r="D61" s="317"/>
      <c r="E61" s="22"/>
      <c r="F61" s="233"/>
      <c r="G61" s="233"/>
      <c r="H61" s="233"/>
      <c r="I61" s="233"/>
      <c r="J61" s="233"/>
      <c r="K61" s="233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spans="1:30">
      <c r="A62" s="23" t="s">
        <v>6</v>
      </c>
      <c r="B62" s="316"/>
      <c r="C62" s="316"/>
      <c r="D62" s="316"/>
      <c r="E62" s="26"/>
      <c r="F62" s="233"/>
      <c r="G62" s="233"/>
      <c r="H62" s="233"/>
      <c r="I62" s="233"/>
      <c r="J62" s="233"/>
      <c r="K62" s="233"/>
      <c r="L62" s="26"/>
      <c r="M62" s="26"/>
      <c r="N62" s="26"/>
      <c r="O62" s="26"/>
      <c r="P62" s="26"/>
      <c r="Q62" s="26"/>
      <c r="R62" s="26"/>
      <c r="S62" s="26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spans="1:30">
      <c r="A63" s="24" t="s">
        <v>6</v>
      </c>
      <c r="B63" s="318"/>
      <c r="C63" s="318"/>
      <c r="D63" s="318"/>
      <c r="E63" s="40"/>
      <c r="F63" s="233"/>
      <c r="G63" s="233"/>
      <c r="H63" s="233"/>
      <c r="I63" s="233"/>
      <c r="J63" s="233"/>
      <c r="K63" s="233"/>
      <c r="L63" s="40"/>
      <c r="M63" s="40"/>
      <c r="N63" s="40"/>
      <c r="O63" s="40"/>
      <c r="P63" s="40"/>
      <c r="Q63" s="40"/>
      <c r="R63" s="40"/>
      <c r="S63" s="40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spans="1:30">
      <c r="A64" s="22"/>
      <c r="B64" s="315"/>
      <c r="C64" s="315"/>
      <c r="D64" s="315"/>
      <c r="E64" s="22"/>
      <c r="F64" s="233"/>
      <c r="G64" s="233"/>
      <c r="H64" s="233"/>
      <c r="I64" s="233"/>
      <c r="J64" s="233"/>
      <c r="K64" s="233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 spans="1:30">
      <c r="A65" s="22"/>
      <c r="B65" s="315"/>
      <c r="C65" s="315"/>
      <c r="D65" s="315"/>
      <c r="E65" s="22"/>
      <c r="F65" s="233"/>
      <c r="G65" s="233"/>
      <c r="H65" s="233"/>
      <c r="I65" s="233"/>
      <c r="J65" s="233"/>
      <c r="K65" s="233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spans="1:30">
      <c r="A66" s="24" t="s">
        <v>6</v>
      </c>
      <c r="B66" s="318"/>
      <c r="C66" s="318"/>
      <c r="D66" s="318"/>
      <c r="E66" s="26"/>
      <c r="F66" s="233"/>
      <c r="G66" s="233"/>
      <c r="H66" s="233"/>
      <c r="I66" s="233"/>
      <c r="J66" s="233"/>
      <c r="K66" s="233"/>
      <c r="L66" s="26"/>
      <c r="M66" s="26"/>
      <c r="N66" s="26"/>
      <c r="O66" s="26"/>
      <c r="P66" s="26"/>
      <c r="Q66" s="26"/>
      <c r="R66" s="26"/>
      <c r="S66" s="26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spans="1:30">
      <c r="A67" s="24" t="s">
        <v>6</v>
      </c>
      <c r="B67" s="318"/>
      <c r="C67" s="318"/>
      <c r="D67" s="318"/>
      <c r="E67" s="26"/>
      <c r="F67" s="233"/>
      <c r="G67" s="233"/>
      <c r="H67" s="233"/>
      <c r="I67" s="233"/>
      <c r="J67" s="233"/>
      <c r="K67" s="233"/>
      <c r="L67" s="26"/>
      <c r="M67" s="26"/>
      <c r="N67" s="26"/>
      <c r="O67" s="26"/>
      <c r="P67" s="26"/>
      <c r="Q67" s="26"/>
      <c r="R67" s="26"/>
      <c r="S67" s="26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spans="1:30">
      <c r="A68" s="24" t="s">
        <v>6</v>
      </c>
      <c r="B68" s="318"/>
      <c r="C68" s="318"/>
      <c r="D68" s="318"/>
      <c r="E68" s="26"/>
      <c r="F68" s="233"/>
      <c r="G68" s="233"/>
      <c r="H68" s="233"/>
      <c r="I68" s="233"/>
      <c r="J68" s="233"/>
      <c r="K68" s="233"/>
      <c r="L68" s="26"/>
      <c r="M68" s="26"/>
      <c r="N68" s="26"/>
      <c r="O68" s="26"/>
      <c r="P68" s="26"/>
      <c r="Q68" s="26"/>
      <c r="R68" s="26"/>
      <c r="S68" s="26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spans="1:30">
      <c r="A69" s="22"/>
      <c r="B69" s="315"/>
      <c r="C69" s="315"/>
      <c r="D69" s="315"/>
      <c r="E69" s="22"/>
      <c r="F69" s="233"/>
      <c r="G69" s="233"/>
      <c r="H69" s="233"/>
      <c r="I69" s="233"/>
      <c r="J69" s="233"/>
      <c r="K69" s="233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spans="1:30">
      <c r="A70" s="22"/>
      <c r="B70" s="315"/>
      <c r="C70" s="315"/>
      <c r="D70" s="315"/>
      <c r="E70" s="22"/>
      <c r="F70" s="233"/>
      <c r="G70" s="233"/>
      <c r="H70" s="233"/>
      <c r="I70" s="233"/>
      <c r="J70" s="233"/>
      <c r="K70" s="233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spans="1:30">
      <c r="A71" s="24" t="s">
        <v>6</v>
      </c>
      <c r="B71" s="318"/>
      <c r="C71" s="318"/>
      <c r="D71" s="318"/>
      <c r="E71" s="26"/>
      <c r="F71" s="233"/>
      <c r="G71" s="233"/>
      <c r="H71" s="233"/>
      <c r="I71" s="233"/>
      <c r="J71" s="233"/>
      <c r="K71" s="233"/>
      <c r="L71" s="26"/>
      <c r="M71" s="26"/>
      <c r="N71" s="26"/>
      <c r="O71" s="26"/>
      <c r="P71" s="26"/>
      <c r="Q71" s="26"/>
      <c r="R71" s="26"/>
      <c r="S71" s="26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 spans="1:30">
      <c r="A72" s="24" t="s">
        <v>6</v>
      </c>
      <c r="B72" s="318"/>
      <c r="C72" s="318"/>
      <c r="D72" s="318"/>
      <c r="E72" s="26"/>
      <c r="F72" s="233"/>
      <c r="G72" s="233"/>
      <c r="H72" s="233"/>
      <c r="I72" s="233"/>
      <c r="J72" s="233"/>
      <c r="K72" s="233"/>
      <c r="L72" s="26"/>
      <c r="M72" s="26"/>
      <c r="N72" s="26"/>
      <c r="O72" s="26"/>
      <c r="P72" s="26"/>
      <c r="Q72" s="26"/>
      <c r="R72" s="26"/>
      <c r="S72" s="26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spans="1:30">
      <c r="A73" s="24" t="s">
        <v>6</v>
      </c>
      <c r="B73" s="318"/>
      <c r="C73" s="318"/>
      <c r="D73" s="318"/>
      <c r="E73" s="26"/>
      <c r="F73" s="233"/>
      <c r="G73" s="233"/>
      <c r="H73" s="233"/>
      <c r="I73" s="233"/>
      <c r="J73" s="233"/>
      <c r="K73" s="233"/>
      <c r="L73" s="26"/>
      <c r="M73" s="26"/>
      <c r="N73" s="26"/>
      <c r="O73" s="26"/>
      <c r="P73" s="26"/>
      <c r="Q73" s="26"/>
      <c r="R73" s="26"/>
      <c r="S73" s="26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1:30">
      <c r="A74" s="22"/>
      <c r="B74" s="315"/>
      <c r="C74" s="315"/>
      <c r="D74" s="315"/>
      <c r="E74" s="22"/>
      <c r="F74" s="233"/>
      <c r="G74" s="233"/>
      <c r="H74" s="233"/>
      <c r="I74" s="233"/>
      <c r="J74" s="233"/>
      <c r="K74" s="233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spans="1:30">
      <c r="A75" s="22"/>
      <c r="B75" s="315"/>
      <c r="C75" s="315"/>
      <c r="D75" s="315"/>
      <c r="E75" s="22"/>
      <c r="F75" s="233"/>
      <c r="G75" s="233"/>
      <c r="H75" s="233"/>
      <c r="I75" s="233"/>
      <c r="J75" s="233"/>
      <c r="K75" s="233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 spans="1:30">
      <c r="A76" s="22"/>
      <c r="B76" s="315"/>
      <c r="C76" s="315"/>
      <c r="D76" s="315"/>
      <c r="E76" s="22"/>
      <c r="F76" s="233"/>
      <c r="G76" s="233"/>
      <c r="H76" s="233"/>
      <c r="I76" s="233"/>
      <c r="J76" s="233"/>
      <c r="K76" s="233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 spans="1:30">
      <c r="A77" s="24" t="s">
        <v>6</v>
      </c>
      <c r="B77" s="318"/>
      <c r="C77" s="318"/>
      <c r="D77" s="318"/>
      <c r="E77" s="26"/>
      <c r="F77" s="233"/>
      <c r="G77" s="233"/>
      <c r="H77" s="233"/>
      <c r="I77" s="233"/>
      <c r="J77" s="233"/>
      <c r="K77" s="233"/>
      <c r="L77" s="26"/>
      <c r="M77" s="26"/>
      <c r="N77" s="26"/>
      <c r="O77" s="26"/>
      <c r="P77" s="26"/>
      <c r="Q77" s="26"/>
      <c r="R77" s="26"/>
      <c r="S77" s="26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1:30">
      <c r="A78" s="24" t="s">
        <v>6</v>
      </c>
      <c r="B78" s="318"/>
      <c r="C78" s="318"/>
      <c r="D78" s="318"/>
      <c r="E78" s="26"/>
      <c r="F78" s="233"/>
      <c r="G78" s="233"/>
      <c r="H78" s="233"/>
      <c r="I78" s="233"/>
      <c r="J78" s="233"/>
      <c r="K78" s="233"/>
      <c r="L78" s="26"/>
      <c r="M78" s="26"/>
      <c r="N78" s="26"/>
      <c r="O78" s="26"/>
      <c r="P78" s="26"/>
      <c r="Q78" s="26"/>
      <c r="R78" s="26"/>
      <c r="S78" s="26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spans="1:30">
      <c r="A79" s="24" t="s">
        <v>6</v>
      </c>
      <c r="B79" s="318"/>
      <c r="C79" s="318"/>
      <c r="D79" s="318"/>
      <c r="E79" s="26"/>
      <c r="F79" s="233"/>
      <c r="G79" s="233"/>
      <c r="H79" s="233"/>
      <c r="I79" s="233"/>
      <c r="J79" s="233"/>
      <c r="K79" s="233"/>
      <c r="L79" s="26"/>
      <c r="M79" s="26"/>
      <c r="N79" s="26"/>
      <c r="O79" s="26"/>
      <c r="P79" s="26"/>
      <c r="Q79" s="26"/>
      <c r="R79" s="26"/>
      <c r="S79" s="26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 spans="1:30">
      <c r="A80" s="22"/>
      <c r="B80" s="315"/>
      <c r="C80" s="315"/>
      <c r="D80" s="315"/>
      <c r="E80" s="22"/>
      <c r="F80" s="233"/>
      <c r="G80" s="233"/>
      <c r="H80" s="233"/>
      <c r="I80" s="233"/>
      <c r="J80" s="233"/>
      <c r="K80" s="233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1:30">
      <c r="A81" s="22"/>
      <c r="B81" s="315"/>
      <c r="C81" s="315"/>
      <c r="D81" s="315"/>
      <c r="E81" s="22"/>
      <c r="F81" s="233"/>
      <c r="G81" s="233"/>
      <c r="H81" s="233"/>
      <c r="I81" s="233"/>
      <c r="J81" s="233"/>
      <c r="K81" s="233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 spans="1:30">
      <c r="A82" s="24" t="s">
        <v>6</v>
      </c>
      <c r="B82" s="318"/>
      <c r="C82" s="318"/>
      <c r="D82" s="318"/>
      <c r="E82" s="26"/>
      <c r="F82" s="233"/>
      <c r="G82" s="233"/>
      <c r="H82" s="233"/>
      <c r="I82" s="233"/>
      <c r="J82" s="233"/>
      <c r="K82" s="233"/>
      <c r="L82" s="26"/>
      <c r="M82" s="26"/>
      <c r="N82" s="26"/>
      <c r="O82" s="26"/>
      <c r="P82" s="26"/>
      <c r="Q82" s="26"/>
      <c r="R82" s="26"/>
      <c r="S82" s="26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 spans="1:30" s="9" customFormat="1">
      <c r="A83" s="24" t="s">
        <v>29</v>
      </c>
      <c r="B83" s="318"/>
      <c r="C83" s="318"/>
      <c r="D83" s="318"/>
      <c r="E83" s="26">
        <f>'c12_sk'!E8</f>
        <v>0</v>
      </c>
      <c r="F83" s="26">
        <f>'c12_sk'!F8</f>
        <v>0</v>
      </c>
      <c r="G83" s="26">
        <f>'c12_sk'!G8</f>
        <v>0</v>
      </c>
      <c r="H83" s="26">
        <f>'c12_sk'!H8</f>
        <v>0</v>
      </c>
      <c r="I83" s="26">
        <f>'c12_sk'!I8</f>
        <v>0</v>
      </c>
      <c r="J83" s="26">
        <f>'c12_sk'!J8</f>
        <v>0</v>
      </c>
      <c r="K83" s="26">
        <f>'c12_sk'!K8</f>
        <v>0</v>
      </c>
      <c r="L83" s="26">
        <f>'c12_sk'!L8</f>
        <v>-250000</v>
      </c>
      <c r="M83" s="26">
        <f>'c12_sk'!M8</f>
        <v>-250000</v>
      </c>
      <c r="N83" s="26">
        <f>'c12_sk'!N8</f>
        <v>-250000</v>
      </c>
      <c r="O83" s="26">
        <f>'c12_sk'!O8</f>
        <v>-250000</v>
      </c>
      <c r="P83" s="26">
        <f>'c12_sk'!P8</f>
        <v>-250000</v>
      </c>
      <c r="Q83" s="26">
        <f>'c12_sk'!Q8</f>
        <v>-250000</v>
      </c>
      <c r="R83" s="26">
        <f>'c12_sk'!R8</f>
        <v>-250000</v>
      </c>
      <c r="S83" s="26">
        <f>'c12_sk'!S8</f>
        <v>-250000</v>
      </c>
      <c r="T83" s="22" t="s">
        <v>25</v>
      </c>
      <c r="U83" s="22" t="s">
        <v>30</v>
      </c>
      <c r="V83" s="22" t="s">
        <v>27</v>
      </c>
      <c r="W83" s="22">
        <v>8</v>
      </c>
      <c r="X83" s="22" t="s">
        <v>28</v>
      </c>
      <c r="Y83" s="22"/>
      <c r="Z83" s="22"/>
      <c r="AA83" s="22"/>
      <c r="AB83" s="22"/>
      <c r="AC83" s="22"/>
      <c r="AD83" s="22"/>
    </row>
    <row r="84" spans="1:30">
      <c r="A84" s="22"/>
      <c r="B84" s="315"/>
      <c r="C84" s="315"/>
      <c r="D84" s="315"/>
      <c r="E84" s="22"/>
      <c r="F84" s="233"/>
      <c r="G84" s="233"/>
      <c r="H84" s="233"/>
      <c r="I84" s="233"/>
      <c r="J84" s="233"/>
      <c r="K84" s="233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spans="1:30">
      <c r="A85" s="22"/>
      <c r="B85" s="315"/>
      <c r="C85" s="315"/>
      <c r="D85" s="315"/>
      <c r="E85" s="22"/>
      <c r="F85" s="233"/>
      <c r="G85" s="233"/>
      <c r="H85" s="233"/>
      <c r="I85" s="233"/>
      <c r="J85" s="233"/>
      <c r="K85" s="233"/>
      <c r="L85" s="22"/>
      <c r="M85" s="22"/>
      <c r="N85" s="22"/>
      <c r="O85" s="22"/>
      <c r="P85" s="22"/>
      <c r="Q85" s="22"/>
      <c r="R85" s="22"/>
      <c r="S85" s="37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 spans="1:30">
      <c r="A86" s="24" t="s">
        <v>6</v>
      </c>
      <c r="B86" s="318"/>
      <c r="C86" s="318"/>
      <c r="D86" s="318"/>
      <c r="E86" s="26"/>
      <c r="F86" s="233"/>
      <c r="G86" s="233"/>
      <c r="H86" s="233"/>
      <c r="I86" s="233"/>
      <c r="J86" s="233"/>
      <c r="K86" s="233"/>
      <c r="L86" s="26"/>
      <c r="M86" s="26"/>
      <c r="N86" s="26"/>
      <c r="O86" s="26"/>
      <c r="P86" s="26"/>
      <c r="Q86" s="26"/>
      <c r="R86" s="26"/>
      <c r="S86" s="26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spans="1:30">
      <c r="A87" s="24" t="s">
        <v>6</v>
      </c>
      <c r="B87" s="318"/>
      <c r="C87" s="318"/>
      <c r="D87" s="318"/>
      <c r="E87" s="26"/>
      <c r="F87" s="233"/>
      <c r="G87" s="233"/>
      <c r="H87" s="233"/>
      <c r="I87" s="233"/>
      <c r="J87" s="233"/>
      <c r="K87" s="233"/>
      <c r="L87" s="26"/>
      <c r="M87" s="26"/>
      <c r="N87" s="26"/>
      <c r="O87" s="26"/>
      <c r="P87" s="26"/>
      <c r="Q87" s="26"/>
      <c r="R87" s="26"/>
      <c r="S87" s="26"/>
      <c r="T87" s="26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 spans="1:30">
      <c r="A88" s="22"/>
      <c r="B88" s="315"/>
      <c r="C88" s="315"/>
      <c r="D88" s="315"/>
      <c r="E88" s="22"/>
      <c r="F88" s="233"/>
      <c r="G88" s="233"/>
      <c r="H88" s="233"/>
      <c r="I88" s="233"/>
      <c r="J88" s="233"/>
      <c r="K88" s="233"/>
      <c r="L88" s="22"/>
      <c r="M88" s="22"/>
      <c r="N88" s="22"/>
      <c r="O88" s="22"/>
      <c r="P88" s="22"/>
      <c r="Q88" s="22"/>
      <c r="R88" s="22"/>
      <c r="S88" s="37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 spans="1:30">
      <c r="A89" s="22"/>
      <c r="B89" s="315"/>
      <c r="C89" s="315"/>
      <c r="D89" s="315"/>
      <c r="E89" s="22"/>
      <c r="F89" s="233"/>
      <c r="G89" s="233"/>
      <c r="H89" s="233"/>
      <c r="I89" s="233"/>
      <c r="J89" s="233"/>
      <c r="K89" s="233"/>
      <c r="L89" s="22"/>
      <c r="M89" s="22"/>
      <c r="N89" s="22"/>
      <c r="O89" s="22"/>
      <c r="P89" s="22"/>
      <c r="Q89" s="22"/>
      <c r="R89" s="22"/>
      <c r="S89" s="37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 spans="1:30">
      <c r="A90" s="22"/>
      <c r="B90" s="315"/>
      <c r="C90" s="315"/>
      <c r="D90" s="315"/>
      <c r="E90" s="22"/>
      <c r="F90" s="233"/>
      <c r="G90" s="233"/>
      <c r="H90" s="233"/>
      <c r="I90" s="233"/>
      <c r="J90" s="233"/>
      <c r="K90" s="233"/>
      <c r="L90" s="22"/>
      <c r="M90" s="22"/>
      <c r="N90" s="22"/>
      <c r="O90" s="22"/>
      <c r="P90" s="22"/>
      <c r="Q90" s="22"/>
      <c r="R90" s="22"/>
      <c r="S90" s="37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 spans="1:30">
      <c r="A91" s="24" t="s">
        <v>6</v>
      </c>
      <c r="B91" s="318"/>
      <c r="C91" s="318"/>
      <c r="D91" s="318"/>
      <c r="E91" s="26"/>
      <c r="F91" s="233"/>
      <c r="G91" s="233"/>
      <c r="H91" s="233"/>
      <c r="I91" s="233"/>
      <c r="J91" s="233"/>
      <c r="K91" s="233"/>
      <c r="L91" s="26"/>
      <c r="M91" s="26"/>
      <c r="N91" s="26"/>
      <c r="O91" s="26"/>
      <c r="P91" s="26"/>
      <c r="Q91" s="26"/>
      <c r="R91" s="26"/>
      <c r="S91" s="37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 spans="1:30">
      <c r="A92" s="22"/>
      <c r="B92" s="315"/>
      <c r="C92" s="315"/>
      <c r="D92" s="315"/>
      <c r="E92" s="22"/>
      <c r="F92" s="233"/>
      <c r="G92" s="233"/>
      <c r="H92" s="233"/>
      <c r="I92" s="233"/>
      <c r="J92" s="233"/>
      <c r="K92" s="233"/>
      <c r="L92" s="22"/>
      <c r="M92" s="22"/>
      <c r="N92" s="22"/>
      <c r="O92" s="22"/>
      <c r="P92" s="22"/>
      <c r="Q92" s="22"/>
      <c r="R92" s="22"/>
      <c r="S92" s="37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 spans="1:30">
      <c r="A93" s="22" t="s">
        <v>6</v>
      </c>
      <c r="B93" s="315"/>
      <c r="C93" s="315"/>
      <c r="D93" s="315"/>
      <c r="E93" s="22"/>
      <c r="F93" s="233"/>
      <c r="G93" s="233"/>
      <c r="H93" s="233"/>
      <c r="I93" s="233"/>
      <c r="J93" s="233"/>
      <c r="K93" s="233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 spans="1:30">
      <c r="A94" s="24" t="s">
        <v>6</v>
      </c>
      <c r="B94" s="318"/>
      <c r="C94" s="318"/>
      <c r="D94" s="318"/>
      <c r="E94" s="26"/>
      <c r="F94" s="233"/>
      <c r="G94" s="233"/>
      <c r="H94" s="233"/>
      <c r="I94" s="233"/>
      <c r="J94" s="233"/>
      <c r="K94" s="233"/>
      <c r="L94" s="26"/>
      <c r="M94" s="26"/>
      <c r="N94" s="26"/>
      <c r="O94" s="26"/>
      <c r="P94" s="26"/>
      <c r="Q94" s="26"/>
      <c r="R94" s="26"/>
      <c r="S94" s="37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 spans="1:30" s="17" customFormat="1">
      <c r="A95" s="41" t="s">
        <v>31</v>
      </c>
      <c r="B95" s="322"/>
      <c r="C95" s="322"/>
      <c r="D95" s="322"/>
      <c r="E95" s="26">
        <f>+'c12_oc'!E39</f>
        <v>-5450569</v>
      </c>
      <c r="F95" s="26">
        <f>+'c12_oc'!F39</f>
        <v>0</v>
      </c>
      <c r="G95" s="26">
        <f>+'c12_oc'!G39</f>
        <v>0</v>
      </c>
      <c r="H95" s="26">
        <f>+'c12_oc'!H39</f>
        <v>0</v>
      </c>
      <c r="I95" s="26">
        <f>+'c12_oc'!I39</f>
        <v>0</v>
      </c>
      <c r="J95" s="26">
        <f>+'c12_oc'!J39</f>
        <v>0</v>
      </c>
      <c r="K95" s="26">
        <f>+'c12_oc'!K39</f>
        <v>0</v>
      </c>
      <c r="L95" s="26">
        <f>+'c12_oc'!L39</f>
        <v>-1637186</v>
      </c>
      <c r="M95" s="26">
        <f>+'c12_oc'!M39</f>
        <v>-1733477</v>
      </c>
      <c r="N95" s="26">
        <f>+'c12_oc'!N39</f>
        <v>-1694124</v>
      </c>
      <c r="O95" s="26">
        <f>+'c12_oc'!O39</f>
        <v>-2917273</v>
      </c>
      <c r="P95" s="26">
        <f>+'c12_oc'!P39</f>
        <v>-4057849.8571428573</v>
      </c>
      <c r="Q95" s="26">
        <f>+'c12_oc'!Q39</f>
        <v>-4457407</v>
      </c>
      <c r="R95" s="26">
        <f>+'c12_oc'!R39</f>
        <v>-2834607</v>
      </c>
      <c r="S95" s="26">
        <f>+'c12_oc'!S39</f>
        <v>-4930793.25</v>
      </c>
      <c r="T95" s="22" t="s">
        <v>9</v>
      </c>
      <c r="U95" s="22" t="s">
        <v>32</v>
      </c>
      <c r="V95" s="22"/>
      <c r="W95" s="22">
        <v>39</v>
      </c>
      <c r="X95" s="22" t="s">
        <v>21</v>
      </c>
      <c r="Y95" s="22"/>
      <c r="Z95" s="22"/>
      <c r="AA95" s="22"/>
      <c r="AB95" s="22"/>
      <c r="AC95" s="22"/>
      <c r="AD95" s="22"/>
    </row>
    <row r="96" spans="1:30" s="17" customFormat="1">
      <c r="A96" s="41" t="s">
        <v>6</v>
      </c>
      <c r="B96" s="322"/>
      <c r="C96" s="322"/>
      <c r="D96" s="322"/>
      <c r="E96" s="26"/>
      <c r="F96" s="233"/>
      <c r="G96" s="233"/>
      <c r="H96" s="233"/>
      <c r="I96" s="233"/>
      <c r="J96" s="233"/>
      <c r="K96" s="233"/>
      <c r="L96" s="26"/>
      <c r="M96" s="26"/>
      <c r="N96" s="26"/>
      <c r="O96" s="26"/>
      <c r="P96" s="26"/>
      <c r="Q96" s="26"/>
      <c r="R96" s="26"/>
      <c r="S96" s="26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 spans="1:30">
      <c r="A97" s="24" t="s">
        <v>6</v>
      </c>
      <c r="B97" s="318"/>
      <c r="C97" s="318"/>
      <c r="D97" s="318"/>
      <c r="E97" s="26"/>
      <c r="F97" s="233"/>
      <c r="G97" s="233"/>
      <c r="H97" s="233"/>
      <c r="I97" s="233"/>
      <c r="J97" s="233"/>
      <c r="K97" s="233"/>
      <c r="L97" s="26"/>
      <c r="M97" s="26"/>
      <c r="N97" s="26"/>
      <c r="O97" s="26"/>
      <c r="P97" s="26"/>
      <c r="Q97" s="26"/>
      <c r="R97" s="26"/>
      <c r="S97" s="37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 spans="1:30">
      <c r="A98" s="24" t="s">
        <v>6</v>
      </c>
      <c r="B98" s="318"/>
      <c r="C98" s="318"/>
      <c r="D98" s="318"/>
      <c r="E98" s="26"/>
      <c r="F98" s="233"/>
      <c r="G98" s="233"/>
      <c r="H98" s="233"/>
      <c r="I98" s="233"/>
      <c r="J98" s="233"/>
      <c r="K98" s="233"/>
      <c r="L98" s="26"/>
      <c r="M98" s="26"/>
      <c r="N98" s="26"/>
      <c r="O98" s="26"/>
      <c r="P98" s="26"/>
      <c r="Q98" s="26"/>
      <c r="R98" s="26"/>
      <c r="S98" s="37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 spans="1:30">
      <c r="A99" s="24" t="s">
        <v>6</v>
      </c>
      <c r="B99" s="318"/>
      <c r="C99" s="318"/>
      <c r="D99" s="318"/>
      <c r="E99" s="26"/>
      <c r="F99" s="233"/>
      <c r="G99" s="233"/>
      <c r="H99" s="233"/>
      <c r="I99" s="233"/>
      <c r="J99" s="233"/>
      <c r="K99" s="233"/>
      <c r="L99" s="26"/>
      <c r="M99" s="26"/>
      <c r="N99" s="26"/>
      <c r="O99" s="26"/>
      <c r="P99" s="26"/>
      <c r="Q99" s="26"/>
      <c r="R99" s="26"/>
      <c r="S99" s="37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 spans="1:30">
      <c r="A100" s="24" t="s">
        <v>6</v>
      </c>
      <c r="B100" s="318"/>
      <c r="C100" s="318"/>
      <c r="D100" s="318"/>
      <c r="E100" s="26"/>
      <c r="F100" s="233"/>
      <c r="G100" s="233"/>
      <c r="H100" s="233"/>
      <c r="I100" s="233"/>
      <c r="J100" s="233"/>
      <c r="K100" s="233"/>
      <c r="L100" s="26"/>
      <c r="M100" s="26"/>
      <c r="N100" s="26"/>
      <c r="O100" s="26"/>
      <c r="P100" s="26"/>
      <c r="Q100" s="26"/>
      <c r="R100" s="26"/>
      <c r="S100" s="26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 spans="1:30">
      <c r="A101" s="24" t="s">
        <v>6</v>
      </c>
      <c r="B101" s="318"/>
      <c r="C101" s="318"/>
      <c r="D101" s="318"/>
      <c r="E101" s="26"/>
      <c r="F101" s="233"/>
      <c r="G101" s="233"/>
      <c r="H101" s="233"/>
      <c r="I101" s="233"/>
      <c r="J101" s="233"/>
      <c r="K101" s="233"/>
      <c r="L101" s="26"/>
      <c r="M101" s="26"/>
      <c r="N101" s="26"/>
      <c r="O101" s="26"/>
      <c r="P101" s="26"/>
      <c r="Q101" s="26"/>
      <c r="R101" s="26"/>
      <c r="S101" s="37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 spans="1:30">
      <c r="A102" s="24" t="s">
        <v>33</v>
      </c>
      <c r="B102" s="318"/>
      <c r="C102" s="318"/>
      <c r="D102" s="318"/>
      <c r="E102" s="26">
        <f>'c12_sk'!E9</f>
        <v>0</v>
      </c>
      <c r="F102" s="26">
        <f>'c12_sk'!F9</f>
        <v>0</v>
      </c>
      <c r="G102" s="26">
        <f>'c12_sk'!G9</f>
        <v>0</v>
      </c>
      <c r="H102" s="26">
        <f>'c12_sk'!H9</f>
        <v>0</v>
      </c>
      <c r="I102" s="26">
        <f>'c12_sk'!I9</f>
        <v>0</v>
      </c>
      <c r="J102" s="26">
        <f>'c12_sk'!J9</f>
        <v>0</v>
      </c>
      <c r="K102" s="26">
        <f>'c12_sk'!K9</f>
        <v>0</v>
      </c>
      <c r="L102" s="26">
        <f>'c12_sk'!L9</f>
        <v>0</v>
      </c>
      <c r="M102" s="26">
        <f>'c12_sk'!M9</f>
        <v>-1200000</v>
      </c>
      <c r="N102" s="26">
        <f>'c12_sk'!N9</f>
        <v>0</v>
      </c>
      <c r="O102" s="26">
        <f>'c12_sk'!O9</f>
        <v>0</v>
      </c>
      <c r="P102" s="26">
        <f>'c12_sk'!P9</f>
        <v>0</v>
      </c>
      <c r="Q102" s="26">
        <f>'c12_sk'!Q9</f>
        <v>0</v>
      </c>
      <c r="R102" s="26">
        <f>'c12_sk'!R9</f>
        <v>0</v>
      </c>
      <c r="S102" s="26">
        <f>'c12_sk'!S9</f>
        <v>0</v>
      </c>
      <c r="T102" s="22" t="s">
        <v>25</v>
      </c>
      <c r="U102" s="22" t="s">
        <v>34</v>
      </c>
      <c r="V102" s="22" t="s">
        <v>27</v>
      </c>
      <c r="W102" s="22">
        <v>9</v>
      </c>
      <c r="X102" s="22" t="s">
        <v>28</v>
      </c>
      <c r="Y102" s="22"/>
      <c r="Z102" s="22"/>
      <c r="AA102" s="22"/>
      <c r="AB102" s="22"/>
      <c r="AC102" s="22"/>
      <c r="AD102" s="22"/>
    </row>
    <row r="103" spans="1:30">
      <c r="A103" s="22"/>
      <c r="B103" s="315"/>
      <c r="C103" s="315"/>
      <c r="D103" s="315"/>
      <c r="E103" s="22"/>
      <c r="F103" s="233"/>
      <c r="G103" s="233"/>
      <c r="H103" s="233"/>
      <c r="I103" s="233"/>
      <c r="J103" s="233"/>
      <c r="K103" s="233"/>
      <c r="L103" s="22"/>
      <c r="M103" s="22"/>
      <c r="N103" s="22"/>
      <c r="O103" s="22"/>
      <c r="P103" s="22"/>
      <c r="Q103" s="22"/>
      <c r="R103" s="22"/>
      <c r="S103" s="37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 spans="1:30">
      <c r="A104" s="305" t="s">
        <v>35</v>
      </c>
      <c r="B104" s="323"/>
      <c r="C104" s="323"/>
      <c r="D104" s="323"/>
      <c r="E104" s="34">
        <f>-'c12_oc'!E62</f>
        <v>1540999</v>
      </c>
      <c r="F104" s="34">
        <f>-'c12_oc'!F62</f>
        <v>0</v>
      </c>
      <c r="G104" s="34">
        <f>-'c12_oc'!G62</f>
        <v>0</v>
      </c>
      <c r="H104" s="34">
        <f>-'c12_oc'!H62</f>
        <v>0</v>
      </c>
      <c r="I104" s="34">
        <f>-'c12_oc'!I62</f>
        <v>0</v>
      </c>
      <c r="J104" s="34">
        <f>-'c12_oc'!J62</f>
        <v>0</v>
      </c>
      <c r="K104" s="34">
        <f>-'c12_oc'!K62</f>
        <v>0</v>
      </c>
      <c r="L104" s="34">
        <f>-'c12_oc'!L62</f>
        <v>2137441.8189285714</v>
      </c>
      <c r="M104" s="34">
        <f>-'c12_oc'!M62</f>
        <v>1459732.6378571428</v>
      </c>
      <c r="N104" s="34">
        <f>-'c12_oc'!N62</f>
        <v>1734829.4567857143</v>
      </c>
      <c r="O104" s="34">
        <f>-'c12_oc'!O62</f>
        <v>1924884.2757142857</v>
      </c>
      <c r="P104" s="34">
        <f>-'c12_oc'!P62</f>
        <v>0</v>
      </c>
      <c r="Q104" s="34">
        <f>-'c12_oc'!Q62</f>
        <v>0</v>
      </c>
      <c r="R104" s="34">
        <f>-'c12_oc'!R62</f>
        <v>0</v>
      </c>
      <c r="S104" s="34">
        <f>-'c12_oc'!S62</f>
        <v>0</v>
      </c>
      <c r="T104" s="22" t="s">
        <v>9</v>
      </c>
      <c r="U104" s="22" t="s">
        <v>36</v>
      </c>
      <c r="V104" s="22"/>
      <c r="W104" s="22">
        <v>62</v>
      </c>
      <c r="X104" s="22" t="s">
        <v>21</v>
      </c>
      <c r="Y104" s="22"/>
      <c r="Z104" s="22"/>
      <c r="AA104" s="22"/>
      <c r="AB104" s="22"/>
      <c r="AC104" s="22"/>
      <c r="AD104" s="22"/>
    </row>
    <row r="105" spans="1:30">
      <c r="A105" s="24" t="s">
        <v>37</v>
      </c>
      <c r="B105" s="318"/>
      <c r="C105" s="318"/>
      <c r="D105" s="318"/>
      <c r="E105" s="26">
        <f>+'c12_oc'!E68</f>
        <v>0</v>
      </c>
      <c r="F105" s="26">
        <f>+'c12_oc'!F68</f>
        <v>0</v>
      </c>
      <c r="G105" s="26">
        <f>+'c12_oc'!G68</f>
        <v>0</v>
      </c>
      <c r="H105" s="26">
        <f>+'c12_oc'!H68</f>
        <v>0</v>
      </c>
      <c r="I105" s="26">
        <f>+'c12_oc'!I68</f>
        <v>0</v>
      </c>
      <c r="J105" s="26">
        <f>+'c12_oc'!J68</f>
        <v>0</v>
      </c>
      <c r="K105" s="26">
        <f>+'c12_oc'!K68</f>
        <v>0</v>
      </c>
      <c r="L105" s="26">
        <f>+'c12_oc'!L68</f>
        <v>416032.5</v>
      </c>
      <c r="M105" s="26">
        <f>+'c12_oc'!M68</f>
        <v>3082065</v>
      </c>
      <c r="N105" s="26">
        <f>+'c12_oc'!N68</f>
        <v>4373097.5</v>
      </c>
      <c r="O105" s="26">
        <f>+'c12_oc'!O68</f>
        <v>5365480</v>
      </c>
      <c r="P105" s="26">
        <f>+'c12_oc'!P68</f>
        <v>6120868.2725</v>
      </c>
      <c r="Q105" s="26">
        <f>+'c12_oc'!Q68</f>
        <v>5640774.3650000002</v>
      </c>
      <c r="R105" s="26">
        <f>+'c12_oc'!R68</f>
        <v>5378861.4574999996</v>
      </c>
      <c r="S105" s="26">
        <f>+'c12_oc'!S68</f>
        <v>4945267.55</v>
      </c>
      <c r="T105" s="22" t="s">
        <v>9</v>
      </c>
      <c r="U105" s="22" t="s">
        <v>38</v>
      </c>
      <c r="V105" s="22"/>
      <c r="W105" s="22">
        <v>68</v>
      </c>
      <c r="X105" s="22" t="s">
        <v>21</v>
      </c>
      <c r="Y105" s="22"/>
      <c r="Z105" s="22"/>
      <c r="AA105" s="22"/>
      <c r="AB105" s="22"/>
      <c r="AC105" s="22"/>
      <c r="AD105" s="22"/>
    </row>
    <row r="106" spans="1:30">
      <c r="A106" s="24" t="s">
        <v>39</v>
      </c>
      <c r="B106" s="318"/>
      <c r="C106" s="318"/>
      <c r="D106" s="318"/>
      <c r="E106" s="26">
        <f>-'c12_oc'!E74</f>
        <v>0</v>
      </c>
      <c r="F106" s="26">
        <f>-'c12_oc'!F74</f>
        <v>0</v>
      </c>
      <c r="G106" s="26">
        <f>-'c12_oc'!G74</f>
        <v>0</v>
      </c>
      <c r="H106" s="26">
        <f>-'c12_oc'!H74</f>
        <v>0</v>
      </c>
      <c r="I106" s="26">
        <f>-'c12_oc'!I74</f>
        <v>0</v>
      </c>
      <c r="J106" s="26">
        <f>-'c12_oc'!J74</f>
        <v>0</v>
      </c>
      <c r="K106" s="26">
        <f>-'c12_oc'!K74</f>
        <v>0</v>
      </c>
      <c r="L106" s="26">
        <f>-'c12_oc'!L74</f>
        <v>-264555.125</v>
      </c>
      <c r="M106" s="26">
        <f>-'c12_oc'!M74</f>
        <v>-1654110.25</v>
      </c>
      <c r="N106" s="26">
        <f>-'c12_oc'!N74</f>
        <v>-2356165.375</v>
      </c>
      <c r="O106" s="26">
        <f>-'c12_oc'!O74</f>
        <v>-2964570.5</v>
      </c>
      <c r="P106" s="26">
        <f>-'c12_oc'!P74</f>
        <v>-2970159.2973749996</v>
      </c>
      <c r="Q106" s="26">
        <f>-'c12_oc'!Q74</f>
        <v>-2465036.0922499998</v>
      </c>
      <c r="R106" s="26">
        <f>-'c12_oc'!R74</f>
        <v>-2022503.3871249997</v>
      </c>
      <c r="S106" s="26">
        <f>-'c12_oc'!S74</f>
        <v>-1664945.5194999997</v>
      </c>
      <c r="T106" s="22" t="s">
        <v>9</v>
      </c>
      <c r="U106" s="22" t="s">
        <v>40</v>
      </c>
      <c r="V106" s="22"/>
      <c r="W106" s="22">
        <v>74</v>
      </c>
      <c r="X106" s="22" t="s">
        <v>21</v>
      </c>
      <c r="Y106" s="22"/>
      <c r="Z106" s="22"/>
      <c r="AA106" s="22"/>
      <c r="AB106" s="22"/>
      <c r="AC106" s="22"/>
      <c r="AD106" s="22"/>
    </row>
    <row r="107" spans="1:30">
      <c r="A107" s="22"/>
      <c r="B107" s="315"/>
      <c r="C107" s="315"/>
      <c r="D107" s="315"/>
      <c r="E107" s="22"/>
      <c r="F107" s="233"/>
      <c r="G107" s="233"/>
      <c r="H107" s="233"/>
      <c r="I107" s="233"/>
      <c r="J107" s="233"/>
      <c r="K107" s="233"/>
      <c r="L107" s="22"/>
      <c r="M107" s="22"/>
      <c r="N107" s="22"/>
      <c r="O107" s="22"/>
      <c r="P107" s="22"/>
      <c r="Q107" s="22"/>
      <c r="R107" s="22"/>
      <c r="S107" s="37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 spans="1:30">
      <c r="A108" s="22"/>
      <c r="B108" s="315"/>
      <c r="C108" s="315"/>
      <c r="D108" s="315"/>
      <c r="E108" s="22"/>
      <c r="F108" s="233"/>
      <c r="G108" s="233"/>
      <c r="H108" s="233"/>
      <c r="I108" s="233"/>
      <c r="J108" s="233"/>
      <c r="K108" s="233"/>
      <c r="L108" s="22"/>
      <c r="M108" s="22"/>
      <c r="N108" s="22"/>
      <c r="O108" s="22"/>
      <c r="P108" s="22"/>
      <c r="Q108" s="22"/>
      <c r="R108" s="22"/>
      <c r="S108" s="43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 spans="1:30">
      <c r="A109" s="22"/>
      <c r="B109" s="315"/>
      <c r="C109" s="315"/>
      <c r="D109" s="315"/>
      <c r="E109" s="22"/>
      <c r="F109" s="233"/>
      <c r="G109" s="233"/>
      <c r="H109" s="233"/>
      <c r="I109" s="233"/>
      <c r="J109" s="233"/>
      <c r="K109" s="233"/>
      <c r="L109" s="22"/>
      <c r="M109" s="22"/>
      <c r="N109" s="22"/>
      <c r="O109" s="22"/>
      <c r="P109" s="22"/>
      <c r="Q109" s="22"/>
      <c r="R109" s="22"/>
      <c r="S109" s="37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 spans="1:30">
      <c r="A110" s="22"/>
      <c r="B110" s="315"/>
      <c r="C110" s="315"/>
      <c r="D110" s="315"/>
      <c r="E110" s="22"/>
      <c r="F110" s="233"/>
      <c r="G110" s="233"/>
      <c r="H110" s="233"/>
      <c r="I110" s="233"/>
      <c r="J110" s="233"/>
      <c r="K110" s="233"/>
      <c r="L110" s="22"/>
      <c r="M110" s="22"/>
      <c r="N110" s="22"/>
      <c r="O110" s="22"/>
      <c r="P110" s="22"/>
      <c r="Q110" s="22"/>
      <c r="R110" s="22"/>
      <c r="S110" s="37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 spans="1:30">
      <c r="A111" s="22"/>
      <c r="B111" s="315"/>
      <c r="C111" s="315"/>
      <c r="D111" s="315"/>
      <c r="E111" s="22"/>
      <c r="F111" s="233"/>
      <c r="G111" s="233"/>
      <c r="H111" s="233"/>
      <c r="I111" s="233"/>
      <c r="J111" s="233"/>
      <c r="K111" s="233"/>
      <c r="L111" s="22"/>
      <c r="M111" s="22"/>
      <c r="N111" s="22"/>
      <c r="O111" s="22"/>
      <c r="P111" s="22"/>
      <c r="Q111" s="22"/>
      <c r="R111" s="22"/>
      <c r="S111" s="43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 spans="1:30">
      <c r="A112" s="22"/>
      <c r="B112" s="315"/>
      <c r="C112" s="315"/>
      <c r="D112" s="315"/>
      <c r="E112" s="22"/>
      <c r="F112" s="233"/>
      <c r="G112" s="233"/>
      <c r="H112" s="233"/>
      <c r="I112" s="233"/>
      <c r="J112" s="233"/>
      <c r="K112" s="233"/>
      <c r="L112" s="22"/>
      <c r="M112" s="22"/>
      <c r="N112" s="22"/>
      <c r="O112" s="22"/>
      <c r="P112" s="22"/>
      <c r="Q112" s="22"/>
      <c r="R112" s="22"/>
      <c r="S112" s="37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 spans="1:30">
      <c r="A113" s="22"/>
      <c r="B113" s="315"/>
      <c r="C113" s="315"/>
      <c r="D113" s="315"/>
      <c r="E113" s="22"/>
      <c r="F113" s="233"/>
      <c r="G113" s="233"/>
      <c r="H113" s="233"/>
      <c r="I113" s="233"/>
      <c r="J113" s="233"/>
      <c r="K113" s="233"/>
      <c r="L113" s="22"/>
      <c r="M113" s="22"/>
      <c r="N113" s="22"/>
      <c r="O113" s="22"/>
      <c r="P113" s="22"/>
      <c r="Q113" s="22"/>
      <c r="R113" s="22"/>
      <c r="S113" s="37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 spans="1:30">
      <c r="A114" s="22"/>
      <c r="B114" s="315"/>
      <c r="C114" s="315"/>
      <c r="D114" s="315"/>
      <c r="E114" s="22"/>
      <c r="F114" s="233"/>
      <c r="G114" s="233"/>
      <c r="H114" s="233"/>
      <c r="I114" s="233"/>
      <c r="J114" s="233"/>
      <c r="K114" s="233"/>
      <c r="L114" s="22"/>
      <c r="M114" s="22"/>
      <c r="N114" s="22"/>
      <c r="O114" s="22"/>
      <c r="P114" s="22"/>
      <c r="Q114" s="22"/>
      <c r="R114" s="22"/>
      <c r="S114" s="37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 spans="1:30">
      <c r="A115" s="22"/>
      <c r="B115" s="315"/>
      <c r="C115" s="315"/>
      <c r="D115" s="315"/>
      <c r="E115" s="22"/>
      <c r="F115" s="233"/>
      <c r="G115" s="233"/>
      <c r="H115" s="233"/>
      <c r="I115" s="233"/>
      <c r="J115" s="233"/>
      <c r="K115" s="233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 spans="1:30">
      <c r="A116" s="22"/>
      <c r="B116" s="315"/>
      <c r="C116" s="315"/>
      <c r="D116" s="315"/>
      <c r="E116" s="22"/>
      <c r="F116" s="233"/>
      <c r="G116" s="233"/>
      <c r="H116" s="233"/>
      <c r="I116" s="233"/>
      <c r="J116" s="233"/>
      <c r="K116" s="233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 spans="1:30">
      <c r="A117" s="22"/>
      <c r="B117" s="315"/>
      <c r="C117" s="315"/>
      <c r="D117" s="315"/>
      <c r="E117" s="22"/>
      <c r="F117" s="233"/>
      <c r="G117" s="233"/>
      <c r="H117" s="233"/>
      <c r="I117" s="233"/>
      <c r="J117" s="233"/>
      <c r="K117" s="233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 spans="1:30">
      <c r="A118" s="22"/>
      <c r="B118" s="315"/>
      <c r="C118" s="315"/>
      <c r="D118" s="315"/>
      <c r="E118" s="22"/>
      <c r="F118" s="233"/>
      <c r="G118" s="233"/>
      <c r="H118" s="233"/>
      <c r="I118" s="233"/>
      <c r="J118" s="233"/>
      <c r="K118" s="233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 spans="1:30">
      <c r="A119" s="22"/>
      <c r="B119" s="315"/>
      <c r="C119" s="315"/>
      <c r="D119" s="315"/>
      <c r="E119" s="22"/>
      <c r="F119" s="233"/>
      <c r="G119" s="233"/>
      <c r="H119" s="233"/>
      <c r="I119" s="233"/>
      <c r="J119" s="233"/>
      <c r="K119" s="233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 spans="1:30">
      <c r="A120" s="22"/>
      <c r="B120" s="315"/>
      <c r="C120" s="315"/>
      <c r="D120" s="315"/>
      <c r="E120" s="22"/>
      <c r="F120" s="233"/>
      <c r="G120" s="233"/>
      <c r="H120" s="233"/>
      <c r="I120" s="233"/>
      <c r="J120" s="233"/>
      <c r="K120" s="233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 spans="1:30">
      <c r="A121" s="22"/>
      <c r="B121" s="315"/>
      <c r="C121" s="315"/>
      <c r="D121" s="315"/>
      <c r="E121" s="22"/>
      <c r="F121" s="233"/>
      <c r="G121" s="233"/>
      <c r="H121" s="233"/>
      <c r="I121" s="233"/>
      <c r="J121" s="233"/>
      <c r="K121" s="233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 spans="1:30">
      <c r="A122" s="22"/>
      <c r="B122" s="315"/>
      <c r="C122" s="315"/>
      <c r="D122" s="315"/>
      <c r="E122" s="22"/>
      <c r="F122" s="233"/>
      <c r="G122" s="233"/>
      <c r="H122" s="233"/>
      <c r="I122" s="233"/>
      <c r="J122" s="233"/>
      <c r="K122" s="233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 spans="1:30">
      <c r="A123" s="22"/>
      <c r="B123" s="315"/>
      <c r="C123" s="315"/>
      <c r="D123" s="315"/>
      <c r="E123" s="22"/>
      <c r="F123" s="233"/>
      <c r="G123" s="233"/>
      <c r="H123" s="233"/>
      <c r="I123" s="233"/>
      <c r="J123" s="233"/>
      <c r="K123" s="233"/>
      <c r="L123" s="22"/>
      <c r="M123" s="22"/>
      <c r="N123" s="22"/>
      <c r="O123" s="22"/>
      <c r="P123" s="22"/>
      <c r="Q123" s="22"/>
      <c r="R123" s="22"/>
      <c r="S123" s="44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 spans="1:30">
      <c r="A124" s="22"/>
      <c r="B124" s="315"/>
      <c r="C124" s="315"/>
      <c r="D124" s="315"/>
      <c r="E124" s="22"/>
      <c r="F124" s="233"/>
      <c r="G124" s="233"/>
      <c r="H124" s="233"/>
      <c r="I124" s="233"/>
      <c r="J124" s="233"/>
      <c r="K124" s="233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 spans="1:30">
      <c r="A125" s="22"/>
      <c r="B125" s="315"/>
      <c r="C125" s="315"/>
      <c r="D125" s="315"/>
      <c r="E125" s="22"/>
      <c r="F125" s="233"/>
      <c r="G125" s="233"/>
      <c r="H125" s="233"/>
      <c r="I125" s="233"/>
      <c r="J125" s="233"/>
      <c r="K125" s="233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spans="1:30">
      <c r="A126" s="22"/>
      <c r="B126" s="315"/>
      <c r="C126" s="315"/>
      <c r="D126" s="315"/>
      <c r="E126" s="22"/>
      <c r="F126" s="233"/>
      <c r="G126" s="233"/>
      <c r="H126" s="233"/>
      <c r="I126" s="233"/>
      <c r="J126" s="233"/>
      <c r="K126" s="233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 spans="1:30">
      <c r="A127" s="22"/>
      <c r="B127" s="315"/>
      <c r="C127" s="315"/>
      <c r="D127" s="315"/>
      <c r="E127" s="22"/>
      <c r="F127" s="233"/>
      <c r="G127" s="233"/>
      <c r="H127" s="233"/>
      <c r="I127" s="233"/>
      <c r="J127" s="233"/>
      <c r="K127" s="233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 spans="1:30">
      <c r="A128" s="22"/>
      <c r="B128" s="315"/>
      <c r="C128" s="315"/>
      <c r="D128" s="315"/>
      <c r="E128" s="22"/>
      <c r="F128" s="233"/>
      <c r="G128" s="233"/>
      <c r="H128" s="233"/>
      <c r="I128" s="233"/>
      <c r="J128" s="233"/>
      <c r="K128" s="233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 spans="1:30">
      <c r="A129" s="22"/>
      <c r="B129" s="315"/>
      <c r="C129" s="315"/>
      <c r="D129" s="315"/>
      <c r="E129" s="22"/>
      <c r="F129" s="233"/>
      <c r="G129" s="233"/>
      <c r="H129" s="233"/>
      <c r="I129" s="233"/>
      <c r="J129" s="233"/>
      <c r="K129" s="233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 spans="1:30">
      <c r="A130" s="22"/>
      <c r="B130" s="315"/>
      <c r="C130" s="315"/>
      <c r="D130" s="315"/>
      <c r="E130" s="22"/>
      <c r="F130" s="233"/>
      <c r="G130" s="233"/>
      <c r="H130" s="233"/>
      <c r="I130" s="233"/>
      <c r="J130" s="233"/>
      <c r="K130" s="233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 spans="1:30">
      <c r="A131" s="22"/>
      <c r="B131" s="315"/>
      <c r="C131" s="315"/>
      <c r="D131" s="315"/>
      <c r="E131" s="22"/>
      <c r="F131" s="233"/>
      <c r="G131" s="233"/>
      <c r="H131" s="233"/>
      <c r="I131" s="233"/>
      <c r="J131" s="233"/>
      <c r="K131" s="233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 spans="1:30">
      <c r="A132" s="22"/>
      <c r="B132" s="315"/>
      <c r="C132" s="315"/>
      <c r="D132" s="315"/>
      <c r="E132" s="22"/>
      <c r="F132" s="233"/>
      <c r="G132" s="233"/>
      <c r="H132" s="233"/>
      <c r="I132" s="233"/>
      <c r="J132" s="233"/>
      <c r="K132" s="233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 spans="1:30">
      <c r="A133" s="22"/>
      <c r="B133" s="315"/>
      <c r="C133" s="315"/>
      <c r="D133" s="315"/>
      <c r="E133" s="22"/>
      <c r="F133" s="233"/>
      <c r="G133" s="233"/>
      <c r="H133" s="233"/>
      <c r="I133" s="233"/>
      <c r="J133" s="233"/>
      <c r="K133" s="233"/>
      <c r="L133" s="22"/>
      <c r="M133" s="22"/>
      <c r="N133" s="22"/>
      <c r="O133" s="22"/>
      <c r="P133" s="22"/>
      <c r="Q133" s="22"/>
      <c r="R133" s="22"/>
      <c r="S133" s="4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 spans="1:30">
      <c r="A134" s="22"/>
      <c r="B134" s="315"/>
      <c r="C134" s="315"/>
      <c r="D134" s="315"/>
      <c r="E134" s="22"/>
      <c r="F134" s="233"/>
      <c r="G134" s="233"/>
      <c r="H134" s="233"/>
      <c r="I134" s="233"/>
      <c r="J134" s="233"/>
      <c r="K134" s="233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 spans="1:30">
      <c r="A135" s="22"/>
      <c r="B135" s="315"/>
      <c r="C135" s="315"/>
      <c r="D135" s="315"/>
      <c r="E135" s="22"/>
      <c r="F135" s="233"/>
      <c r="G135" s="233"/>
      <c r="H135" s="233"/>
      <c r="I135" s="233"/>
      <c r="J135" s="233"/>
      <c r="K135" s="233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 spans="1:30">
      <c r="A136" s="22"/>
      <c r="B136" s="315"/>
      <c r="C136" s="315"/>
      <c r="D136" s="315"/>
      <c r="E136" s="22"/>
      <c r="F136" s="233"/>
      <c r="G136" s="233"/>
      <c r="H136" s="233"/>
      <c r="I136" s="233"/>
      <c r="J136" s="233"/>
      <c r="K136" s="233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 spans="1:30">
      <c r="A137" s="22"/>
      <c r="B137" s="315"/>
      <c r="C137" s="315"/>
      <c r="D137" s="315"/>
      <c r="E137" s="22"/>
      <c r="F137" s="233"/>
      <c r="G137" s="233"/>
      <c r="H137" s="233"/>
      <c r="I137" s="233"/>
      <c r="J137" s="233"/>
      <c r="K137" s="233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 spans="1:30">
      <c r="A138" s="22"/>
      <c r="B138" s="315"/>
      <c r="C138" s="315"/>
      <c r="D138" s="315"/>
      <c r="E138" s="22"/>
      <c r="F138" s="233"/>
      <c r="G138" s="233"/>
      <c r="H138" s="233"/>
      <c r="I138" s="233"/>
      <c r="J138" s="233"/>
      <c r="K138" s="233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 spans="1:30">
      <c r="A139" s="22"/>
      <c r="B139" s="315"/>
      <c r="C139" s="315"/>
      <c r="D139" s="315"/>
      <c r="E139" s="22"/>
      <c r="F139" s="233"/>
      <c r="G139" s="233"/>
      <c r="H139" s="233"/>
      <c r="I139" s="233"/>
      <c r="J139" s="233"/>
      <c r="K139" s="233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 spans="1:30">
      <c r="A140" s="22"/>
      <c r="B140" s="315"/>
      <c r="C140" s="315"/>
      <c r="D140" s="315"/>
      <c r="E140" s="22"/>
      <c r="F140" s="233"/>
      <c r="G140" s="233"/>
      <c r="H140" s="233"/>
      <c r="I140" s="233"/>
      <c r="J140" s="233"/>
      <c r="K140" s="233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 spans="1:30">
      <c r="A141" s="22"/>
      <c r="B141" s="315"/>
      <c r="C141" s="315"/>
      <c r="D141" s="315"/>
      <c r="E141" s="22"/>
      <c r="F141" s="233"/>
      <c r="G141" s="233"/>
      <c r="H141" s="233"/>
      <c r="I141" s="233"/>
      <c r="J141" s="233"/>
      <c r="K141" s="233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 spans="1:30">
      <c r="A142" s="22"/>
      <c r="B142" s="315"/>
      <c r="C142" s="315"/>
      <c r="D142" s="315"/>
      <c r="E142" s="22"/>
      <c r="F142" s="233"/>
      <c r="G142" s="233"/>
      <c r="H142" s="233"/>
      <c r="I142" s="233"/>
      <c r="J142" s="233"/>
      <c r="K142" s="233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 spans="1:30">
      <c r="A143" s="22"/>
      <c r="B143" s="315"/>
      <c r="C143" s="315"/>
      <c r="D143" s="315"/>
      <c r="E143" s="22"/>
      <c r="F143" s="233"/>
      <c r="G143" s="233"/>
      <c r="H143" s="233"/>
      <c r="I143" s="233"/>
      <c r="J143" s="233"/>
      <c r="K143" s="233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 spans="1:30">
      <c r="A144" s="22"/>
      <c r="B144" s="315"/>
      <c r="C144" s="315"/>
      <c r="D144" s="315"/>
      <c r="E144" s="22"/>
      <c r="F144" s="233"/>
      <c r="G144" s="233"/>
      <c r="H144" s="233"/>
      <c r="I144" s="233"/>
      <c r="J144" s="233"/>
      <c r="K144" s="233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 spans="1:30">
      <c r="A145" s="22"/>
      <c r="B145" s="315"/>
      <c r="C145" s="315"/>
      <c r="D145" s="315"/>
      <c r="E145" s="22"/>
      <c r="F145" s="233"/>
      <c r="G145" s="233"/>
      <c r="H145" s="233"/>
      <c r="I145" s="233"/>
      <c r="J145" s="233"/>
      <c r="K145" s="233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 spans="1:30">
      <c r="A146" s="22"/>
      <c r="B146" s="315"/>
      <c r="C146" s="315"/>
      <c r="D146" s="315"/>
      <c r="E146" s="22"/>
      <c r="F146" s="233"/>
      <c r="G146" s="233"/>
      <c r="H146" s="233"/>
      <c r="I146" s="233"/>
      <c r="J146" s="233"/>
      <c r="K146" s="233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 spans="1:30">
      <c r="A147" s="22"/>
      <c r="B147" s="315"/>
      <c r="C147" s="315"/>
      <c r="D147" s="315"/>
      <c r="E147" s="22"/>
      <c r="F147" s="233"/>
      <c r="G147" s="233"/>
      <c r="H147" s="233"/>
      <c r="I147" s="233"/>
      <c r="J147" s="233"/>
      <c r="K147" s="233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 spans="1:30">
      <c r="A148" s="22"/>
      <c r="B148" s="315"/>
      <c r="C148" s="315"/>
      <c r="D148" s="315"/>
      <c r="E148" s="22"/>
      <c r="F148" s="233"/>
      <c r="G148" s="233"/>
      <c r="H148" s="233"/>
      <c r="I148" s="233"/>
      <c r="J148" s="233"/>
      <c r="K148" s="233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 spans="1:30">
      <c r="A149" s="22"/>
      <c r="B149" s="315"/>
      <c r="C149" s="315"/>
      <c r="D149" s="315"/>
      <c r="E149" s="22"/>
      <c r="F149" s="233"/>
      <c r="G149" s="233"/>
      <c r="H149" s="233"/>
      <c r="I149" s="233"/>
      <c r="J149" s="233"/>
      <c r="K149" s="233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 spans="1:30">
      <c r="A150" s="22"/>
      <c r="B150" s="315"/>
      <c r="C150" s="315"/>
      <c r="D150" s="315"/>
      <c r="E150" s="22"/>
      <c r="L150" s="22"/>
      <c r="M150" s="22"/>
      <c r="N150" s="22"/>
      <c r="O150" s="22"/>
      <c r="P150" s="22"/>
      <c r="Q150" s="22"/>
      <c r="R150" s="22"/>
      <c r="S150" s="43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 spans="1:30">
      <c r="A151" s="22"/>
      <c r="B151" s="315"/>
      <c r="C151" s="315"/>
      <c r="D151" s="315"/>
      <c r="E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 spans="1:30">
      <c r="A152" s="22"/>
      <c r="B152" s="315"/>
      <c r="C152" s="315"/>
      <c r="D152" s="315"/>
      <c r="E152" s="22"/>
      <c r="L152" s="22"/>
      <c r="M152" s="22"/>
      <c r="N152" s="22"/>
      <c r="O152" s="22"/>
      <c r="P152" s="22"/>
      <c r="Q152" s="22"/>
      <c r="R152" s="22"/>
      <c r="S152" s="43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 spans="1:30">
      <c r="A153" s="22"/>
      <c r="B153" s="315"/>
      <c r="C153" s="315"/>
      <c r="D153" s="315"/>
      <c r="E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 spans="1:30">
      <c r="A154" s="22"/>
      <c r="B154" s="315"/>
      <c r="C154" s="315"/>
      <c r="D154" s="315"/>
      <c r="E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 spans="1:30">
      <c r="A155" s="22"/>
      <c r="B155" s="315"/>
      <c r="C155" s="315"/>
      <c r="D155" s="315"/>
      <c r="E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 spans="1:30">
      <c r="A156" s="22"/>
      <c r="B156" s="315"/>
      <c r="C156" s="315"/>
      <c r="D156" s="315"/>
      <c r="E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 spans="1:30">
      <c r="A157" s="22"/>
      <c r="B157" s="315"/>
      <c r="C157" s="315"/>
      <c r="D157" s="315"/>
      <c r="E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 spans="1:30">
      <c r="A158" s="22"/>
      <c r="B158" s="315"/>
      <c r="C158" s="315"/>
      <c r="D158" s="315"/>
      <c r="E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 spans="1:30">
      <c r="A159" s="22"/>
      <c r="B159" s="315"/>
      <c r="C159" s="315"/>
      <c r="D159" s="315"/>
      <c r="E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 spans="1:30">
      <c r="A160" s="22"/>
      <c r="B160" s="315"/>
      <c r="C160" s="315"/>
      <c r="D160" s="315"/>
      <c r="E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 spans="1:30">
      <c r="A161" s="22"/>
      <c r="B161" s="315"/>
      <c r="C161" s="315"/>
      <c r="D161" s="315"/>
      <c r="E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 spans="1:30">
      <c r="A162" s="22"/>
      <c r="B162" s="315"/>
      <c r="C162" s="315"/>
      <c r="D162" s="315"/>
      <c r="E162" s="22"/>
      <c r="L162" s="22"/>
      <c r="M162" s="22"/>
      <c r="N162" s="22"/>
      <c r="O162" s="22"/>
      <c r="P162" s="22"/>
      <c r="Q162" s="22"/>
      <c r="R162" s="22"/>
      <c r="S162" s="44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 spans="1:30">
      <c r="A163" s="22"/>
      <c r="B163" s="315"/>
      <c r="C163" s="315"/>
      <c r="D163" s="315"/>
      <c r="E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 spans="1:30">
      <c r="A164" s="22"/>
      <c r="B164" s="315"/>
      <c r="C164" s="315"/>
      <c r="D164" s="315"/>
      <c r="E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spans="1:30">
      <c r="A165" s="22"/>
      <c r="B165" s="315"/>
      <c r="C165" s="315"/>
      <c r="D165" s="315"/>
      <c r="E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 spans="1:30">
      <c r="A166" s="22"/>
      <c r="B166" s="315"/>
      <c r="C166" s="315"/>
      <c r="D166" s="315"/>
      <c r="E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 spans="1:30">
      <c r="A167" s="22"/>
      <c r="B167" s="315"/>
      <c r="C167" s="315"/>
      <c r="D167" s="315"/>
      <c r="E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 spans="1:30">
      <c r="A168" s="22"/>
      <c r="B168" s="315"/>
      <c r="C168" s="315"/>
      <c r="D168" s="315"/>
      <c r="E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 spans="1:30">
      <c r="A169" s="22"/>
      <c r="B169" s="315"/>
      <c r="C169" s="315"/>
      <c r="D169" s="315"/>
      <c r="E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 spans="1:30">
      <c r="A170" s="22"/>
      <c r="B170" s="315"/>
      <c r="C170" s="315"/>
      <c r="D170" s="315"/>
      <c r="E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 spans="1:30">
      <c r="A171" s="22"/>
      <c r="B171" s="315"/>
      <c r="C171" s="315"/>
      <c r="D171" s="315"/>
      <c r="E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 spans="1:30">
      <c r="A172" s="22"/>
      <c r="B172" s="315"/>
      <c r="C172" s="315"/>
      <c r="D172" s="315"/>
      <c r="E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 spans="1:30">
      <c r="A173" s="22"/>
      <c r="B173" s="315"/>
      <c r="C173" s="315"/>
      <c r="D173" s="315"/>
      <c r="E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 spans="1:30">
      <c r="A174" s="22"/>
      <c r="B174" s="315"/>
      <c r="C174" s="315"/>
      <c r="D174" s="315"/>
      <c r="E174" s="22"/>
      <c r="L174" s="22"/>
      <c r="M174" s="22"/>
      <c r="N174" s="22"/>
      <c r="O174" s="22"/>
      <c r="P174" s="22"/>
      <c r="Q174" s="22"/>
      <c r="R174" s="22"/>
      <c r="S174" s="4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 spans="1:30">
      <c r="A175" s="22"/>
      <c r="B175" s="315"/>
      <c r="C175" s="315"/>
      <c r="D175" s="315"/>
      <c r="E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 spans="1:30">
      <c r="A176" s="22"/>
      <c r="B176" s="315"/>
      <c r="C176" s="315"/>
      <c r="D176" s="315"/>
      <c r="E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 spans="1:30">
      <c r="A177" s="22"/>
      <c r="B177" s="315"/>
      <c r="C177" s="315"/>
      <c r="D177" s="315"/>
      <c r="E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 spans="1:30">
      <c r="A178" s="22"/>
      <c r="B178" s="315"/>
      <c r="C178" s="315"/>
      <c r="D178" s="315"/>
      <c r="E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 spans="1:30">
      <c r="A179" s="22"/>
      <c r="B179" s="315"/>
      <c r="C179" s="315"/>
      <c r="D179" s="315"/>
      <c r="E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 spans="1:30">
      <c r="A180" s="22"/>
      <c r="B180" s="315"/>
      <c r="C180" s="315"/>
      <c r="D180" s="315"/>
      <c r="E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 spans="1:30">
      <c r="A181" s="22"/>
      <c r="B181" s="315"/>
      <c r="C181" s="315"/>
      <c r="D181" s="315"/>
      <c r="E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 spans="1:30">
      <c r="A182" s="22"/>
      <c r="B182" s="315"/>
      <c r="C182" s="315"/>
      <c r="D182" s="315"/>
      <c r="E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 spans="1:30">
      <c r="A183" s="22"/>
      <c r="B183" s="315"/>
      <c r="C183" s="315"/>
      <c r="D183" s="315"/>
      <c r="E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 spans="1:30">
      <c r="A184" s="22"/>
      <c r="B184" s="315"/>
      <c r="C184" s="315"/>
      <c r="D184" s="315"/>
      <c r="E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 spans="1:30">
      <c r="A185" s="22"/>
      <c r="B185" s="315"/>
      <c r="C185" s="315"/>
      <c r="D185" s="315"/>
      <c r="E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 spans="1:30">
      <c r="A186" s="22"/>
      <c r="B186" s="315"/>
      <c r="C186" s="315"/>
      <c r="D186" s="315"/>
      <c r="E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 spans="1:30">
      <c r="A187" s="22"/>
      <c r="B187" s="315"/>
      <c r="C187" s="315"/>
      <c r="D187" s="315"/>
      <c r="E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 spans="1:30">
      <c r="A188" s="22"/>
      <c r="B188" s="315"/>
      <c r="C188" s="315"/>
      <c r="D188" s="315"/>
      <c r="E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 spans="1:30">
      <c r="A189" s="22"/>
      <c r="B189" s="315"/>
      <c r="C189" s="315"/>
      <c r="D189" s="315"/>
      <c r="E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 spans="1:30">
      <c r="A190" s="22"/>
      <c r="B190" s="315"/>
      <c r="C190" s="315"/>
      <c r="D190" s="315"/>
      <c r="E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 spans="1:30">
      <c r="A191" s="22"/>
      <c r="B191" s="315"/>
      <c r="C191" s="315"/>
      <c r="D191" s="315"/>
      <c r="E191" s="22"/>
      <c r="L191" s="22"/>
      <c r="M191" s="22"/>
      <c r="N191" s="22"/>
      <c r="O191" s="22"/>
      <c r="P191" s="22"/>
      <c r="Q191" s="22"/>
      <c r="R191" s="22"/>
      <c r="S191" s="43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 spans="1:30">
      <c r="A192" s="22"/>
      <c r="B192" s="315"/>
      <c r="C192" s="315"/>
      <c r="D192" s="315"/>
      <c r="E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 spans="1:30">
      <c r="A193" s="22"/>
      <c r="B193" s="315"/>
      <c r="C193" s="315"/>
      <c r="D193" s="315"/>
      <c r="E193" s="22"/>
      <c r="L193" s="22"/>
      <c r="M193" s="22"/>
      <c r="N193" s="22"/>
      <c r="O193" s="22"/>
      <c r="P193" s="22"/>
      <c r="Q193" s="22"/>
      <c r="R193" s="22"/>
      <c r="S193" s="43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 spans="1:30" hidden="1"/>
    <row r="195" spans="1:30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B084"/>
  </sheetPr>
  <dimension ref="A1:BE150"/>
  <sheetViews>
    <sheetView zoomScale="153" workbookViewId="0">
      <pane xSplit="4" ySplit="3" topLeftCell="E4" activePane="bottomRight" state="frozen"/>
      <selection pane="topRight"/>
      <selection pane="bottomLeft"/>
      <selection pane="bottomRight" activeCell="A14" sqref="A14"/>
    </sheetView>
  </sheetViews>
  <sheetFormatPr defaultRowHeight="14.5"/>
  <cols>
    <col min="1" max="1" width="23.6328125" customWidth="1"/>
    <col min="2" max="2" width="4.453125" style="54" customWidth="1"/>
    <col min="3" max="3" width="19.90625" style="49" customWidth="1"/>
    <col min="4" max="4" width="7.6328125" style="54" customWidth="1"/>
    <col min="5" max="5" width="10.26953125" customWidth="1"/>
  </cols>
  <sheetData>
    <row r="1" spans="1:57" s="56" customFormat="1">
      <c r="A1" s="60"/>
      <c r="B1" s="61"/>
      <c r="C1" s="62"/>
      <c r="D1" s="61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</row>
    <row r="2" spans="1:57">
      <c r="A2" s="63" t="s">
        <v>0</v>
      </c>
      <c r="B2" s="64"/>
      <c r="C2" s="64"/>
      <c r="D2" s="64"/>
      <c r="E2" s="65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</row>
    <row r="3" spans="1:57">
      <c r="A3" s="63" t="s">
        <v>41</v>
      </c>
      <c r="B3" s="64"/>
      <c r="C3" s="64"/>
      <c r="D3" s="64"/>
      <c r="E3" s="68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</row>
    <row r="4" spans="1:57" ht="18.5" customHeight="1">
      <c r="A4" s="60"/>
      <c r="B4" s="70" t="s">
        <v>42</v>
      </c>
      <c r="C4" s="71" t="s">
        <v>43</v>
      </c>
      <c r="D4" s="70" t="s">
        <v>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</row>
    <row r="5" spans="1:57">
      <c r="A5" s="72" t="s">
        <v>44</v>
      </c>
      <c r="B5" s="73" t="s">
        <v>25</v>
      </c>
      <c r="C5" s="74" t="s">
        <v>45</v>
      </c>
      <c r="D5" s="75"/>
      <c r="E5" s="76">
        <v>0.03</v>
      </c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</row>
    <row r="6" spans="1:57">
      <c r="A6" s="60"/>
      <c r="B6" s="75"/>
      <c r="C6" s="77"/>
      <c r="D6" s="78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</row>
    <row r="7" spans="1:57">
      <c r="A7" s="72" t="s">
        <v>46</v>
      </c>
      <c r="B7" s="73" t="s">
        <v>25</v>
      </c>
      <c r="C7" s="74" t="s">
        <v>47</v>
      </c>
      <c r="D7" s="78"/>
      <c r="E7" s="79">
        <v>0.05</v>
      </c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</row>
    <row r="8" spans="1:57">
      <c r="A8" s="72" t="s">
        <v>48</v>
      </c>
      <c r="B8" s="73" t="s">
        <v>25</v>
      </c>
      <c r="C8" s="74" t="s">
        <v>49</v>
      </c>
      <c r="D8" s="78"/>
      <c r="E8" s="80">
        <v>0.35</v>
      </c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</row>
    <row r="9" spans="1:57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</row>
    <row r="10" spans="1:57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</row>
    <row r="11" spans="1:57">
      <c r="A11" s="292" t="s">
        <v>50</v>
      </c>
      <c r="B11" s="292" t="s">
        <v>25</v>
      </c>
      <c r="C11" s="292" t="s">
        <v>51</v>
      </c>
      <c r="D11" s="60"/>
      <c r="E11" s="291">
        <v>46112</v>
      </c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</row>
    <row r="12" spans="1:57">
      <c r="A12" s="292" t="s">
        <v>52</v>
      </c>
      <c r="B12" s="292" t="s">
        <v>25</v>
      </c>
      <c r="C12" s="292" t="s">
        <v>53</v>
      </c>
      <c r="D12" s="60"/>
      <c r="E12" s="291">
        <v>46203</v>
      </c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</row>
    <row r="13" spans="1:57">
      <c r="A13" s="292" t="s">
        <v>54</v>
      </c>
      <c r="B13" s="293" t="s">
        <v>25</v>
      </c>
      <c r="C13" s="293" t="s">
        <v>55</v>
      </c>
      <c r="D13" s="60"/>
      <c r="E13" s="291">
        <v>46387</v>
      </c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</row>
    <row r="14" spans="1:57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</row>
    <row r="15" spans="1:57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</row>
    <row r="16" spans="1:57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</row>
    <row r="17" spans="1:5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</row>
    <row r="18" spans="1:57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</row>
    <row r="19" spans="1:57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</row>
    <row r="20" spans="1:57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</row>
    <row r="21" spans="1:57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</row>
    <row r="22" spans="1:57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</row>
    <row r="23" spans="1:57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</row>
    <row r="24" spans="1:57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</row>
    <row r="25" spans="1:57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</row>
    <row r="26" spans="1:57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</row>
    <row r="27" spans="1:5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</row>
    <row r="28" spans="1:57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</row>
    <row r="29" spans="1:57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</row>
    <row r="30" spans="1:57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</row>
    <row r="31" spans="1:57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</row>
    <row r="32" spans="1:57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</row>
    <row r="33" spans="1:57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</row>
    <row r="34" spans="1:57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</row>
    <row r="35" spans="1:57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</row>
    <row r="36" spans="1:57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</row>
    <row r="37" spans="1:5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</row>
    <row r="38" spans="1:57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</row>
    <row r="39" spans="1:57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</row>
    <row r="40" spans="1:57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</row>
    <row r="41" spans="1:57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</row>
    <row r="42" spans="1:57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</row>
    <row r="43" spans="1:57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</row>
    <row r="44" spans="1:57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</row>
    <row r="45" spans="1:57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</row>
    <row r="46" spans="1:57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</row>
    <row r="47" spans="1:5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</row>
    <row r="48" spans="1:57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</row>
    <row r="49" spans="1:57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</row>
    <row r="50" spans="1:57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</row>
    <row r="51" spans="1:57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</row>
    <row r="52" spans="1:57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</row>
    <row r="53" spans="1:57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</row>
    <row r="54" spans="1:57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</row>
    <row r="55" spans="1:57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</row>
    <row r="56" spans="1:57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</row>
    <row r="57" spans="1: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</row>
    <row r="58" spans="1:57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</row>
    <row r="59" spans="1:57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</row>
    <row r="60" spans="1:57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</row>
    <row r="61" spans="1:57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</row>
    <row r="62" spans="1:57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</row>
    <row r="63" spans="1:57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</row>
    <row r="64" spans="1:57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</row>
    <row r="65" spans="1:57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</row>
    <row r="66" spans="1:57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</row>
    <row r="67" spans="1:5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</row>
    <row r="68" spans="1:57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</row>
    <row r="69" spans="1:57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</row>
    <row r="70" spans="1:57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</row>
    <row r="71" spans="1:57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</row>
    <row r="72" spans="1:57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</row>
    <row r="73" spans="1:57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</row>
    <row r="74" spans="1:57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</row>
    <row r="75" spans="1:57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</row>
    <row r="76" spans="1:57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</row>
    <row r="77" spans="1:5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</row>
    <row r="78" spans="1:57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</row>
    <row r="79" spans="1:57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</row>
    <row r="80" spans="1:57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</row>
    <row r="81" spans="1:57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</row>
    <row r="82" spans="1:57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</row>
    <row r="83" spans="1:57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</row>
    <row r="84" spans="1:57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</row>
    <row r="85" spans="1:57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</row>
    <row r="86" spans="1:57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</row>
    <row r="87" spans="1:5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</row>
    <row r="88" spans="1:57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</row>
    <row r="89" spans="1:57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</row>
    <row r="90" spans="1:57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</row>
    <row r="91" spans="1:57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</row>
    <row r="92" spans="1:57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</row>
    <row r="93" spans="1:57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</row>
    <row r="94" spans="1:57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</row>
    <row r="95" spans="1:57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</row>
    <row r="96" spans="1:57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</row>
    <row r="97" spans="1:5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</row>
    <row r="98" spans="1:57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</row>
    <row r="99" spans="1:57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</row>
    <row r="100" spans="1:57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</row>
    <row r="101" spans="1:57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</row>
    <row r="102" spans="1:57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</row>
    <row r="103" spans="1:57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</row>
    <row r="104" spans="1:57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</row>
    <row r="105" spans="1:57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</row>
    <row r="106" spans="1:57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</row>
    <row r="107" spans="1:5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</row>
    <row r="108" spans="1:57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</row>
    <row r="109" spans="1:57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</row>
    <row r="110" spans="1:57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</row>
    <row r="111" spans="1:57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</row>
    <row r="112" spans="1:57">
      <c r="A112" s="60"/>
      <c r="B112" s="81"/>
      <c r="C112" s="60"/>
      <c r="D112" s="81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</row>
    <row r="113" spans="1:57">
      <c r="A113" s="60"/>
      <c r="B113" s="81"/>
      <c r="C113" s="60"/>
      <c r="D113" s="81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</row>
    <row r="114" spans="1:57">
      <c r="A114" s="60"/>
      <c r="B114" s="81"/>
      <c r="C114" s="60"/>
      <c r="D114" s="81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</row>
    <row r="115" spans="1:57">
      <c r="A115" s="60"/>
      <c r="B115" s="81"/>
      <c r="C115" s="60"/>
      <c r="D115" s="81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</row>
    <row r="116" spans="1:57">
      <c r="A116" s="60"/>
      <c r="B116" s="81"/>
      <c r="C116" s="60"/>
      <c r="D116" s="81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</row>
    <row r="117" spans="1:57">
      <c r="A117" s="60"/>
      <c r="B117" s="81"/>
      <c r="C117" s="60"/>
      <c r="D117" s="81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</row>
    <row r="118" spans="1:57">
      <c r="A118" s="60"/>
      <c r="B118" s="81"/>
      <c r="C118" s="60"/>
      <c r="D118" s="81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</row>
    <row r="119" spans="1:57">
      <c r="A119" s="60"/>
      <c r="B119" s="81"/>
      <c r="C119" s="60"/>
      <c r="D119" s="81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</row>
    <row r="120" spans="1:57">
      <c r="A120" s="60"/>
      <c r="B120" s="81"/>
      <c r="C120" s="60"/>
      <c r="D120" s="81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</row>
    <row r="121" spans="1:57">
      <c r="A121" s="60"/>
      <c r="B121" s="81"/>
      <c r="C121" s="60"/>
      <c r="D121" s="81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</row>
    <row r="122" spans="1:57">
      <c r="A122" s="60"/>
      <c r="B122" s="81"/>
      <c r="C122" s="60"/>
      <c r="D122" s="81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</row>
    <row r="123" spans="1:57">
      <c r="A123" s="60"/>
      <c r="B123" s="81"/>
      <c r="C123" s="60"/>
      <c r="D123" s="81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</row>
    <row r="124" spans="1:57">
      <c r="A124" s="60"/>
      <c r="B124" s="81"/>
      <c r="C124" s="60"/>
      <c r="D124" s="81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</row>
    <row r="125" spans="1:57">
      <c r="A125" s="60"/>
      <c r="B125" s="81"/>
      <c r="C125" s="60"/>
      <c r="D125" s="81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</row>
    <row r="126" spans="1:57">
      <c r="A126" s="60"/>
      <c r="B126" s="81"/>
      <c r="C126" s="60"/>
      <c r="D126" s="81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</row>
    <row r="127" spans="1:57">
      <c r="A127" s="60"/>
      <c r="B127" s="81"/>
      <c r="C127" s="60"/>
      <c r="D127" s="81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</row>
    <row r="128" spans="1:57">
      <c r="A128" s="60"/>
      <c r="B128" s="81"/>
      <c r="C128" s="60"/>
      <c r="D128" s="81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</row>
    <row r="129" spans="1:57">
      <c r="A129" s="60"/>
      <c r="B129" s="81"/>
      <c r="C129" s="60"/>
      <c r="D129" s="81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</row>
    <row r="130" spans="1:57">
      <c r="A130" s="60"/>
      <c r="B130" s="81"/>
      <c r="C130" s="60"/>
      <c r="D130" s="81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</row>
    <row r="131" spans="1:57">
      <c r="A131" s="60"/>
      <c r="B131" s="81"/>
      <c r="C131" s="60"/>
      <c r="D131" s="81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</row>
    <row r="132" spans="1:57">
      <c r="A132" s="60"/>
      <c r="B132" s="81"/>
      <c r="C132" s="60"/>
      <c r="D132" s="81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</row>
    <row r="133" spans="1:57">
      <c r="A133" s="60"/>
      <c r="B133" s="81"/>
      <c r="C133" s="60"/>
      <c r="D133" s="81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</row>
    <row r="134" spans="1:57">
      <c r="A134" s="60"/>
      <c r="B134" s="81"/>
      <c r="C134" s="60"/>
      <c r="D134" s="81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</row>
    <row r="135" spans="1:57">
      <c r="A135" s="60"/>
      <c r="B135" s="81"/>
      <c r="C135" s="60"/>
      <c r="D135" s="81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</row>
    <row r="136" spans="1:57">
      <c r="A136" s="60"/>
      <c r="B136" s="81"/>
      <c r="C136" s="60"/>
      <c r="D136" s="81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</row>
    <row r="137" spans="1:57">
      <c r="A137" s="60"/>
      <c r="B137" s="81"/>
      <c r="C137" s="60"/>
      <c r="D137" s="81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</row>
    <row r="138" spans="1:57">
      <c r="A138" s="60"/>
      <c r="B138" s="81"/>
      <c r="C138" s="60"/>
      <c r="D138" s="81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</row>
    <row r="139" spans="1:57">
      <c r="A139" s="60"/>
      <c r="B139" s="81"/>
      <c r="C139" s="60"/>
      <c r="D139" s="81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</row>
    <row r="140" spans="1:57">
      <c r="A140" s="60"/>
      <c r="B140" s="81"/>
      <c r="C140" s="60"/>
      <c r="D140" s="81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</row>
    <row r="141" spans="1:57">
      <c r="A141" s="60"/>
      <c r="B141" s="81"/>
      <c r="C141" s="60"/>
      <c r="D141" s="81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</row>
    <row r="142" spans="1:57">
      <c r="A142" s="60"/>
      <c r="B142" s="81"/>
      <c r="C142" s="60"/>
      <c r="D142" s="81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</row>
    <row r="143" spans="1:57">
      <c r="A143" s="60"/>
      <c r="B143" s="81"/>
      <c r="C143" s="60"/>
      <c r="D143" s="81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</row>
    <row r="144" spans="1:57">
      <c r="A144" s="60"/>
      <c r="B144" s="81"/>
      <c r="C144" s="60"/>
      <c r="D144" s="81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</row>
    <row r="145" spans="1:57">
      <c r="A145" s="60"/>
      <c r="B145" s="81"/>
      <c r="C145" s="60"/>
      <c r="D145" s="81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</row>
    <row r="146" spans="1:57">
      <c r="A146" s="60"/>
      <c r="B146" s="81"/>
      <c r="C146" s="60"/>
      <c r="D146" s="81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</row>
    <row r="147" spans="1:57">
      <c r="A147" s="60"/>
      <c r="B147" s="81"/>
      <c r="C147" s="60"/>
      <c r="D147" s="81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</row>
    <row r="148" spans="1:57">
      <c r="A148" s="60"/>
      <c r="B148" s="81"/>
      <c r="C148" s="60"/>
      <c r="D148" s="81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</row>
    <row r="149" spans="1:57">
      <c r="A149" s="60"/>
      <c r="B149" s="81"/>
      <c r="C149" s="60"/>
      <c r="D149" s="81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</row>
    <row r="150" spans="1:57">
      <c r="A150" s="60"/>
      <c r="B150" s="81"/>
      <c r="C150" s="60"/>
      <c r="D150" s="81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tabColor rgb="FFF4B084"/>
    <pageSetUpPr autoPageBreaks="0"/>
  </sheetPr>
  <dimension ref="A1:BG148"/>
  <sheetViews>
    <sheetView showGridLines="0" zoomScale="99" zoomScaleNormal="85" workbookViewId="0">
      <pane xSplit="4" ySplit="3" topLeftCell="E4" activePane="bottomRight" state="frozen"/>
      <selection pane="topRight"/>
      <selection pane="bottomLeft" activeCell="E16" sqref="E16"/>
      <selection pane="bottomRight" activeCell="L10" sqref="L10"/>
    </sheetView>
  </sheetViews>
  <sheetFormatPr defaultRowHeight="14.5"/>
  <cols>
    <col min="1" max="1" width="43.26953125" style="4" bestFit="1" customWidth="1"/>
    <col min="2" max="2" width="4.453125" style="54" customWidth="1"/>
    <col min="3" max="3" width="19.90625" style="54" customWidth="1"/>
    <col min="4" max="4" width="21.54296875" style="54" customWidth="1"/>
    <col min="5" max="5" width="14.26953125" style="53" customWidth="1"/>
    <col min="6" max="9" width="10.7265625" style="59" customWidth="1"/>
    <col min="10" max="11" width="10.7265625" style="218" customWidth="1"/>
    <col min="12" max="12" width="19.6328125" style="4" customWidth="1"/>
    <col min="13" max="13" width="16" style="4" customWidth="1"/>
    <col min="14" max="14" width="16.26953125" style="4" customWidth="1"/>
    <col min="15" max="15" width="28.08984375" style="4" bestFit="1" customWidth="1"/>
    <col min="16" max="16" width="21.81640625" style="4" bestFit="1" customWidth="1"/>
    <col min="17" max="17" width="20.1796875" style="4" bestFit="1" customWidth="1"/>
    <col min="18" max="18" width="28.6328125" style="4" bestFit="1" customWidth="1"/>
    <col min="19" max="19" width="26" style="4" bestFit="1" customWidth="1"/>
    <col min="20" max="20" width="23.26953125" style="4" bestFit="1" customWidth="1"/>
    <col min="21" max="21" width="24.26953125" style="4" bestFit="1" customWidth="1"/>
    <col min="22" max="23" width="25.08984375" style="4" bestFit="1" customWidth="1"/>
    <col min="24" max="27" width="17.453125" bestFit="1" customWidth="1"/>
    <col min="28" max="28" width="18.6328125" bestFit="1" customWidth="1"/>
    <col min="29" max="29" width="24.26953125" bestFit="1" customWidth="1"/>
    <col min="30" max="30" width="18.6328125" bestFit="1" customWidth="1"/>
    <col min="31" max="31" width="28" bestFit="1" customWidth="1"/>
    <col min="32" max="32" width="9.6328125" bestFit="1" customWidth="1"/>
    <col min="33" max="33" width="14.453125" bestFit="1" customWidth="1"/>
    <col min="34" max="34" width="13.453125" bestFit="1" customWidth="1"/>
    <col min="35" max="35" width="14.453125" bestFit="1" customWidth="1"/>
    <col min="36" max="37" width="8.453125" bestFit="1" customWidth="1"/>
    <col min="38" max="38" width="5.26953125" bestFit="1" customWidth="1"/>
    <col min="39" max="39" width="7" bestFit="1" customWidth="1"/>
    <col min="40" max="40" width="5.54296875" bestFit="1" customWidth="1"/>
    <col min="41" max="41" width="6.26953125" bestFit="1" customWidth="1"/>
    <col min="42" max="42" width="7.453125" bestFit="1" customWidth="1"/>
    <col min="43" max="43" width="7" bestFit="1" customWidth="1"/>
    <col min="44" max="44" width="5.54296875" bestFit="1" customWidth="1"/>
    <col min="45" max="45" width="10.453125" bestFit="1" customWidth="1"/>
    <col min="46" max="46" width="5.453125" bestFit="1" customWidth="1"/>
    <col min="47" max="47" width="12.26953125" bestFit="1" customWidth="1"/>
    <col min="48" max="49" width="5.453125" bestFit="1" customWidth="1"/>
    <col min="50" max="50" width="7.54296875" bestFit="1" customWidth="1"/>
    <col min="51" max="51" width="7.453125" bestFit="1" customWidth="1"/>
    <col min="52" max="52" width="7" bestFit="1" customWidth="1"/>
    <col min="53" max="53" width="5.453125" bestFit="1" customWidth="1"/>
    <col min="54" max="54" width="6.26953125" bestFit="1" customWidth="1"/>
    <col min="55" max="57" width="5.453125" bestFit="1" customWidth="1"/>
    <col min="58" max="58" width="5.54296875" bestFit="1" customWidth="1"/>
    <col min="59" max="59" width="7.453125" bestFit="1" customWidth="1"/>
    <col min="60" max="60" width="7" bestFit="1" customWidth="1"/>
    <col min="61" max="61" width="5.26953125" bestFit="1" customWidth="1"/>
    <col min="62" max="62" width="22.6328125" bestFit="1" customWidth="1"/>
  </cols>
  <sheetData>
    <row r="1" spans="1:59" ht="18.399999999999999" customHeight="1">
      <c r="A1" s="82"/>
      <c r="B1" s="82"/>
      <c r="C1" s="82"/>
      <c r="D1" s="82"/>
      <c r="E1" s="214"/>
      <c r="F1" s="60"/>
      <c r="G1" s="60"/>
      <c r="H1" s="60"/>
      <c r="I1" s="60"/>
      <c r="J1" s="60"/>
      <c r="K1" s="60"/>
      <c r="L1" s="214"/>
      <c r="M1" s="83"/>
      <c r="N1" s="83"/>
      <c r="O1" s="83"/>
      <c r="P1" s="83"/>
      <c r="Q1" s="83"/>
      <c r="R1" s="83"/>
      <c r="S1" s="83"/>
      <c r="T1" s="60"/>
      <c r="U1" s="84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</row>
    <row r="2" spans="1:59" s="229" customFormat="1">
      <c r="A2" s="225" t="s">
        <v>0</v>
      </c>
      <c r="B2" s="226"/>
      <c r="C2" s="226"/>
      <c r="D2" s="226"/>
      <c r="E2" s="227">
        <v>45657</v>
      </c>
      <c r="F2" s="227">
        <v>45747</v>
      </c>
      <c r="G2" s="227">
        <v>45838</v>
      </c>
      <c r="H2" s="227">
        <v>45930</v>
      </c>
      <c r="I2" s="227">
        <v>46022</v>
      </c>
      <c r="J2" s="227">
        <v>46112</v>
      </c>
      <c r="K2" s="227">
        <v>46203</v>
      </c>
      <c r="L2" s="227">
        <v>45747</v>
      </c>
      <c r="M2" s="227">
        <v>45838</v>
      </c>
      <c r="N2" s="227">
        <v>45930</v>
      </c>
      <c r="O2" s="227">
        <v>46022</v>
      </c>
      <c r="P2" s="227">
        <v>46112</v>
      </c>
      <c r="Q2" s="227">
        <v>46203</v>
      </c>
      <c r="R2" s="227">
        <v>46295</v>
      </c>
      <c r="S2" s="227">
        <v>46387</v>
      </c>
      <c r="T2" s="227"/>
      <c r="U2" s="227"/>
      <c r="V2" s="227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  <c r="BD2" s="228"/>
      <c r="BE2" s="228"/>
      <c r="BF2" s="228"/>
      <c r="BG2" s="228"/>
    </row>
    <row r="3" spans="1:59" s="232" customFormat="1">
      <c r="A3" s="68"/>
      <c r="B3" s="230"/>
      <c r="C3" s="230"/>
      <c r="D3" s="230"/>
      <c r="E3" s="231" t="s">
        <v>56</v>
      </c>
      <c r="F3" s="68"/>
      <c r="G3" s="68"/>
      <c r="H3" s="68"/>
      <c r="I3" s="68"/>
      <c r="J3" s="68"/>
      <c r="K3" s="231"/>
      <c r="L3" s="231" t="s">
        <v>42</v>
      </c>
      <c r="M3" s="68"/>
      <c r="N3" s="68"/>
      <c r="O3" s="68"/>
      <c r="P3" s="68"/>
      <c r="Q3" s="68"/>
      <c r="R3" s="68"/>
      <c r="S3" s="68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</row>
    <row r="4" spans="1:59" s="56" customFormat="1" ht="18.5" customHeight="1">
      <c r="A4" s="77"/>
      <c r="B4" s="70" t="s">
        <v>42</v>
      </c>
      <c r="C4" s="70" t="s">
        <v>43</v>
      </c>
      <c r="D4" s="70" t="s">
        <v>3</v>
      </c>
      <c r="E4" s="85"/>
      <c r="F4" s="60"/>
      <c r="G4" s="60"/>
      <c r="H4" s="60"/>
      <c r="I4" s="60"/>
      <c r="J4" s="60"/>
      <c r="K4" s="60"/>
      <c r="L4" s="85"/>
      <c r="M4" s="85"/>
      <c r="N4" s="85"/>
      <c r="O4" s="85"/>
      <c r="P4" s="85"/>
      <c r="Q4" s="85"/>
      <c r="R4" s="85"/>
      <c r="S4" s="85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</row>
    <row r="5" spans="1:59">
      <c r="A5" s="74" t="s">
        <v>57</v>
      </c>
      <c r="B5" s="75"/>
      <c r="C5" s="75"/>
      <c r="D5" s="75"/>
      <c r="E5" s="77"/>
      <c r="F5" s="60"/>
      <c r="G5" s="60"/>
      <c r="H5" s="60"/>
      <c r="I5" s="60"/>
      <c r="J5" s="60"/>
      <c r="K5" s="60"/>
      <c r="L5" s="85"/>
      <c r="M5" s="85"/>
      <c r="N5" s="85"/>
      <c r="O5" s="85"/>
      <c r="P5" s="86"/>
      <c r="Q5" s="86"/>
      <c r="R5" s="86"/>
      <c r="S5" s="86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</row>
    <row r="6" spans="1:59">
      <c r="A6" s="87" t="s">
        <v>58</v>
      </c>
      <c r="B6" s="75"/>
      <c r="C6" s="78"/>
      <c r="D6" s="78"/>
      <c r="E6" s="88"/>
      <c r="F6" s="60"/>
      <c r="G6" s="60"/>
      <c r="H6" s="60"/>
      <c r="I6" s="60"/>
      <c r="J6" s="60"/>
      <c r="K6" s="60"/>
      <c r="L6" s="88">
        <f>'c12_hm'!L70</f>
        <v>558947</v>
      </c>
      <c r="M6" s="88">
        <f>'c12_hm'!M70</f>
        <v>558947</v>
      </c>
      <c r="N6" s="88">
        <f>'c12_hm'!N70</f>
        <v>558947</v>
      </c>
      <c r="O6" s="88">
        <f>'c12_hm'!O70</f>
        <v>447597</v>
      </c>
      <c r="P6" s="88">
        <f>'c12_hm'!P70</f>
        <v>63035.789473684214</v>
      </c>
      <c r="Q6" s="88">
        <f>'c12_hm'!Q70</f>
        <v>398173.6519736842</v>
      </c>
      <c r="R6" s="88">
        <f>'c12_hm'!R70</f>
        <v>400447.33618421049</v>
      </c>
      <c r="S6" s="88">
        <f>'c12_hm'!S70</f>
        <v>662529.63026315777</v>
      </c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</row>
    <row r="7" spans="1:59">
      <c r="A7" s="87" t="s">
        <v>59</v>
      </c>
      <c r="B7" s="75"/>
      <c r="C7" s="78"/>
      <c r="D7" s="78"/>
      <c r="E7" s="88"/>
      <c r="F7" s="60"/>
      <c r="G7" s="60"/>
      <c r="H7" s="60"/>
      <c r="I7" s="60"/>
      <c r="J7" s="60"/>
      <c r="K7" s="60"/>
      <c r="L7" s="88">
        <f>'c12_bi&amp;F'!L70</f>
        <v>0</v>
      </c>
      <c r="M7" s="88">
        <f>'c12_bi&amp;F'!M70</f>
        <v>0</v>
      </c>
      <c r="N7" s="88">
        <f>'c12_bi&amp;F'!N70</f>
        <v>0</v>
      </c>
      <c r="O7" s="88">
        <f>'c12_bi&amp;F'!O70</f>
        <v>0</v>
      </c>
      <c r="P7" s="88">
        <f>'c12_bi&amp;F'!P70</f>
        <v>16714.736842105263</v>
      </c>
      <c r="Q7" s="88">
        <f>'c12_bi&amp;F'!Q70</f>
        <v>16714.736842105263</v>
      </c>
      <c r="R7" s="88">
        <f>'c12_bi&amp;F'!R70</f>
        <v>22398.947368421053</v>
      </c>
      <c r="S7" s="88">
        <f>'c12_bi&amp;F'!S70</f>
        <v>27047.105263157893</v>
      </c>
      <c r="T7" s="60"/>
      <c r="U7" s="84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</row>
    <row r="8" spans="1:59">
      <c r="A8" s="87" t="s">
        <v>60</v>
      </c>
      <c r="B8" s="75"/>
      <c r="C8" s="78"/>
      <c r="D8" s="78"/>
      <c r="E8" s="88"/>
      <c r="F8" s="60"/>
      <c r="G8" s="60"/>
      <c r="H8" s="60"/>
      <c r="I8" s="60"/>
      <c r="J8" s="60"/>
      <c r="K8" s="60"/>
      <c r="L8" s="88">
        <f>'c12_d&amp;s'!L70</f>
        <v>64367.75</v>
      </c>
      <c r="M8" s="88">
        <f>'c12_d&amp;s'!M70</f>
        <v>64367.75</v>
      </c>
      <c r="N8" s="88">
        <f>'c12_d&amp;s'!N70</f>
        <v>349567.75</v>
      </c>
      <c r="O8" s="88">
        <f>'c12_d&amp;s'!O70</f>
        <v>455617.75</v>
      </c>
      <c r="P8" s="88">
        <f>'c12_d&amp;s'!P70</f>
        <v>806580.95035087725</v>
      </c>
      <c r="Q8" s="88">
        <f>'c12_d&amp;s'!Q70</f>
        <v>1015405.0903508773</v>
      </c>
      <c r="R8" s="88">
        <f>'c12_d&amp;s'!R70</f>
        <v>935314.59035087726</v>
      </c>
      <c r="S8" s="88">
        <f>'c12_d&amp;s'!S70</f>
        <v>2208920.6166666662</v>
      </c>
      <c r="T8" s="60"/>
      <c r="U8" s="84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</row>
    <row r="9" spans="1:59" ht="15" customHeight="1" thickBot="1">
      <c r="A9" s="78"/>
      <c r="B9" s="75"/>
      <c r="C9" s="78"/>
      <c r="D9" s="78"/>
      <c r="E9" s="88"/>
      <c r="F9" s="60"/>
      <c r="G9" s="60"/>
      <c r="H9" s="60"/>
      <c r="I9" s="60"/>
      <c r="J9" s="60"/>
      <c r="K9" s="60"/>
      <c r="L9" s="88"/>
      <c r="M9" s="88"/>
      <c r="N9" s="88"/>
      <c r="O9" s="88"/>
      <c r="P9" s="88"/>
      <c r="Q9" s="88"/>
      <c r="R9" s="88"/>
      <c r="S9" s="88"/>
      <c r="T9" s="60"/>
      <c r="U9" s="84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</row>
    <row r="10" spans="1:59" s="48" customFormat="1" ht="14.65" customHeight="1" thickTop="1" thickBot="1">
      <c r="A10" s="89" t="s">
        <v>61</v>
      </c>
      <c r="B10" s="73" t="s">
        <v>9</v>
      </c>
      <c r="C10" s="73" t="s">
        <v>20</v>
      </c>
      <c r="D10" s="75"/>
      <c r="E10" s="90">
        <v>2452451</v>
      </c>
      <c r="F10" s="91"/>
      <c r="G10" s="91"/>
      <c r="H10" s="91"/>
      <c r="I10" s="91"/>
      <c r="J10" s="91"/>
      <c r="K10" s="91"/>
      <c r="L10" s="92">
        <f t="shared" ref="L10:S10" si="0">SUM(L6:L9)</f>
        <v>623314.75</v>
      </c>
      <c r="M10" s="92">
        <f t="shared" si="0"/>
        <v>623314.75</v>
      </c>
      <c r="N10" s="92">
        <f t="shared" si="0"/>
        <v>908514.75</v>
      </c>
      <c r="O10" s="92">
        <f t="shared" si="0"/>
        <v>903214.75</v>
      </c>
      <c r="P10" s="92">
        <f t="shared" si="0"/>
        <v>886331.47666666668</v>
      </c>
      <c r="Q10" s="92">
        <f t="shared" si="0"/>
        <v>1430293.4791666667</v>
      </c>
      <c r="R10" s="92">
        <f t="shared" si="0"/>
        <v>1358160.8739035088</v>
      </c>
      <c r="S10" s="92">
        <f t="shared" si="0"/>
        <v>2898497.3521929821</v>
      </c>
      <c r="T10" s="72" t="s">
        <v>62</v>
      </c>
      <c r="U10" s="84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</row>
    <row r="11" spans="1:59" s="9" customFormat="1" ht="15" customHeight="1" thickTop="1">
      <c r="A11" s="86"/>
      <c r="B11" s="75"/>
      <c r="C11" s="75"/>
      <c r="D11" s="75"/>
      <c r="E11" s="77"/>
      <c r="F11" s="60"/>
      <c r="G11" s="60"/>
      <c r="H11" s="60"/>
      <c r="I11" s="60"/>
      <c r="J11" s="60"/>
      <c r="K11" s="60"/>
      <c r="L11" s="88"/>
      <c r="M11" s="88"/>
      <c r="N11" s="88"/>
      <c r="O11" s="88"/>
      <c r="P11" s="88"/>
      <c r="Q11" s="88"/>
      <c r="R11" s="88"/>
      <c r="S11" s="88"/>
      <c r="T11" s="60"/>
      <c r="U11" s="84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</row>
    <row r="12" spans="1:59" s="11" customFormat="1" ht="15" customHeight="1">
      <c r="A12" s="72" t="s">
        <v>63</v>
      </c>
      <c r="B12" s="93" t="s">
        <v>25</v>
      </c>
      <c r="C12" s="93" t="s">
        <v>64</v>
      </c>
      <c r="D12" s="93" t="s">
        <v>65</v>
      </c>
      <c r="E12" s="94"/>
      <c r="F12" s="95"/>
      <c r="G12" s="95"/>
      <c r="H12" s="95"/>
      <c r="I12" s="95"/>
      <c r="J12" s="95"/>
      <c r="K12" s="95"/>
      <c r="L12" s="96"/>
      <c r="M12" s="96"/>
      <c r="N12" s="96"/>
      <c r="O12" s="96"/>
      <c r="P12" s="97"/>
      <c r="Q12" s="98"/>
      <c r="R12" s="97"/>
      <c r="S12" s="97"/>
      <c r="T12" s="72" t="s">
        <v>66</v>
      </c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</row>
    <row r="13" spans="1:59" s="11" customFormat="1" ht="15" customHeight="1">
      <c r="A13" s="72" t="s">
        <v>67</v>
      </c>
      <c r="B13" s="93" t="s">
        <v>25</v>
      </c>
      <c r="C13" s="93" t="s">
        <v>64</v>
      </c>
      <c r="D13" s="93" t="s">
        <v>68</v>
      </c>
      <c r="E13" s="94"/>
      <c r="F13" s="95"/>
      <c r="G13" s="95"/>
      <c r="H13" s="95"/>
      <c r="I13" s="95"/>
      <c r="J13" s="95"/>
      <c r="K13" s="95"/>
      <c r="L13" s="96"/>
      <c r="M13" s="96"/>
      <c r="N13" s="97"/>
      <c r="O13" s="97"/>
      <c r="P13" s="96"/>
      <c r="Q13" s="97">
        <v>100000</v>
      </c>
      <c r="R13" s="97">
        <v>100000</v>
      </c>
      <c r="S13" s="97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</row>
    <row r="14" spans="1:59" s="11" customFormat="1">
      <c r="A14" s="72" t="s">
        <v>69</v>
      </c>
      <c r="B14" s="93" t="s">
        <v>25</v>
      </c>
      <c r="C14" s="93" t="s">
        <v>64</v>
      </c>
      <c r="D14" s="93" t="s">
        <v>70</v>
      </c>
      <c r="E14" s="94"/>
      <c r="F14" s="60"/>
      <c r="G14" s="60"/>
      <c r="H14" s="60"/>
      <c r="I14" s="60"/>
      <c r="J14" s="60"/>
      <c r="K14" s="60"/>
      <c r="L14" s="96"/>
      <c r="M14" s="96"/>
      <c r="N14" s="97"/>
      <c r="O14" s="97"/>
      <c r="P14" s="97"/>
      <c r="Q14" s="97">
        <v>100000</v>
      </c>
      <c r="R14" s="96"/>
      <c r="S14" s="96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</row>
    <row r="15" spans="1:59" s="11" customFormat="1">
      <c r="A15" s="72" t="s">
        <v>71</v>
      </c>
      <c r="B15" s="93" t="s">
        <v>25</v>
      </c>
      <c r="C15" s="93" t="s">
        <v>64</v>
      </c>
      <c r="D15" s="93" t="s">
        <v>72</v>
      </c>
      <c r="E15" s="94"/>
      <c r="F15" s="60"/>
      <c r="G15" s="60"/>
      <c r="H15" s="60"/>
      <c r="I15" s="60"/>
      <c r="J15" s="60"/>
      <c r="K15" s="60"/>
      <c r="L15" s="96"/>
      <c r="M15" s="96"/>
      <c r="N15" s="96"/>
      <c r="O15" s="96"/>
      <c r="P15" s="96"/>
      <c r="Q15" s="96"/>
      <c r="R15" s="96"/>
      <c r="S15" s="96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</row>
    <row r="16" spans="1:59" s="11" customFormat="1">
      <c r="A16" s="72" t="s">
        <v>73</v>
      </c>
      <c r="B16" s="93" t="s">
        <v>25</v>
      </c>
      <c r="C16" s="93" t="s">
        <v>64</v>
      </c>
      <c r="D16" s="93" t="s">
        <v>74</v>
      </c>
      <c r="E16" s="94"/>
      <c r="F16" s="60"/>
      <c r="G16" s="60"/>
      <c r="H16" s="60"/>
      <c r="I16" s="60"/>
      <c r="J16" s="60"/>
      <c r="K16" s="60"/>
      <c r="L16" s="96"/>
      <c r="M16" s="96"/>
      <c r="N16" s="96"/>
      <c r="O16" s="96"/>
      <c r="P16" s="97">
        <v>0</v>
      </c>
      <c r="Q16" s="97">
        <v>0</v>
      </c>
      <c r="R16" s="96">
        <v>0</v>
      </c>
      <c r="S16" s="97">
        <v>0</v>
      </c>
      <c r="T16" s="72" t="s">
        <v>75</v>
      </c>
      <c r="U16" s="84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</row>
    <row r="17" spans="1:59" s="11" customFormat="1" ht="15" customHeight="1">
      <c r="A17" s="72" t="s">
        <v>76</v>
      </c>
      <c r="B17" s="93" t="s">
        <v>25</v>
      </c>
      <c r="C17" s="93" t="s">
        <v>64</v>
      </c>
      <c r="D17" s="93" t="s">
        <v>76</v>
      </c>
      <c r="E17" s="94"/>
      <c r="F17" s="99"/>
      <c r="G17" s="99"/>
      <c r="H17" s="99"/>
      <c r="I17" s="99"/>
      <c r="J17" s="99"/>
      <c r="K17" s="99"/>
      <c r="L17" s="96"/>
      <c r="M17" s="96"/>
      <c r="N17" s="96"/>
      <c r="O17" s="96"/>
      <c r="P17" s="97">
        <v>0</v>
      </c>
      <c r="Q17" s="97">
        <v>0</v>
      </c>
      <c r="R17" s="97">
        <v>0</v>
      </c>
      <c r="S17" s="97">
        <v>0</v>
      </c>
      <c r="T17" s="72" t="s">
        <v>77</v>
      </c>
      <c r="U17" s="84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</row>
    <row r="18" spans="1:59" s="11" customFormat="1" ht="14.65" customHeight="1">
      <c r="A18" s="100" t="s">
        <v>78</v>
      </c>
      <c r="B18" s="93" t="s">
        <v>79</v>
      </c>
      <c r="C18" s="93" t="s">
        <v>80</v>
      </c>
      <c r="D18" s="81"/>
      <c r="E18" s="94"/>
      <c r="F18" s="99"/>
      <c r="G18" s="99"/>
      <c r="H18" s="99"/>
      <c r="I18" s="99"/>
      <c r="J18" s="99"/>
      <c r="K18" s="99"/>
      <c r="L18" s="94">
        <f t="shared" ref="L18:S18" si="1">SUM(L12:L17)</f>
        <v>0</v>
      </c>
      <c r="M18" s="94">
        <f t="shared" si="1"/>
        <v>0</v>
      </c>
      <c r="N18" s="94">
        <f t="shared" si="1"/>
        <v>0</v>
      </c>
      <c r="O18" s="94">
        <f t="shared" si="1"/>
        <v>0</v>
      </c>
      <c r="P18" s="94">
        <f t="shared" si="1"/>
        <v>0</v>
      </c>
      <c r="Q18" s="94">
        <f t="shared" si="1"/>
        <v>200000</v>
      </c>
      <c r="R18" s="94">
        <f t="shared" si="1"/>
        <v>100000</v>
      </c>
      <c r="S18" s="94">
        <f t="shared" si="1"/>
        <v>0</v>
      </c>
      <c r="T18" s="60"/>
      <c r="U18" s="84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</row>
    <row r="19" spans="1:59" s="6" customFormat="1">
      <c r="A19" s="101"/>
      <c r="B19" s="102"/>
      <c r="C19" s="103"/>
      <c r="D19" s="103"/>
      <c r="E19" s="88"/>
      <c r="F19" s="91"/>
      <c r="G19" s="91"/>
      <c r="H19" s="91"/>
      <c r="I19" s="91"/>
      <c r="J19" s="91"/>
      <c r="K19" s="91"/>
      <c r="L19" s="88"/>
      <c r="M19" s="88"/>
      <c r="N19" s="88"/>
      <c r="O19" s="88"/>
      <c r="P19" s="88"/>
      <c r="Q19" s="88"/>
      <c r="R19" s="88"/>
      <c r="S19" s="88"/>
      <c r="T19" s="60"/>
      <c r="U19" s="84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</row>
    <row r="20" spans="1:59">
      <c r="A20" s="74" t="s">
        <v>81</v>
      </c>
      <c r="B20" s="75"/>
      <c r="C20" s="75"/>
      <c r="D20" s="75"/>
      <c r="E20" s="88"/>
      <c r="F20" s="60"/>
      <c r="G20" s="60"/>
      <c r="H20" s="60"/>
      <c r="I20" s="60"/>
      <c r="J20" s="60"/>
      <c r="K20" s="60"/>
      <c r="L20" s="88">
        <f t="shared" ref="L20:S20" si="2">-L39</f>
        <v>1637186</v>
      </c>
      <c r="M20" s="88">
        <f t="shared" si="2"/>
        <v>1733477</v>
      </c>
      <c r="N20" s="88">
        <f t="shared" si="2"/>
        <v>1694124</v>
      </c>
      <c r="O20" s="88">
        <f t="shared" si="2"/>
        <v>2917273</v>
      </c>
      <c r="P20" s="88">
        <f t="shared" si="2"/>
        <v>4057849.8571428573</v>
      </c>
      <c r="Q20" s="88">
        <f t="shared" si="2"/>
        <v>4457407</v>
      </c>
      <c r="R20" s="88">
        <f t="shared" si="2"/>
        <v>2834607</v>
      </c>
      <c r="S20" s="88">
        <f t="shared" si="2"/>
        <v>4930793.25</v>
      </c>
      <c r="T20" s="60"/>
      <c r="U20" s="84"/>
      <c r="V20" s="60"/>
      <c r="W20" s="104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</row>
    <row r="21" spans="1:59">
      <c r="A21" s="77"/>
      <c r="B21" s="75"/>
      <c r="C21" s="75"/>
      <c r="D21" s="75"/>
      <c r="E21" s="88"/>
      <c r="F21" s="104"/>
      <c r="G21" s="104"/>
      <c r="H21" s="104"/>
      <c r="I21" s="104"/>
      <c r="J21" s="104"/>
      <c r="K21" s="104"/>
      <c r="L21" s="88"/>
      <c r="M21" s="88"/>
      <c r="N21" s="88"/>
      <c r="O21" s="88"/>
      <c r="P21" s="88"/>
      <c r="Q21" s="88"/>
      <c r="R21" s="88"/>
      <c r="S21" s="88"/>
      <c r="T21" s="60"/>
      <c r="U21" s="84"/>
      <c r="V21" s="60"/>
      <c r="W21" s="104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</row>
    <row r="22" spans="1:59">
      <c r="A22" s="74" t="s">
        <v>82</v>
      </c>
      <c r="B22" s="75"/>
      <c r="C22" s="75"/>
      <c r="D22" s="75"/>
      <c r="E22" s="88"/>
      <c r="F22" s="91"/>
      <c r="G22" s="91"/>
      <c r="H22" s="91"/>
      <c r="I22" s="91"/>
      <c r="J22" s="91"/>
      <c r="K22" s="91"/>
      <c r="L22" s="88">
        <f t="shared" ref="L22:S22" si="3">L20+L10</f>
        <v>2260500.75</v>
      </c>
      <c r="M22" s="88">
        <f t="shared" si="3"/>
        <v>2356791.75</v>
      </c>
      <c r="N22" s="88">
        <f t="shared" si="3"/>
        <v>2602638.75</v>
      </c>
      <c r="O22" s="88">
        <f t="shared" si="3"/>
        <v>3820487.75</v>
      </c>
      <c r="P22" s="88">
        <f t="shared" si="3"/>
        <v>4944181.3338095238</v>
      </c>
      <c r="Q22" s="88">
        <f t="shared" si="3"/>
        <v>5887700.479166667</v>
      </c>
      <c r="R22" s="88">
        <f t="shared" si="3"/>
        <v>4192767.8739035088</v>
      </c>
      <c r="S22" s="88">
        <f t="shared" si="3"/>
        <v>7829290.6021929821</v>
      </c>
      <c r="T22" s="60"/>
      <c r="U22" s="84"/>
      <c r="V22" s="60"/>
      <c r="W22" s="104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</row>
    <row r="23" spans="1:59">
      <c r="A23" s="77"/>
      <c r="B23" s="75"/>
      <c r="C23" s="75"/>
      <c r="D23" s="75"/>
      <c r="E23" s="88"/>
      <c r="F23" s="91"/>
      <c r="G23" s="91"/>
      <c r="H23" s="91"/>
      <c r="I23" s="91"/>
      <c r="J23" s="91"/>
      <c r="K23" s="91"/>
      <c r="L23" s="88"/>
      <c r="M23" s="88"/>
      <c r="N23" s="88"/>
      <c r="O23" s="88"/>
      <c r="P23" s="88"/>
      <c r="Q23" s="88"/>
      <c r="R23" s="88"/>
      <c r="S23" s="88"/>
      <c r="T23" s="60"/>
      <c r="U23" s="84"/>
      <c r="V23" s="60"/>
      <c r="W23" s="104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</row>
    <row r="24" spans="1:59">
      <c r="A24" s="74" t="s">
        <v>83</v>
      </c>
      <c r="B24" s="75"/>
      <c r="C24" s="75"/>
      <c r="D24" s="75"/>
      <c r="E24" s="88"/>
      <c r="F24" s="91"/>
      <c r="G24" s="91"/>
      <c r="H24" s="91"/>
      <c r="I24" s="91"/>
      <c r="J24" s="91"/>
      <c r="K24" s="91"/>
      <c r="L24" s="88"/>
      <c r="M24" s="88"/>
      <c r="N24" s="88"/>
      <c r="O24" s="88"/>
      <c r="P24" s="88"/>
      <c r="Q24" s="88"/>
      <c r="R24" s="88"/>
      <c r="S24" s="88"/>
      <c r="T24" s="60"/>
      <c r="U24" s="84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</row>
    <row r="25" spans="1:59">
      <c r="A25" s="87" t="s">
        <v>84</v>
      </c>
      <c r="B25" s="75"/>
      <c r="C25" s="78"/>
      <c r="D25" s="78"/>
      <c r="E25" s="88"/>
      <c r="F25" s="91"/>
      <c r="G25" s="91"/>
      <c r="H25" s="91"/>
      <c r="I25" s="91"/>
      <c r="J25" s="91"/>
      <c r="K25" s="91"/>
      <c r="L25" s="88">
        <f>-('c12_hm'!L78+'c12_hm'!L79)</f>
        <v>-298080</v>
      </c>
      <c r="M25" s="88">
        <f>-('c12_hm'!M78+'c12_hm'!M79)</f>
        <v>-298080</v>
      </c>
      <c r="N25" s="88">
        <f>-('c12_hm'!N78+'c12_hm'!N79)</f>
        <v>-298080</v>
      </c>
      <c r="O25" s="88">
        <f>-('c12_hm'!O78+'c12_hm'!O79)</f>
        <v>-770825</v>
      </c>
      <c r="P25" s="88">
        <f>-('c12_hm'!P78+'c12_hm'!P79)</f>
        <v>-391680</v>
      </c>
      <c r="Q25" s="88">
        <f>-('c12_hm'!Q78+'c12_hm'!Q79)</f>
        <v>-391680</v>
      </c>
      <c r="R25" s="88">
        <f>-('c12_hm'!R78+'c12_hm'!R79)</f>
        <v>-434880</v>
      </c>
      <c r="S25" s="88">
        <f>-('c12_hm'!S78+'c12_hm'!S79)</f>
        <v>-949185</v>
      </c>
      <c r="T25" s="60"/>
      <c r="U25" s="84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</row>
    <row r="26" spans="1:59">
      <c r="A26" s="87" t="s">
        <v>85</v>
      </c>
      <c r="B26" s="75"/>
      <c r="C26" s="78"/>
      <c r="D26" s="78"/>
      <c r="E26" s="88"/>
      <c r="F26" s="91"/>
      <c r="G26" s="91"/>
      <c r="H26" s="91"/>
      <c r="I26" s="91"/>
      <c r="J26" s="91"/>
      <c r="K26" s="91"/>
      <c r="L26" s="88">
        <f>-('c12_bi&amp;F'!L78+'c12_bi&amp;F'!L79)</f>
        <v>-250560</v>
      </c>
      <c r="M26" s="88">
        <f>-('c12_bi&amp;F'!M78+'c12_bi&amp;F'!M79)</f>
        <v>-250560</v>
      </c>
      <c r="N26" s="88">
        <f>-('c12_bi&amp;F'!N78+'c12_bi&amp;F'!N79)</f>
        <v>-336959.99999999994</v>
      </c>
      <c r="O26" s="88">
        <f>-('c12_bi&amp;F'!O78+'c12_bi&amp;F'!O79)</f>
        <v>-602497.5</v>
      </c>
      <c r="P26" s="88">
        <f>-('c12_bi&amp;F'!P78+'c12_bi&amp;F'!P79)</f>
        <v>-296639.99999999994</v>
      </c>
      <c r="Q26" s="88">
        <f>-('c12_bi&amp;F'!Q78+'c12_bi&amp;F'!Q79)</f>
        <v>-477677.14285714284</v>
      </c>
      <c r="R26" s="88">
        <f>-('c12_bi&amp;F'!R78+'c12_bi&amp;F'!R79)</f>
        <v>-672077.14285714284</v>
      </c>
      <c r="S26" s="88">
        <f>-('c12_bi&amp;F'!S78+'c12_bi&amp;F'!S79)</f>
        <v>-1173394.6428571427</v>
      </c>
      <c r="T26" s="60"/>
      <c r="U26" s="84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</row>
    <row r="27" spans="1:59">
      <c r="A27" s="87" t="s">
        <v>86</v>
      </c>
      <c r="B27" s="75"/>
      <c r="C27" s="78"/>
      <c r="D27" s="78"/>
      <c r="E27" s="88"/>
      <c r="F27" s="91"/>
      <c r="G27" s="91"/>
      <c r="H27" s="91"/>
      <c r="I27" s="91"/>
      <c r="J27" s="91"/>
      <c r="K27" s="91"/>
      <c r="L27" s="88">
        <f>-('c12_d&amp;s'!L78+'c12_d&amp;s'!L79)</f>
        <v>-515520</v>
      </c>
      <c r="M27" s="88">
        <f>-('c12_d&amp;s'!M78+'c12_d&amp;s'!M79)</f>
        <v>-515520</v>
      </c>
      <c r="N27" s="88">
        <f>-('c12_d&amp;s'!N78+'c12_d&amp;s'!N79)</f>
        <v>-515520</v>
      </c>
      <c r="O27" s="88">
        <f>-('c12_d&amp;s'!O78+'c12_d&amp;s'!O79)</f>
        <v>-1652177.5</v>
      </c>
      <c r="P27" s="88">
        <f>-('c12_d&amp;s'!P78+'c12_d&amp;s'!P79)</f>
        <v>-560160</v>
      </c>
      <c r="Q27" s="88">
        <f>-('c12_d&amp;s'!Q78+'c12_d&amp;s'!Q79)</f>
        <v>-520560</v>
      </c>
      <c r="R27" s="88">
        <f>-('c12_d&amp;s'!R78+'c12_d&amp;s'!R79)</f>
        <v>-560160</v>
      </c>
      <c r="S27" s="88">
        <f>-('c12_d&amp;s'!S78+'c12_d&amp;s'!S79)</f>
        <v>-1221223.75</v>
      </c>
      <c r="T27" s="60"/>
      <c r="U27" s="84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</row>
    <row r="28" spans="1:59" s="6" customFormat="1">
      <c r="A28" s="105" t="s">
        <v>87</v>
      </c>
      <c r="B28" s="102"/>
      <c r="C28" s="103"/>
      <c r="D28" s="103"/>
      <c r="E28" s="88"/>
      <c r="F28" s="91"/>
      <c r="G28" s="91"/>
      <c r="H28" s="91"/>
      <c r="I28" s="91"/>
      <c r="J28" s="91"/>
      <c r="K28" s="91"/>
      <c r="L28" s="88">
        <f t="shared" ref="L28:S28" si="4">-(L78-L81)</f>
        <v>-472542.85714285716</v>
      </c>
      <c r="M28" s="88">
        <f t="shared" si="4"/>
        <v>-472542.85714285716</v>
      </c>
      <c r="N28" s="88">
        <f t="shared" si="4"/>
        <v>-472542.85714285716</v>
      </c>
      <c r="O28" s="88">
        <f t="shared" si="4"/>
        <v>-472542.85714285716</v>
      </c>
      <c r="P28" s="88">
        <f t="shared" si="4"/>
        <v>-805022.85714285704</v>
      </c>
      <c r="Q28" s="88">
        <f t="shared" si="4"/>
        <v>-383142.85714285716</v>
      </c>
      <c r="R28" s="88">
        <f t="shared" si="4"/>
        <v>-383142.85714285716</v>
      </c>
      <c r="S28" s="88">
        <f t="shared" si="4"/>
        <v>-902642.85714285704</v>
      </c>
      <c r="T28" s="72" t="s">
        <v>88</v>
      </c>
      <c r="U28" s="84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</row>
    <row r="29" spans="1:59">
      <c r="A29" s="73" t="s">
        <v>89</v>
      </c>
      <c r="B29" s="75"/>
      <c r="C29" s="75"/>
      <c r="D29" s="75"/>
      <c r="E29" s="88"/>
      <c r="F29" s="91"/>
      <c r="G29" s="91"/>
      <c r="H29" s="91"/>
      <c r="I29" s="91"/>
      <c r="J29" s="91"/>
      <c r="K29" s="91"/>
      <c r="L29" s="88"/>
      <c r="M29" s="88"/>
      <c r="N29" s="88"/>
      <c r="O29" s="88"/>
      <c r="P29" s="88"/>
      <c r="Q29" s="88"/>
      <c r="R29" s="88"/>
      <c r="S29" s="88"/>
      <c r="T29" s="60"/>
      <c r="U29" s="84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</row>
    <row r="30" spans="1:59">
      <c r="A30" s="105" t="s">
        <v>90</v>
      </c>
      <c r="B30" s="106" t="s">
        <v>25</v>
      </c>
      <c r="C30" s="105" t="s">
        <v>91</v>
      </c>
      <c r="D30" s="105" t="s">
        <v>92</v>
      </c>
      <c r="E30" s="88"/>
      <c r="F30" s="91"/>
      <c r="G30" s="91"/>
      <c r="H30" s="91"/>
      <c r="I30" s="91"/>
      <c r="J30" s="91"/>
      <c r="K30" s="91"/>
      <c r="L30" s="107">
        <f>-189940/4</f>
        <v>-47485</v>
      </c>
      <c r="M30" s="107">
        <f>-189940/4</f>
        <v>-47485</v>
      </c>
      <c r="N30" s="107">
        <f>-189940/4</f>
        <v>-47485</v>
      </c>
      <c r="O30" s="107">
        <f>-189940/4</f>
        <v>-47485</v>
      </c>
      <c r="P30" s="107">
        <f>-540000/4</f>
        <v>-135000</v>
      </c>
      <c r="Q30" s="107">
        <f>-540000/4</f>
        <v>-135000</v>
      </c>
      <c r="R30" s="107">
        <f>-540000/4</f>
        <v>-135000</v>
      </c>
      <c r="S30" s="107">
        <f>-540000/4</f>
        <v>-135000</v>
      </c>
      <c r="T30" s="72" t="s">
        <v>93</v>
      </c>
      <c r="U30" s="84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</row>
    <row r="31" spans="1:59" s="8" customFormat="1">
      <c r="A31" s="108" t="s">
        <v>94</v>
      </c>
      <c r="B31" s="93"/>
      <c r="C31" s="108"/>
      <c r="D31" s="105"/>
      <c r="E31" s="88"/>
      <c r="F31" s="91"/>
      <c r="G31" s="91"/>
      <c r="H31" s="91"/>
      <c r="I31" s="91"/>
      <c r="J31" s="91"/>
      <c r="K31" s="91"/>
      <c r="L31" s="299">
        <f>'c12_sk'!L6</f>
        <v>-112553</v>
      </c>
      <c r="M31" s="299">
        <f>'c12_sk'!M6</f>
        <v>-186705</v>
      </c>
      <c r="N31" s="299">
        <f>'c12_sk'!N6</f>
        <v>-148699</v>
      </c>
      <c r="O31" s="299">
        <f>'c12_sk'!O6</f>
        <v>-249431</v>
      </c>
      <c r="P31" s="299">
        <f>'c12_sk'!P6</f>
        <v>-174347</v>
      </c>
      <c r="Q31" s="299">
        <f>'c12_sk'!Q6</f>
        <v>-174347</v>
      </c>
      <c r="R31" s="299">
        <f>'c12_sk'!R6</f>
        <v>-174347</v>
      </c>
      <c r="S31" s="299">
        <f>'c12_sk'!S6</f>
        <v>-174347</v>
      </c>
      <c r="T31" s="72" t="s">
        <v>95</v>
      </c>
      <c r="U31" s="84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</row>
    <row r="32" spans="1:59" s="8" customFormat="1">
      <c r="A32" s="108" t="s">
        <v>96</v>
      </c>
      <c r="B32" s="72" t="s">
        <v>25</v>
      </c>
      <c r="C32" s="216" t="s">
        <v>91</v>
      </c>
      <c r="D32" s="216" t="s">
        <v>97</v>
      </c>
      <c r="E32" s="88"/>
      <c r="F32" s="91"/>
      <c r="G32" s="91"/>
      <c r="H32" s="91"/>
      <c r="I32" s="91"/>
      <c r="J32" s="91"/>
      <c r="K32" s="91"/>
      <c r="L32" s="109"/>
      <c r="M32" s="109"/>
      <c r="N32" s="109"/>
      <c r="O32" s="109"/>
      <c r="P32" s="107">
        <v>-75000</v>
      </c>
      <c r="Q32" s="107">
        <v>-75000</v>
      </c>
      <c r="R32" s="107">
        <v>-75000</v>
      </c>
      <c r="S32" s="107">
        <v>-75000</v>
      </c>
      <c r="T32" s="72" t="s">
        <v>98</v>
      </c>
      <c r="U32" s="84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</row>
    <row r="33" spans="1:59" s="11" customFormat="1">
      <c r="A33" s="105" t="s">
        <v>99</v>
      </c>
      <c r="B33" s="106" t="s">
        <v>25</v>
      </c>
      <c r="C33" s="105" t="s">
        <v>91</v>
      </c>
      <c r="D33" s="216" t="s">
        <v>100</v>
      </c>
      <c r="E33" s="110"/>
      <c r="F33" s="99"/>
      <c r="G33" s="99"/>
      <c r="H33" s="99"/>
      <c r="I33" s="99"/>
      <c r="J33" s="99"/>
      <c r="K33" s="99"/>
      <c r="L33" s="109">
        <f t="shared" ref="L33:S33" si="5">-L18</f>
        <v>0</v>
      </c>
      <c r="M33" s="109">
        <f t="shared" si="5"/>
        <v>0</v>
      </c>
      <c r="N33" s="109">
        <f t="shared" si="5"/>
        <v>0</v>
      </c>
      <c r="O33" s="109">
        <f t="shared" si="5"/>
        <v>0</v>
      </c>
      <c r="P33" s="109">
        <f t="shared" si="5"/>
        <v>0</v>
      </c>
      <c r="Q33" s="109">
        <f t="shared" si="5"/>
        <v>-200000</v>
      </c>
      <c r="R33" s="109">
        <f t="shared" si="5"/>
        <v>-100000</v>
      </c>
      <c r="S33" s="109">
        <f t="shared" si="5"/>
        <v>0</v>
      </c>
      <c r="T33" s="60"/>
      <c r="U33" s="84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</row>
    <row r="34" spans="1:59">
      <c r="A34" s="105" t="s">
        <v>101</v>
      </c>
      <c r="B34" s="106" t="s">
        <v>25</v>
      </c>
      <c r="C34" s="105" t="s">
        <v>91</v>
      </c>
      <c r="D34" s="105" t="s">
        <v>102</v>
      </c>
      <c r="E34" s="88"/>
      <c r="F34" s="91"/>
      <c r="G34" s="91"/>
      <c r="H34" s="91"/>
      <c r="I34" s="91"/>
      <c r="J34" s="91"/>
      <c r="K34" s="91"/>
      <c r="L34" s="107"/>
      <c r="M34" s="107"/>
      <c r="N34" s="107">
        <v>-45000</v>
      </c>
      <c r="O34" s="107">
        <v>-599728</v>
      </c>
      <c r="P34" s="107">
        <v>-1620000</v>
      </c>
      <c r="Q34" s="107">
        <v>-2100000</v>
      </c>
      <c r="R34" s="107">
        <v>-300000</v>
      </c>
      <c r="S34" s="107">
        <v>-300000</v>
      </c>
      <c r="T34" s="72" t="s">
        <v>103</v>
      </c>
      <c r="U34" s="84"/>
      <c r="V34" s="60"/>
      <c r="W34" s="104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</row>
    <row r="35" spans="1:59" s="16" customFormat="1">
      <c r="A35" s="111" t="s">
        <v>104</v>
      </c>
      <c r="B35" s="106" t="s">
        <v>25</v>
      </c>
      <c r="C35" s="112" t="s">
        <v>105</v>
      </c>
      <c r="D35" s="113"/>
      <c r="E35" s="114"/>
      <c r="F35" s="60"/>
      <c r="G35" s="60"/>
      <c r="H35" s="60"/>
      <c r="I35" s="60"/>
      <c r="J35" s="60"/>
      <c r="K35" s="60"/>
      <c r="L35" s="115">
        <v>1</v>
      </c>
      <c r="M35" s="115">
        <v>1</v>
      </c>
      <c r="N35" s="115">
        <v>1</v>
      </c>
      <c r="O35" s="115">
        <v>1</v>
      </c>
      <c r="P35" s="115">
        <v>1</v>
      </c>
      <c r="Q35" s="115">
        <v>1</v>
      </c>
      <c r="R35" s="115">
        <v>1</v>
      </c>
      <c r="S35" s="115">
        <v>1</v>
      </c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</row>
    <row r="36" spans="1:59" s="11" customFormat="1">
      <c r="A36" s="105" t="s">
        <v>106</v>
      </c>
      <c r="B36" s="106" t="s">
        <v>79</v>
      </c>
      <c r="C36" s="105" t="s">
        <v>107</v>
      </c>
      <c r="D36" s="103"/>
      <c r="E36" s="88"/>
      <c r="F36" s="116"/>
      <c r="G36" s="116"/>
      <c r="H36" s="116"/>
      <c r="I36" s="116"/>
      <c r="J36" s="116"/>
      <c r="K36" s="116"/>
      <c r="L36" s="88">
        <f t="shared" ref="L36:S36" si="6">(L35-1)*SUM(L25:L34)</f>
        <v>0</v>
      </c>
      <c r="M36" s="88">
        <f t="shared" si="6"/>
        <v>0</v>
      </c>
      <c r="N36" s="88">
        <f t="shared" si="6"/>
        <v>0</v>
      </c>
      <c r="O36" s="88">
        <f t="shared" si="6"/>
        <v>0</v>
      </c>
      <c r="P36" s="88">
        <f t="shared" si="6"/>
        <v>0</v>
      </c>
      <c r="Q36" s="88">
        <f t="shared" si="6"/>
        <v>0</v>
      </c>
      <c r="R36" s="88">
        <f t="shared" si="6"/>
        <v>0</v>
      </c>
      <c r="S36" s="88">
        <f t="shared" si="6"/>
        <v>0</v>
      </c>
      <c r="T36" s="72" t="s">
        <v>108</v>
      </c>
      <c r="U36" s="84"/>
      <c r="V36" s="60"/>
      <c r="W36" s="104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</row>
    <row r="37" spans="1:59">
      <c r="A37" s="216" t="s">
        <v>109</v>
      </c>
      <c r="B37" s="221" t="s">
        <v>9</v>
      </c>
      <c r="C37" s="216" t="s">
        <v>110</v>
      </c>
      <c r="D37" s="103"/>
      <c r="E37" s="117">
        <v>-3970569</v>
      </c>
      <c r="F37" s="107">
        <v>-1102148</v>
      </c>
      <c r="G37" s="107">
        <v>-1124287</v>
      </c>
      <c r="H37" s="107">
        <v>-1077940</v>
      </c>
      <c r="I37" s="107">
        <v>-1645629</v>
      </c>
      <c r="J37" s="107"/>
      <c r="K37" s="107"/>
      <c r="L37" s="220">
        <f t="shared" ref="L37:S37" si="7">IF(AND((F37&lt;&gt;""),(L$2&lt;46204)),(F37),SUM(L25:L28))</f>
        <v>-1102148</v>
      </c>
      <c r="M37" s="220">
        <f t="shared" si="7"/>
        <v>-1124287</v>
      </c>
      <c r="N37" s="220">
        <f t="shared" si="7"/>
        <v>-1077940</v>
      </c>
      <c r="O37" s="220">
        <f t="shared" si="7"/>
        <v>-1645629</v>
      </c>
      <c r="P37" s="220">
        <f t="shared" si="7"/>
        <v>-2053502.857142857</v>
      </c>
      <c r="Q37" s="220">
        <f t="shared" si="7"/>
        <v>-1773060</v>
      </c>
      <c r="R37" s="220">
        <f t="shared" si="7"/>
        <v>-2050260</v>
      </c>
      <c r="S37" s="220">
        <f t="shared" si="7"/>
        <v>-4246446.25</v>
      </c>
      <c r="T37" s="60"/>
      <c r="U37" s="84"/>
      <c r="V37" s="60"/>
      <c r="W37" s="104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</row>
    <row r="38" spans="1:59" ht="15" customHeight="1" thickBot="1">
      <c r="A38" s="215" t="s">
        <v>111</v>
      </c>
      <c r="B38" s="217" t="s">
        <v>25</v>
      </c>
      <c r="C38" s="215" t="s">
        <v>112</v>
      </c>
      <c r="D38" s="78"/>
      <c r="E38" s="88"/>
      <c r="F38" s="107">
        <v>-375000</v>
      </c>
      <c r="G38" s="107">
        <v>-375000</v>
      </c>
      <c r="H38" s="107">
        <v>-375000</v>
      </c>
      <c r="I38" s="107">
        <v>-375000</v>
      </c>
      <c r="J38" s="107"/>
      <c r="K38" s="107"/>
      <c r="L38" s="220">
        <f t="shared" ref="L38:S38" si="8">IF(AND((F38&lt;&gt;""),(L$2&lt;46204)),(F38),0)</f>
        <v>-375000</v>
      </c>
      <c r="M38" s="220">
        <f t="shared" si="8"/>
        <v>-375000</v>
      </c>
      <c r="N38" s="220">
        <f t="shared" si="8"/>
        <v>-375000</v>
      </c>
      <c r="O38" s="220">
        <f t="shared" si="8"/>
        <v>-375000</v>
      </c>
      <c r="P38" s="220">
        <f t="shared" si="8"/>
        <v>0</v>
      </c>
      <c r="Q38" s="220">
        <f t="shared" si="8"/>
        <v>0</v>
      </c>
      <c r="R38" s="220">
        <f t="shared" si="8"/>
        <v>0</v>
      </c>
      <c r="S38" s="220">
        <f t="shared" si="8"/>
        <v>0</v>
      </c>
      <c r="T38" s="60"/>
      <c r="U38" s="84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118"/>
      <c r="BC38" s="60"/>
      <c r="BD38" s="60"/>
      <c r="BE38" s="60"/>
      <c r="BF38" s="60"/>
      <c r="BG38" s="60"/>
    </row>
    <row r="39" spans="1:59" s="21" customFormat="1" ht="15.5" customHeight="1" thickTop="1" thickBot="1">
      <c r="A39" s="74" t="s">
        <v>113</v>
      </c>
      <c r="B39" s="73" t="s">
        <v>9</v>
      </c>
      <c r="C39" s="73" t="s">
        <v>32</v>
      </c>
      <c r="D39" s="75"/>
      <c r="E39" s="90">
        <v>-5450569</v>
      </c>
      <c r="F39" s="116"/>
      <c r="G39" s="116"/>
      <c r="H39" s="116"/>
      <c r="I39" s="116"/>
      <c r="J39" s="116"/>
      <c r="K39" s="116"/>
      <c r="L39" s="92">
        <f t="shared" ref="L39:S39" si="9">SUM(L30:L34,L36,L37:L38)</f>
        <v>-1637186</v>
      </c>
      <c r="M39" s="92">
        <f t="shared" si="9"/>
        <v>-1733477</v>
      </c>
      <c r="N39" s="92">
        <f t="shared" si="9"/>
        <v>-1694124</v>
      </c>
      <c r="O39" s="92">
        <f t="shared" si="9"/>
        <v>-2917273</v>
      </c>
      <c r="P39" s="92">
        <f t="shared" si="9"/>
        <v>-4057849.8571428573</v>
      </c>
      <c r="Q39" s="92">
        <f t="shared" si="9"/>
        <v>-4457407</v>
      </c>
      <c r="R39" s="92">
        <f t="shared" si="9"/>
        <v>-2834607</v>
      </c>
      <c r="S39" s="92">
        <f t="shared" si="9"/>
        <v>-4930793.25</v>
      </c>
      <c r="T39" s="60"/>
      <c r="U39" s="84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</row>
    <row r="40" spans="1:59" s="21" customFormat="1" ht="15" customHeight="1" thickTop="1">
      <c r="A40" s="77"/>
      <c r="B40" s="75"/>
      <c r="C40" s="75"/>
      <c r="D40" s="75"/>
      <c r="E40" s="88"/>
      <c r="F40" s="91"/>
      <c r="G40" s="91"/>
      <c r="H40" s="91"/>
      <c r="I40" s="91"/>
      <c r="J40" s="91"/>
      <c r="K40" s="91"/>
      <c r="L40" s="88"/>
      <c r="M40" s="88"/>
      <c r="N40" s="88"/>
      <c r="O40" s="88"/>
      <c r="P40" s="88"/>
      <c r="Q40" s="88"/>
      <c r="R40" s="88"/>
      <c r="S40" s="88"/>
      <c r="T40" s="60"/>
      <c r="U40" s="84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</row>
    <row r="41" spans="1:59">
      <c r="A41" s="106" t="s">
        <v>114</v>
      </c>
      <c r="B41" s="102"/>
      <c r="C41" s="102"/>
      <c r="D41" s="102"/>
      <c r="E41" s="118"/>
      <c r="F41" s="116"/>
      <c r="G41" s="116"/>
      <c r="H41" s="116"/>
      <c r="I41" s="116"/>
      <c r="J41" s="116"/>
      <c r="K41" s="116"/>
      <c r="L41" s="118">
        <f t="shared" ref="L41:S41" si="10">-L81</f>
        <v>-31928.571428571431</v>
      </c>
      <c r="M41" s="118">
        <f t="shared" si="10"/>
        <v>-31928.571428571431</v>
      </c>
      <c r="N41" s="118">
        <f t="shared" si="10"/>
        <v>-31928.571428571431</v>
      </c>
      <c r="O41" s="118">
        <f t="shared" si="10"/>
        <v>-42318.571428571435</v>
      </c>
      <c r="P41" s="118">
        <f t="shared" si="10"/>
        <v>-58237.71428571429</v>
      </c>
      <c r="Q41" s="118">
        <f t="shared" si="10"/>
        <v>-58237.71428571429</v>
      </c>
      <c r="R41" s="118">
        <f t="shared" si="10"/>
        <v>-58237.71428571429</v>
      </c>
      <c r="S41" s="118">
        <f t="shared" si="10"/>
        <v>-79017.71428571429</v>
      </c>
      <c r="T41" s="60"/>
      <c r="U41" s="84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</row>
    <row r="42" spans="1:59" s="6" customFormat="1">
      <c r="A42" s="106" t="s">
        <v>115</v>
      </c>
      <c r="B42" s="106" t="s">
        <v>25</v>
      </c>
      <c r="C42" s="106" t="s">
        <v>116</v>
      </c>
      <c r="D42" s="102"/>
      <c r="E42" s="94"/>
      <c r="F42" s="116"/>
      <c r="G42" s="116"/>
      <c r="H42" s="116"/>
      <c r="I42" s="116"/>
      <c r="J42" s="116"/>
      <c r="K42" s="116"/>
      <c r="L42" s="107"/>
      <c r="M42" s="107"/>
      <c r="N42" s="107"/>
      <c r="O42" s="107"/>
      <c r="P42" s="107"/>
      <c r="Q42" s="107"/>
      <c r="R42" s="107"/>
      <c r="S42" s="107">
        <v>-200000</v>
      </c>
      <c r="T42" s="60"/>
      <c r="U42" s="84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</row>
    <row r="43" spans="1:59">
      <c r="A43" s="74" t="s">
        <v>117</v>
      </c>
      <c r="B43" s="73" t="s">
        <v>79</v>
      </c>
      <c r="C43" s="73" t="s">
        <v>118</v>
      </c>
      <c r="D43" s="75"/>
      <c r="E43" s="88"/>
      <c r="F43" s="116"/>
      <c r="G43" s="116"/>
      <c r="H43" s="116"/>
      <c r="I43" s="116"/>
      <c r="J43" s="116"/>
      <c r="K43" s="116"/>
      <c r="L43" s="88">
        <f t="shared" ref="L43:S43" si="11">SUM(L41:L42)</f>
        <v>-31928.571428571431</v>
      </c>
      <c r="M43" s="88">
        <f t="shared" si="11"/>
        <v>-31928.571428571431</v>
      </c>
      <c r="N43" s="88">
        <f t="shared" si="11"/>
        <v>-31928.571428571431</v>
      </c>
      <c r="O43" s="88">
        <f t="shared" si="11"/>
        <v>-42318.571428571435</v>
      </c>
      <c r="P43" s="88">
        <f t="shared" si="11"/>
        <v>-58237.71428571429</v>
      </c>
      <c r="Q43" s="88">
        <f t="shared" si="11"/>
        <v>-58237.71428571429</v>
      </c>
      <c r="R43" s="88">
        <f t="shared" si="11"/>
        <v>-58237.71428571429</v>
      </c>
      <c r="S43" s="88">
        <f t="shared" si="11"/>
        <v>-279017.71428571432</v>
      </c>
      <c r="T43" s="60"/>
      <c r="U43" s="84"/>
      <c r="V43" s="60"/>
      <c r="W43" s="104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</row>
    <row r="44" spans="1:59">
      <c r="A44" s="77"/>
      <c r="B44" s="75"/>
      <c r="C44" s="75"/>
      <c r="D44" s="75"/>
      <c r="E44" s="88"/>
      <c r="F44" s="116"/>
      <c r="G44" s="116"/>
      <c r="H44" s="116"/>
      <c r="I44" s="116"/>
      <c r="J44" s="116"/>
      <c r="K44" s="116"/>
      <c r="L44" s="88"/>
      <c r="M44" s="88"/>
      <c r="N44" s="88"/>
      <c r="O44" s="88"/>
      <c r="P44" s="88"/>
      <c r="Q44" s="88"/>
      <c r="R44" s="88"/>
      <c r="S44" s="88"/>
      <c r="T44" s="60"/>
      <c r="U44" s="84"/>
      <c r="V44" s="60"/>
      <c r="W44" s="104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</row>
    <row r="45" spans="1:59">
      <c r="A45" s="74" t="s">
        <v>119</v>
      </c>
      <c r="B45" s="73" t="s">
        <v>79</v>
      </c>
      <c r="C45" s="73" t="s">
        <v>120</v>
      </c>
      <c r="D45" s="75"/>
      <c r="E45" s="88"/>
      <c r="F45" s="116"/>
      <c r="G45" s="116"/>
      <c r="H45" s="116"/>
      <c r="I45" s="116"/>
      <c r="J45" s="116"/>
      <c r="K45" s="116"/>
      <c r="L45" s="88">
        <f t="shared" ref="L45:S45" si="12">L43+L39</f>
        <v>-1669114.5714285714</v>
      </c>
      <c r="M45" s="88">
        <f t="shared" si="12"/>
        <v>-1765405.5714285714</v>
      </c>
      <c r="N45" s="88">
        <f t="shared" si="12"/>
        <v>-1726052.5714285714</v>
      </c>
      <c r="O45" s="88">
        <f t="shared" si="12"/>
        <v>-2959591.5714285714</v>
      </c>
      <c r="P45" s="88">
        <f t="shared" si="12"/>
        <v>-4116087.5714285714</v>
      </c>
      <c r="Q45" s="88">
        <f t="shared" si="12"/>
        <v>-4515644.7142857146</v>
      </c>
      <c r="R45" s="88">
        <f t="shared" si="12"/>
        <v>-2892844.7142857141</v>
      </c>
      <c r="S45" s="88">
        <f t="shared" si="12"/>
        <v>-5209810.9642857146</v>
      </c>
      <c r="T45" s="60"/>
      <c r="U45" s="84"/>
      <c r="V45" s="60"/>
      <c r="W45" s="104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</row>
    <row r="46" spans="1:59">
      <c r="A46" s="77"/>
      <c r="B46" s="75"/>
      <c r="C46" s="75"/>
      <c r="D46" s="75"/>
      <c r="E46" s="88"/>
      <c r="F46" s="116"/>
      <c r="G46" s="116"/>
      <c r="H46" s="116"/>
      <c r="I46" s="116"/>
      <c r="J46" s="116"/>
      <c r="K46" s="116"/>
      <c r="L46" s="88"/>
      <c r="M46" s="88"/>
      <c r="N46" s="88"/>
      <c r="O46" s="88"/>
      <c r="P46" s="88"/>
      <c r="Q46" s="88"/>
      <c r="R46" s="88"/>
      <c r="S46" s="88"/>
      <c r="T46" s="60"/>
      <c r="U46" s="84"/>
      <c r="V46" s="60"/>
      <c r="W46" s="104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</row>
    <row r="47" spans="1:59" ht="14.65" customHeight="1">
      <c r="A47" s="74" t="s">
        <v>121</v>
      </c>
      <c r="B47" s="73" t="s">
        <v>9</v>
      </c>
      <c r="C47" s="73" t="s">
        <v>122</v>
      </c>
      <c r="D47" s="75"/>
      <c r="E47" s="119">
        <v>3119951</v>
      </c>
      <c r="F47" s="116"/>
      <c r="G47" s="116"/>
      <c r="H47" s="116"/>
      <c r="I47" s="116"/>
      <c r="J47" s="116"/>
      <c r="K47" s="116"/>
      <c r="L47" s="120">
        <f t="shared" ref="L47:S47" si="13">L22+L45</f>
        <v>591386.17857142864</v>
      </c>
      <c r="M47" s="120">
        <f t="shared" si="13"/>
        <v>591386.17857142864</v>
      </c>
      <c r="N47" s="120">
        <f t="shared" si="13"/>
        <v>876586.17857142864</v>
      </c>
      <c r="O47" s="120">
        <f t="shared" si="13"/>
        <v>860896.17857142864</v>
      </c>
      <c r="P47" s="120">
        <f t="shared" si="13"/>
        <v>828093.76238095248</v>
      </c>
      <c r="Q47" s="120">
        <f t="shared" si="13"/>
        <v>1372055.7648809524</v>
      </c>
      <c r="R47" s="120">
        <f t="shared" si="13"/>
        <v>1299923.1596177947</v>
      </c>
      <c r="S47" s="120">
        <f t="shared" si="13"/>
        <v>2619479.6379072675</v>
      </c>
      <c r="T47" s="60"/>
      <c r="U47" s="84"/>
      <c r="V47" s="60"/>
      <c r="W47" s="60"/>
      <c r="X47" s="60"/>
      <c r="Y47" s="60"/>
      <c r="Z47" s="60"/>
      <c r="AA47" s="60"/>
      <c r="AB47" s="60"/>
      <c r="AC47" s="121"/>
      <c r="AD47" s="121"/>
      <c r="AE47" s="122"/>
      <c r="AF47" s="122"/>
      <c r="AG47" s="122"/>
      <c r="AH47" s="122"/>
      <c r="AI47" s="122"/>
      <c r="AJ47" s="122"/>
      <c r="AK47" s="122"/>
      <c r="AL47" s="122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</row>
    <row r="48" spans="1:59" s="19" customFormat="1">
      <c r="A48" s="123" t="s">
        <v>123</v>
      </c>
      <c r="B48" s="124" t="s">
        <v>79</v>
      </c>
      <c r="C48" s="124" t="s">
        <v>124</v>
      </c>
      <c r="D48" s="125"/>
      <c r="E48" s="94"/>
      <c r="F48" s="126"/>
      <c r="G48" s="126"/>
      <c r="H48" s="126"/>
      <c r="I48" s="126"/>
      <c r="J48" s="126"/>
      <c r="K48" s="126"/>
      <c r="L48" s="127">
        <f t="shared" ref="L48:S48" si="14">L47/L22</f>
        <v>0.26161733349189492</v>
      </c>
      <c r="M48" s="127">
        <f t="shared" si="14"/>
        <v>0.25092848299873277</v>
      </c>
      <c r="N48" s="127">
        <f t="shared" si="14"/>
        <v>0.33680670380068256</v>
      </c>
      <c r="O48" s="127">
        <f t="shared" si="14"/>
        <v>0.22533672004874997</v>
      </c>
      <c r="P48" s="127">
        <f t="shared" si="14"/>
        <v>0.16748854996847393</v>
      </c>
      <c r="Q48" s="127">
        <f t="shared" si="14"/>
        <v>0.23303762984137916</v>
      </c>
      <c r="R48" s="127">
        <f t="shared" si="14"/>
        <v>0.31003938179090113</v>
      </c>
      <c r="S48" s="127">
        <f t="shared" si="14"/>
        <v>0.33457432748422339</v>
      </c>
      <c r="T48" s="60"/>
      <c r="U48" s="84"/>
      <c r="V48" s="60"/>
      <c r="W48" s="60"/>
      <c r="X48" s="60"/>
      <c r="Y48" s="60"/>
      <c r="Z48" s="60"/>
      <c r="AA48" s="60"/>
      <c r="AB48" s="60"/>
      <c r="AC48" s="128"/>
      <c r="AD48" s="128"/>
      <c r="AE48" s="129"/>
      <c r="AF48" s="129"/>
      <c r="AG48" s="129"/>
      <c r="AH48" s="129"/>
      <c r="AI48" s="130"/>
      <c r="AJ48" s="127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</row>
    <row r="49" spans="1:59" s="18" customFormat="1">
      <c r="A49" s="131"/>
      <c r="B49" s="125"/>
      <c r="C49" s="125"/>
      <c r="D49" s="125"/>
      <c r="E49" s="132"/>
      <c r="F49" s="126"/>
      <c r="G49" s="126"/>
      <c r="H49" s="126"/>
      <c r="I49" s="126"/>
      <c r="J49" s="126"/>
      <c r="K49" s="126"/>
      <c r="L49" s="127"/>
      <c r="M49" s="127"/>
      <c r="N49" s="127"/>
      <c r="O49" s="127"/>
      <c r="P49" s="127"/>
      <c r="Q49" s="127"/>
      <c r="R49" s="127"/>
      <c r="S49" s="127"/>
      <c r="T49" s="60"/>
      <c r="U49" s="84"/>
      <c r="V49" s="60"/>
      <c r="W49" s="60"/>
      <c r="X49" s="60"/>
      <c r="Y49" s="60"/>
      <c r="Z49" s="60"/>
      <c r="AA49" s="60"/>
      <c r="AB49" s="60"/>
      <c r="AC49" s="128"/>
      <c r="AD49" s="128"/>
      <c r="AE49" s="129"/>
      <c r="AF49" s="129"/>
      <c r="AG49" s="129"/>
      <c r="AH49" s="129"/>
      <c r="AI49" s="130"/>
      <c r="AJ49" s="127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</row>
    <row r="50" spans="1:59" s="18" customFormat="1">
      <c r="A50" s="131"/>
      <c r="B50" s="125"/>
      <c r="C50" s="125"/>
      <c r="D50" s="125"/>
      <c r="E50" s="132"/>
      <c r="F50" s="126"/>
      <c r="G50" s="126"/>
      <c r="H50" s="126"/>
      <c r="I50" s="126"/>
      <c r="J50" s="126"/>
      <c r="K50" s="126"/>
      <c r="L50" s="127"/>
      <c r="M50" s="127"/>
      <c r="N50" s="127"/>
      <c r="O50" s="127"/>
      <c r="P50" s="127"/>
      <c r="Q50" s="127"/>
      <c r="R50" s="127"/>
      <c r="S50" s="127"/>
      <c r="T50" s="60"/>
      <c r="U50" s="84"/>
      <c r="V50" s="60"/>
      <c r="W50" s="60"/>
      <c r="X50" s="60"/>
      <c r="Y50" s="60"/>
      <c r="Z50" s="60"/>
      <c r="AA50" s="60"/>
      <c r="AB50" s="60"/>
      <c r="AC50" s="128"/>
      <c r="AD50" s="128"/>
      <c r="AE50" s="129"/>
      <c r="AF50" s="129"/>
      <c r="AG50" s="129"/>
      <c r="AH50" s="129"/>
      <c r="AI50" s="130"/>
      <c r="AJ50" s="127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</row>
    <row r="51" spans="1:59" s="7" customFormat="1">
      <c r="A51" s="123" t="s">
        <v>125</v>
      </c>
      <c r="B51" s="125"/>
      <c r="C51" s="125"/>
      <c r="D51" s="125"/>
      <c r="E51" s="132"/>
      <c r="F51" s="126"/>
      <c r="G51" s="126"/>
      <c r="H51" s="126"/>
      <c r="I51" s="126"/>
      <c r="J51" s="126"/>
      <c r="K51" s="126"/>
      <c r="L51" s="133"/>
      <c r="M51" s="60"/>
      <c r="N51" s="60"/>
      <c r="O51" s="60"/>
      <c r="P51" s="60"/>
      <c r="Q51" s="60"/>
      <c r="R51" s="60"/>
      <c r="S51" s="60"/>
      <c r="T51" s="60"/>
      <c r="U51" s="84"/>
      <c r="V51" s="60"/>
      <c r="W51" s="60"/>
      <c r="X51" s="60"/>
      <c r="Y51" s="60"/>
      <c r="Z51" s="60"/>
      <c r="AA51" s="60"/>
      <c r="AB51" s="60"/>
      <c r="AC51" s="128"/>
      <c r="AD51" s="128"/>
      <c r="AE51" s="129"/>
      <c r="AF51" s="129"/>
      <c r="AG51" s="129"/>
      <c r="AH51" s="129"/>
      <c r="AI51" s="130"/>
      <c r="AJ51" s="127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</row>
    <row r="52" spans="1:59" s="55" customFormat="1">
      <c r="A52" s="134" t="s">
        <v>126</v>
      </c>
      <c r="B52" s="135"/>
      <c r="C52" s="135"/>
      <c r="D52" s="60"/>
      <c r="E52" s="60"/>
      <c r="F52" s="126"/>
      <c r="G52" s="126"/>
      <c r="H52" s="126"/>
      <c r="I52" s="126"/>
      <c r="J52" s="126"/>
      <c r="K52" s="126"/>
      <c r="L52" s="300">
        <f>'c12_sk'!L5</f>
        <v>-1925381.9975000001</v>
      </c>
      <c r="M52" s="300">
        <f>'c12_sk'!M5</f>
        <v>-1925381.9975000001</v>
      </c>
      <c r="N52" s="300">
        <f>'c12_sk'!N5</f>
        <v>-1925381.9975000001</v>
      </c>
      <c r="O52" s="300">
        <f>'c12_sk'!O5</f>
        <v>-1925381.9975000001</v>
      </c>
      <c r="P52" s="300">
        <f>'c12_sk'!P5</f>
        <v>0</v>
      </c>
      <c r="Q52" s="300">
        <f>'c12_sk'!Q5</f>
        <v>0</v>
      </c>
      <c r="R52" s="300">
        <f>'c12_sk'!R5</f>
        <v>0</v>
      </c>
      <c r="S52" s="300">
        <f>'c12_sk'!S5</f>
        <v>0</v>
      </c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</row>
    <row r="53" spans="1:59" s="55" customFormat="1">
      <c r="A53" s="134" t="s">
        <v>127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118">
        <f t="shared" ref="L53:S53" si="15">-L31</f>
        <v>112553</v>
      </c>
      <c r="M53" s="118">
        <f t="shared" si="15"/>
        <v>186705</v>
      </c>
      <c r="N53" s="118">
        <f t="shared" si="15"/>
        <v>148699</v>
      </c>
      <c r="O53" s="118">
        <f t="shared" si="15"/>
        <v>249431</v>
      </c>
      <c r="P53" s="118">
        <f t="shared" si="15"/>
        <v>174347</v>
      </c>
      <c r="Q53" s="118">
        <f t="shared" si="15"/>
        <v>174347</v>
      </c>
      <c r="R53" s="118">
        <f t="shared" si="15"/>
        <v>174347</v>
      </c>
      <c r="S53" s="118">
        <f t="shared" si="15"/>
        <v>174347</v>
      </c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</row>
    <row r="54" spans="1:59" s="55" customFormat="1">
      <c r="A54" s="134" t="s">
        <v>128</v>
      </c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118">
        <f>'c12_sk'!L7</f>
        <v>0</v>
      </c>
      <c r="M54" s="118">
        <f>'c12_sk'!M7</f>
        <v>0</v>
      </c>
      <c r="N54" s="118">
        <f>'c12_sk'!N7</f>
        <v>0</v>
      </c>
      <c r="O54" s="118">
        <f>'c12_sk'!O7</f>
        <v>0</v>
      </c>
      <c r="P54" s="118">
        <f>'c12_sk'!P7</f>
        <v>50000</v>
      </c>
      <c r="Q54" s="118">
        <f>'c12_sk'!Q7</f>
        <v>50000</v>
      </c>
      <c r="R54" s="118">
        <f>'c12_sk'!R7</f>
        <v>50000</v>
      </c>
      <c r="S54" s="118">
        <f>'c12_sk'!S7</f>
        <v>50000</v>
      </c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</row>
    <row r="55" spans="1:59" s="55" customFormat="1">
      <c r="A55" s="134" t="s">
        <v>129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118">
        <f>'.c12_oc_hr'!L6</f>
        <v>375000</v>
      </c>
      <c r="M55" s="118">
        <f>'.c12_oc_hr'!M6</f>
        <v>375000</v>
      </c>
      <c r="N55" s="118">
        <f>'.c12_oc_hr'!N6</f>
        <v>375000</v>
      </c>
      <c r="O55" s="118">
        <f>'.c12_oc_hr'!O6</f>
        <v>375000</v>
      </c>
      <c r="P55" s="118">
        <f>'.c12_oc_hr'!P6</f>
        <v>375000</v>
      </c>
      <c r="Q55" s="118">
        <f>'.c12_oc_hr'!Q6</f>
        <v>375000</v>
      </c>
      <c r="R55" s="118">
        <f>'.c12_oc_hr'!R6</f>
        <v>375000</v>
      </c>
      <c r="S55" s="118">
        <f>'.c12_oc_hr'!S6</f>
        <v>375000</v>
      </c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</row>
    <row r="56" spans="1:59" s="55" customFormat="1">
      <c r="A56" s="134" t="s">
        <v>130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118">
        <f>-'c12_sk'!L8</f>
        <v>250000</v>
      </c>
      <c r="M56" s="118">
        <f>-'c12_sk'!M8</f>
        <v>250000</v>
      </c>
      <c r="N56" s="118">
        <f>-'c12_sk'!N8</f>
        <v>250000</v>
      </c>
      <c r="O56" s="118">
        <f>-'c12_sk'!O8</f>
        <v>250000</v>
      </c>
      <c r="P56" s="118">
        <f>-'c12_sk'!P8</f>
        <v>250000</v>
      </c>
      <c r="Q56" s="118">
        <f>-'c12_sk'!Q8</f>
        <v>250000</v>
      </c>
      <c r="R56" s="118">
        <f>-'c12_sk'!R8</f>
        <v>250000</v>
      </c>
      <c r="S56" s="118">
        <f>-'c12_sk'!S8</f>
        <v>250000</v>
      </c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</row>
    <row r="57" spans="1:59" s="10" customFormat="1">
      <c r="A57" s="137"/>
      <c r="B57" s="125"/>
      <c r="C57" s="125"/>
      <c r="D57" s="125"/>
      <c r="E57" s="127"/>
      <c r="F57" s="60"/>
      <c r="G57" s="60"/>
      <c r="H57" s="60"/>
      <c r="I57" s="60"/>
      <c r="J57" s="60"/>
      <c r="K57" s="60"/>
      <c r="L57" s="138"/>
      <c r="M57" s="139"/>
      <c r="N57" s="127"/>
      <c r="O57" s="138"/>
      <c r="P57" s="139"/>
      <c r="Q57" s="139"/>
      <c r="R57" s="139"/>
      <c r="S57" s="139"/>
      <c r="T57" s="60"/>
      <c r="U57" s="84"/>
      <c r="V57" s="60"/>
      <c r="W57" s="60"/>
      <c r="X57" s="60"/>
      <c r="Y57" s="60"/>
      <c r="Z57" s="60"/>
      <c r="AA57" s="60"/>
      <c r="AB57" s="60"/>
      <c r="AC57" s="128"/>
      <c r="AD57" s="128"/>
      <c r="AE57" s="129"/>
      <c r="AF57" s="129"/>
      <c r="AG57" s="129"/>
      <c r="AH57" s="129"/>
      <c r="AI57" s="130"/>
      <c r="AJ57" s="127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</row>
    <row r="58" spans="1:59" s="10" customFormat="1">
      <c r="A58" s="140" t="s">
        <v>131</v>
      </c>
      <c r="B58" s="125"/>
      <c r="C58" s="125"/>
      <c r="D58" s="125"/>
      <c r="E58" s="127"/>
      <c r="F58" s="60"/>
      <c r="G58" s="60"/>
      <c r="H58" s="60"/>
      <c r="I58" s="60"/>
      <c r="J58" s="60"/>
      <c r="K58" s="60"/>
      <c r="L58" s="138">
        <f>-'c12_sk'!L9</f>
        <v>0</v>
      </c>
      <c r="M58" s="138">
        <f>-'c12_sk'!M9</f>
        <v>1200000</v>
      </c>
      <c r="N58" s="138">
        <f>-'c12_sk'!N9</f>
        <v>0</v>
      </c>
      <c r="O58" s="138">
        <f>-'c12_sk'!O9</f>
        <v>0</v>
      </c>
      <c r="P58" s="138">
        <f>-'c12_sk'!P9</f>
        <v>0</v>
      </c>
      <c r="Q58" s="138">
        <f>-'c12_sk'!Q9</f>
        <v>0</v>
      </c>
      <c r="R58" s="138">
        <f>-'c12_sk'!R9</f>
        <v>0</v>
      </c>
      <c r="S58" s="138">
        <f>-'c12_sk'!S9</f>
        <v>0</v>
      </c>
      <c r="T58" s="60"/>
      <c r="U58" s="84"/>
      <c r="V58" s="60"/>
      <c r="W58" s="60"/>
      <c r="X58" s="60"/>
      <c r="Y58" s="60"/>
      <c r="Z58" s="60"/>
      <c r="AA58" s="60"/>
      <c r="AB58" s="60"/>
      <c r="AC58" s="128"/>
      <c r="AD58" s="128"/>
      <c r="AE58" s="129"/>
      <c r="AF58" s="129"/>
      <c r="AG58" s="129"/>
      <c r="AH58" s="129"/>
      <c r="AI58" s="130"/>
      <c r="AJ58" s="127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</row>
    <row r="59" spans="1:59" s="7" customFormat="1">
      <c r="A59" s="123" t="s">
        <v>132</v>
      </c>
      <c r="B59" s="124" t="s">
        <v>9</v>
      </c>
      <c r="C59" s="304" t="s">
        <v>133</v>
      </c>
      <c r="D59" s="125"/>
      <c r="E59" s="141">
        <v>-4651000</v>
      </c>
      <c r="F59" s="60"/>
      <c r="G59" s="60"/>
      <c r="H59" s="60"/>
      <c r="I59" s="60"/>
      <c r="J59" s="60"/>
      <c r="K59" s="60"/>
      <c r="L59" s="142">
        <f t="shared" ref="L59:S59" si="16">SUM(L52:L58)</f>
        <v>-1187828.9975000001</v>
      </c>
      <c r="M59" s="142">
        <f t="shared" si="16"/>
        <v>86323.002499999944</v>
      </c>
      <c r="N59" s="142">
        <f t="shared" si="16"/>
        <v>-1151682.9975000001</v>
      </c>
      <c r="O59" s="142">
        <f t="shared" si="16"/>
        <v>-1050950.9975000001</v>
      </c>
      <c r="P59" s="142">
        <f t="shared" si="16"/>
        <v>849347</v>
      </c>
      <c r="Q59" s="142">
        <f t="shared" si="16"/>
        <v>849347</v>
      </c>
      <c r="R59" s="142">
        <f t="shared" si="16"/>
        <v>849347</v>
      </c>
      <c r="S59" s="142">
        <f t="shared" si="16"/>
        <v>849347</v>
      </c>
      <c r="T59" s="60"/>
      <c r="U59" s="84"/>
      <c r="V59" s="60"/>
      <c r="W59" s="60"/>
      <c r="X59" s="60"/>
      <c r="Y59" s="60"/>
      <c r="Z59" s="60"/>
      <c r="AA59" s="60"/>
      <c r="AB59" s="60"/>
      <c r="AC59" s="128"/>
      <c r="AD59" s="128"/>
      <c r="AE59" s="129"/>
      <c r="AF59" s="129"/>
      <c r="AG59" s="129"/>
      <c r="AH59" s="129"/>
      <c r="AI59" s="130"/>
      <c r="AJ59" s="127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</row>
    <row r="60" spans="1:59" s="7" customFormat="1">
      <c r="A60" s="123" t="s">
        <v>134</v>
      </c>
      <c r="B60" s="124" t="s">
        <v>79</v>
      </c>
      <c r="C60" s="304" t="s">
        <v>135</v>
      </c>
      <c r="D60" s="125"/>
      <c r="E60" s="141">
        <v>-1531049</v>
      </c>
      <c r="F60" s="60"/>
      <c r="G60" s="60"/>
      <c r="H60" s="60"/>
      <c r="I60" s="60"/>
      <c r="J60" s="60"/>
      <c r="K60" s="60"/>
      <c r="L60" s="143">
        <f t="shared" ref="L60:S60" si="17">+(L47+L59)</f>
        <v>-596442.81892857142</v>
      </c>
      <c r="M60" s="143">
        <f t="shared" si="17"/>
        <v>677709.18107142858</v>
      </c>
      <c r="N60" s="143">
        <f t="shared" si="17"/>
        <v>-275096.81892857142</v>
      </c>
      <c r="O60" s="143">
        <f t="shared" si="17"/>
        <v>-190054.81892857142</v>
      </c>
      <c r="P60" s="143">
        <f t="shared" si="17"/>
        <v>1677440.7623809525</v>
      </c>
      <c r="Q60" s="143">
        <f t="shared" si="17"/>
        <v>2221402.7648809524</v>
      </c>
      <c r="R60" s="143">
        <f t="shared" si="17"/>
        <v>2149270.1596177947</v>
      </c>
      <c r="S60" s="143">
        <f t="shared" si="17"/>
        <v>3468826.6379072675</v>
      </c>
      <c r="T60" s="60"/>
      <c r="U60" s="84"/>
      <c r="V60" s="60"/>
      <c r="W60" s="60"/>
      <c r="X60" s="60"/>
      <c r="Y60" s="60"/>
      <c r="Z60" s="60"/>
      <c r="AA60" s="60"/>
      <c r="AB60" s="60"/>
      <c r="AC60" s="128"/>
      <c r="AD60" s="128"/>
      <c r="AE60" s="129"/>
      <c r="AF60" s="129"/>
      <c r="AG60" s="129"/>
      <c r="AH60" s="129"/>
      <c r="AI60" s="130"/>
      <c r="AJ60" s="127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</row>
    <row r="61" spans="1:59" s="13" customFormat="1" ht="15" customHeight="1" thickBot="1">
      <c r="A61" s="123" t="s">
        <v>136</v>
      </c>
      <c r="B61" s="124" t="s">
        <v>25</v>
      </c>
      <c r="C61" s="124" t="s">
        <v>137</v>
      </c>
      <c r="D61" s="125"/>
      <c r="E61" s="143"/>
      <c r="F61" s="60"/>
      <c r="G61" s="60"/>
      <c r="H61" s="60"/>
      <c r="I61" s="60"/>
      <c r="J61" s="60"/>
      <c r="K61" s="60"/>
      <c r="L61" s="144"/>
      <c r="M61" s="144"/>
      <c r="N61" s="144"/>
      <c r="O61" s="144"/>
      <c r="P61" s="144">
        <v>1540999</v>
      </c>
      <c r="Q61" s="144"/>
      <c r="R61" s="144"/>
      <c r="S61" s="144"/>
      <c r="T61" s="60"/>
      <c r="U61" s="84"/>
      <c r="V61" s="60"/>
      <c r="W61" s="60"/>
      <c r="X61" s="60"/>
      <c r="Y61" s="60"/>
      <c r="Z61" s="60"/>
      <c r="AA61" s="60"/>
      <c r="AB61" s="60"/>
      <c r="AC61" s="128"/>
      <c r="AD61" s="128"/>
      <c r="AE61" s="129"/>
      <c r="AF61" s="129"/>
      <c r="AG61" s="129"/>
      <c r="AH61" s="129"/>
      <c r="AI61" s="130"/>
      <c r="AJ61" s="127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</row>
    <row r="62" spans="1:59" s="50" customFormat="1" ht="15.5" customHeight="1" thickTop="1" thickBot="1">
      <c r="A62" s="123" t="s">
        <v>138</v>
      </c>
      <c r="B62" s="124" t="s">
        <v>9</v>
      </c>
      <c r="C62" s="124" t="s">
        <v>36</v>
      </c>
      <c r="D62" s="125"/>
      <c r="E62" s="145">
        <v>-1540999</v>
      </c>
      <c r="F62" s="60"/>
      <c r="G62" s="60"/>
      <c r="H62" s="60"/>
      <c r="I62" s="60"/>
      <c r="J62" s="60"/>
      <c r="K62" s="60"/>
      <c r="L62" s="146">
        <f>MIN(L60+E62+L61,0)</f>
        <v>-2137441.8189285714</v>
      </c>
      <c r="M62" s="146">
        <f t="shared" ref="M62:S62" si="18">MIN(M60+L62+M61,0)</f>
        <v>-1459732.6378571428</v>
      </c>
      <c r="N62" s="146">
        <f t="shared" si="18"/>
        <v>-1734829.4567857143</v>
      </c>
      <c r="O62" s="146">
        <f t="shared" si="18"/>
        <v>-1924884.2757142857</v>
      </c>
      <c r="P62" s="146">
        <f t="shared" si="18"/>
        <v>0</v>
      </c>
      <c r="Q62" s="146">
        <f t="shared" si="18"/>
        <v>0</v>
      </c>
      <c r="R62" s="146">
        <f t="shared" si="18"/>
        <v>0</v>
      </c>
      <c r="S62" s="146">
        <f t="shared" si="18"/>
        <v>0</v>
      </c>
      <c r="T62" s="60"/>
      <c r="U62" s="84"/>
      <c r="V62" s="60"/>
      <c r="W62" s="60"/>
      <c r="X62" s="60"/>
      <c r="Y62" s="60"/>
      <c r="Z62" s="60"/>
      <c r="AA62" s="60"/>
      <c r="AB62" s="60"/>
      <c r="AC62" s="128"/>
      <c r="AD62" s="128"/>
      <c r="AE62" s="129"/>
      <c r="AF62" s="129"/>
      <c r="AG62" s="129"/>
      <c r="AH62" s="129"/>
      <c r="AI62" s="130"/>
      <c r="AJ62" s="127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</row>
    <row r="63" spans="1:59" ht="15" customHeight="1" thickTop="1">
      <c r="A63" s="60"/>
      <c r="B63" s="81"/>
      <c r="C63" s="81"/>
      <c r="D63" s="81"/>
      <c r="E63" s="147"/>
      <c r="F63" s="60"/>
      <c r="G63" s="60"/>
      <c r="H63" s="60"/>
      <c r="I63" s="60"/>
      <c r="J63" s="60"/>
      <c r="K63" s="60"/>
      <c r="L63" s="147"/>
      <c r="M63" s="147"/>
      <c r="N63" s="147"/>
      <c r="O63" s="147"/>
      <c r="P63" s="147"/>
      <c r="Q63" s="147"/>
      <c r="R63" s="147"/>
      <c r="S63" s="147"/>
      <c r="T63" s="60"/>
      <c r="U63" s="84"/>
      <c r="V63" s="60"/>
      <c r="W63" s="60"/>
      <c r="X63" s="60"/>
      <c r="Y63" s="60"/>
      <c r="Z63" s="60"/>
      <c r="AA63" s="60"/>
      <c r="AB63" s="60"/>
      <c r="AC63" s="122"/>
      <c r="AD63" s="122"/>
      <c r="AE63" s="148"/>
      <c r="AF63" s="148"/>
      <c r="AG63" s="148"/>
      <c r="AH63" s="148"/>
      <c r="AI63" s="149"/>
      <c r="AJ63" s="147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</row>
    <row r="64" spans="1:59">
      <c r="A64" s="72" t="s">
        <v>139</v>
      </c>
      <c r="B64" s="81"/>
      <c r="C64" s="81"/>
      <c r="D64" s="81"/>
      <c r="E64" s="118"/>
      <c r="F64" s="60"/>
      <c r="G64" s="60"/>
      <c r="H64" s="60"/>
      <c r="I64" s="60"/>
      <c r="J64" s="60"/>
      <c r="K64" s="60"/>
      <c r="L64" s="118"/>
      <c r="M64" s="118"/>
      <c r="N64" s="118"/>
      <c r="O64" s="118"/>
      <c r="P64" s="118"/>
      <c r="Q64" s="118"/>
      <c r="R64" s="118"/>
      <c r="S64" s="118"/>
      <c r="T64" s="60"/>
      <c r="U64" s="84"/>
      <c r="V64" s="60"/>
      <c r="W64" s="60"/>
      <c r="X64" s="60"/>
      <c r="Y64" s="60"/>
      <c r="Z64" s="60"/>
      <c r="AA64" s="60"/>
      <c r="AB64" s="60"/>
      <c r="AC64" s="122"/>
      <c r="AD64" s="122"/>
      <c r="AE64" s="148"/>
      <c r="AF64" s="148"/>
      <c r="AG64" s="148"/>
      <c r="AH64" s="148"/>
      <c r="AI64" s="149"/>
      <c r="AJ64" s="147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</row>
    <row r="65" spans="1:59">
      <c r="A65" s="72" t="s">
        <v>84</v>
      </c>
      <c r="B65" s="81"/>
      <c r="C65" s="81"/>
      <c r="D65" s="81"/>
      <c r="E65" s="118"/>
      <c r="F65" s="60"/>
      <c r="G65" s="60"/>
      <c r="H65" s="60"/>
      <c r="I65" s="60"/>
      <c r="J65" s="60"/>
      <c r="K65" s="60"/>
      <c r="L65" s="118">
        <f>-'c12_hm'!L62</f>
        <v>113077.75</v>
      </c>
      <c r="M65" s="118">
        <f>-'c12_hm'!M62</f>
        <v>226155.5</v>
      </c>
      <c r="N65" s="118">
        <f>-'c12_hm'!N62</f>
        <v>339233.25</v>
      </c>
      <c r="O65" s="118">
        <f>-'c12_hm'!O62</f>
        <v>563661</v>
      </c>
      <c r="P65" s="118">
        <f>-'c12_hm'!P62</f>
        <v>1162988.5925</v>
      </c>
      <c r="Q65" s="118">
        <f>-'c12_hm'!Q62</f>
        <v>1170394.6850000001</v>
      </c>
      <c r="R65" s="118">
        <f>-'c12_hm'!R62</f>
        <v>1177800.7775000001</v>
      </c>
      <c r="S65" s="118">
        <f>-'c12_hm'!S62</f>
        <v>16206.870000000112</v>
      </c>
      <c r="T65" s="60"/>
      <c r="U65" s="84"/>
      <c r="V65" s="60"/>
      <c r="W65" s="60"/>
      <c r="X65" s="60"/>
      <c r="Y65" s="60"/>
      <c r="Z65" s="60"/>
      <c r="AA65" s="60"/>
      <c r="AB65" s="60"/>
      <c r="AC65" s="122"/>
      <c r="AD65" s="122"/>
      <c r="AE65" s="148"/>
      <c r="AF65" s="148"/>
      <c r="AG65" s="148"/>
      <c r="AH65" s="148"/>
      <c r="AI65" s="149"/>
      <c r="AJ65" s="147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</row>
    <row r="66" spans="1:59">
      <c r="A66" s="72" t="s">
        <v>85</v>
      </c>
      <c r="B66" s="81"/>
      <c r="C66" s="81"/>
      <c r="D66" s="81"/>
      <c r="E66" s="118"/>
      <c r="F66" s="60"/>
      <c r="G66" s="60"/>
      <c r="H66" s="60"/>
      <c r="I66" s="60"/>
      <c r="J66" s="60"/>
      <c r="K66" s="60"/>
      <c r="L66" s="118">
        <f>'c12_bi&amp;F'!L62</f>
        <v>0</v>
      </c>
      <c r="M66" s="118">
        <f>'c12_bi&amp;F'!M62</f>
        <v>0</v>
      </c>
      <c r="N66" s="118">
        <f>'c12_bi&amp;F'!N62</f>
        <v>0</v>
      </c>
      <c r="O66" s="118">
        <f>'c12_bi&amp;F'!O62</f>
        <v>0</v>
      </c>
      <c r="P66" s="118">
        <f>'c12_bi&amp;F'!P62</f>
        <v>0</v>
      </c>
      <c r="Q66" s="118">
        <f>'c12_bi&amp;F'!Q62</f>
        <v>0</v>
      </c>
      <c r="R66" s="118">
        <f>'c12_bi&amp;F'!R62</f>
        <v>0</v>
      </c>
      <c r="S66" s="118">
        <f>'c12_bi&amp;F'!S62</f>
        <v>0</v>
      </c>
      <c r="T66" s="60"/>
      <c r="U66" s="84"/>
      <c r="V66" s="60"/>
      <c r="W66" s="60"/>
      <c r="X66" s="60"/>
      <c r="Y66" s="60"/>
      <c r="Z66" s="60"/>
      <c r="AA66" s="60"/>
      <c r="AB66" s="60"/>
      <c r="AC66" s="122"/>
      <c r="AD66" s="122"/>
      <c r="AE66" s="148"/>
      <c r="AF66" s="148"/>
      <c r="AG66" s="148"/>
      <c r="AH66" s="148"/>
      <c r="AI66" s="149"/>
      <c r="AJ66" s="147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</row>
    <row r="67" spans="1:59" ht="15" customHeight="1" thickBot="1">
      <c r="A67" s="72" t="s">
        <v>140</v>
      </c>
      <c r="B67" s="81"/>
      <c r="C67" s="81"/>
      <c r="D67" s="81"/>
      <c r="E67" s="118"/>
      <c r="F67" s="60"/>
      <c r="G67" s="60"/>
      <c r="H67" s="60"/>
      <c r="I67" s="60"/>
      <c r="J67" s="60"/>
      <c r="K67" s="60"/>
      <c r="L67" s="118">
        <f>-'c12_d&amp;s'!L62</f>
        <v>302954.75</v>
      </c>
      <c r="M67" s="118">
        <f>-'c12_d&amp;s'!M62</f>
        <v>2855909.5</v>
      </c>
      <c r="N67" s="118">
        <f>-'c12_d&amp;s'!N62</f>
        <v>4033864.25</v>
      </c>
      <c r="O67" s="118">
        <f>-'c12_d&amp;s'!O62</f>
        <v>4801819</v>
      </c>
      <c r="P67" s="118">
        <f>-'c12_d&amp;s'!P62</f>
        <v>4957879.68</v>
      </c>
      <c r="Q67" s="118">
        <f>-'c12_d&amp;s'!Q62</f>
        <v>4470379.68</v>
      </c>
      <c r="R67" s="118">
        <f>-'c12_d&amp;s'!R62</f>
        <v>4201060.68</v>
      </c>
      <c r="S67" s="118">
        <f>-'c12_d&amp;s'!S62</f>
        <v>4929060.68</v>
      </c>
      <c r="T67" s="60"/>
      <c r="U67" s="84"/>
      <c r="V67" s="60"/>
      <c r="W67" s="60"/>
      <c r="X67" s="60"/>
      <c r="Y67" s="60"/>
      <c r="Z67" s="60"/>
      <c r="AA67" s="60"/>
      <c r="AB67" s="60"/>
      <c r="AC67" s="122"/>
      <c r="AD67" s="122"/>
      <c r="AE67" s="148"/>
      <c r="AF67" s="148"/>
      <c r="AG67" s="148"/>
      <c r="AH67" s="148"/>
      <c r="AI67" s="149"/>
      <c r="AJ67" s="147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</row>
    <row r="68" spans="1:59" s="48" customFormat="1" ht="15.5" customHeight="1" thickTop="1" thickBot="1">
      <c r="A68" s="100" t="s">
        <v>78</v>
      </c>
      <c r="B68" s="93" t="s">
        <v>9</v>
      </c>
      <c r="C68" s="93" t="s">
        <v>38</v>
      </c>
      <c r="D68" s="81"/>
      <c r="E68" s="150"/>
      <c r="F68" s="60"/>
      <c r="G68" s="60"/>
      <c r="H68" s="60"/>
      <c r="I68" s="60"/>
      <c r="J68" s="60"/>
      <c r="K68" s="60"/>
      <c r="L68" s="151">
        <f t="shared" ref="L68:S68" si="19">SUM(L65:L67)</f>
        <v>416032.5</v>
      </c>
      <c r="M68" s="151">
        <f t="shared" si="19"/>
        <v>3082065</v>
      </c>
      <c r="N68" s="151">
        <f t="shared" si="19"/>
        <v>4373097.5</v>
      </c>
      <c r="O68" s="151">
        <f t="shared" si="19"/>
        <v>5365480</v>
      </c>
      <c r="P68" s="151">
        <f t="shared" si="19"/>
        <v>6120868.2725</v>
      </c>
      <c r="Q68" s="151">
        <f t="shared" si="19"/>
        <v>5640774.3650000002</v>
      </c>
      <c r="R68" s="151">
        <f t="shared" si="19"/>
        <v>5378861.4574999996</v>
      </c>
      <c r="S68" s="151">
        <f t="shared" si="19"/>
        <v>4945267.55</v>
      </c>
      <c r="T68" s="60"/>
      <c r="U68" s="84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</row>
    <row r="69" spans="1:59" ht="15" customHeight="1" thickTop="1">
      <c r="A69" s="152"/>
      <c r="B69" s="81"/>
      <c r="C69" s="81"/>
      <c r="D69" s="81"/>
      <c r="E69" s="118"/>
      <c r="F69" s="60"/>
      <c r="G69" s="60"/>
      <c r="H69" s="60"/>
      <c r="I69" s="60"/>
      <c r="J69" s="60"/>
      <c r="K69" s="60"/>
      <c r="L69" s="118"/>
      <c r="M69" s="118"/>
      <c r="N69" s="118"/>
      <c r="O69" s="118"/>
      <c r="P69" s="118"/>
      <c r="Q69" s="118"/>
      <c r="R69" s="118"/>
      <c r="S69" s="118"/>
      <c r="T69" s="60"/>
      <c r="U69" s="84"/>
      <c r="V69" s="60"/>
      <c r="W69" s="60"/>
      <c r="X69" s="60"/>
      <c r="Y69" s="60"/>
      <c r="Z69" s="60"/>
      <c r="AA69" s="60"/>
      <c r="AB69" s="60"/>
      <c r="AC69" s="122"/>
      <c r="AD69" s="122"/>
      <c r="AE69" s="148"/>
      <c r="AF69" s="148"/>
      <c r="AG69" s="148"/>
      <c r="AH69" s="148"/>
      <c r="AI69" s="148"/>
      <c r="AJ69" s="149"/>
      <c r="AK69" s="147"/>
      <c r="AL69" s="91"/>
      <c r="AM69" s="91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</row>
    <row r="70" spans="1:59">
      <c r="A70" s="93" t="s">
        <v>141</v>
      </c>
      <c r="B70" s="81"/>
      <c r="C70" s="81"/>
      <c r="D70" s="81"/>
      <c r="E70" s="118"/>
      <c r="F70" s="60"/>
      <c r="G70" s="60"/>
      <c r="H70" s="60"/>
      <c r="I70" s="60"/>
      <c r="J70" s="60"/>
      <c r="K70" s="60"/>
      <c r="L70" s="118"/>
      <c r="M70" s="118"/>
      <c r="N70" s="118"/>
      <c r="O70" s="118"/>
      <c r="P70" s="118"/>
      <c r="Q70" s="118"/>
      <c r="R70" s="118"/>
      <c r="S70" s="118"/>
      <c r="T70" s="60"/>
      <c r="U70" s="84"/>
      <c r="V70" s="60"/>
      <c r="W70" s="60"/>
      <c r="X70" s="60"/>
      <c r="Y70" s="60"/>
      <c r="Z70" s="60"/>
      <c r="AA70" s="60"/>
      <c r="AB70" s="60"/>
      <c r="AC70" s="122"/>
      <c r="AD70" s="122"/>
      <c r="AE70" s="148"/>
      <c r="AF70" s="148"/>
      <c r="AG70" s="148"/>
      <c r="AH70" s="148"/>
      <c r="AI70" s="148"/>
      <c r="AJ70" s="149"/>
      <c r="AK70" s="147"/>
      <c r="AL70" s="91"/>
      <c r="AM70" s="91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</row>
    <row r="71" spans="1:59">
      <c r="A71" s="72" t="s">
        <v>84</v>
      </c>
      <c r="B71" s="81"/>
      <c r="C71" s="81"/>
      <c r="D71" s="81"/>
      <c r="E71" s="118"/>
      <c r="F71" s="60"/>
      <c r="G71" s="60"/>
      <c r="H71" s="60"/>
      <c r="I71" s="60"/>
      <c r="J71" s="60"/>
      <c r="K71" s="60"/>
      <c r="L71" s="118">
        <f>+'c12_hm'!L74</f>
        <v>113077.75</v>
      </c>
      <c r="M71" s="118">
        <f>+'c12_hm'!M74</f>
        <v>226155.5</v>
      </c>
      <c r="N71" s="118">
        <f>+'c12_hm'!N74</f>
        <v>339233.25</v>
      </c>
      <c r="O71" s="118">
        <f>+'c12_hm'!O74</f>
        <v>563661</v>
      </c>
      <c r="P71" s="118">
        <f>+'c12_hm'!P74</f>
        <v>740925.65737499995</v>
      </c>
      <c r="Q71" s="118">
        <f>+'c12_hm'!Q74</f>
        <v>583052.45224999997</v>
      </c>
      <c r="R71" s="118">
        <f>+'c12_hm'!R74</f>
        <v>425179.24712499999</v>
      </c>
      <c r="S71" s="118">
        <f>+'c12_hm'!S74</f>
        <v>18621.379500000039</v>
      </c>
      <c r="T71" s="60"/>
      <c r="U71" s="84"/>
      <c r="V71" s="60"/>
      <c r="W71" s="60"/>
      <c r="X71" s="60"/>
      <c r="Y71" s="60"/>
      <c r="Z71" s="60"/>
      <c r="AA71" s="60"/>
      <c r="AB71" s="60"/>
      <c r="AC71" s="122"/>
      <c r="AD71" s="122"/>
      <c r="AE71" s="148"/>
      <c r="AF71" s="148"/>
      <c r="AG71" s="148"/>
      <c r="AH71" s="148"/>
      <c r="AI71" s="148"/>
      <c r="AJ71" s="149"/>
      <c r="AK71" s="147"/>
      <c r="AL71" s="91"/>
      <c r="AM71" s="91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</row>
    <row r="72" spans="1:59">
      <c r="A72" s="72" t="s">
        <v>142</v>
      </c>
      <c r="B72" s="81"/>
      <c r="C72" s="81"/>
      <c r="D72" s="81"/>
      <c r="E72" s="118"/>
      <c r="F72" s="60"/>
      <c r="G72" s="60"/>
      <c r="H72" s="60"/>
      <c r="I72" s="60"/>
      <c r="J72" s="60"/>
      <c r="K72" s="60"/>
      <c r="L72" s="118">
        <f>'c12_bi&amp;F'!L74</f>
        <v>0</v>
      </c>
      <c r="M72" s="118">
        <f>'c12_bi&amp;F'!M74</f>
        <v>0</v>
      </c>
      <c r="N72" s="118">
        <f>'c12_bi&amp;F'!N74</f>
        <v>0</v>
      </c>
      <c r="O72" s="118">
        <f>'c12_bi&amp;F'!O74</f>
        <v>0</v>
      </c>
      <c r="P72" s="118">
        <f>'c12_bi&amp;F'!P74</f>
        <v>0</v>
      </c>
      <c r="Q72" s="118">
        <f>'c12_bi&amp;F'!Q74</f>
        <v>0</v>
      </c>
      <c r="R72" s="118">
        <f>'c12_bi&amp;F'!R74</f>
        <v>0</v>
      </c>
      <c r="S72" s="118">
        <f>'c12_bi&amp;F'!S74</f>
        <v>0</v>
      </c>
      <c r="T72" s="60"/>
      <c r="U72" s="84"/>
      <c r="V72" s="60"/>
      <c r="W72" s="60"/>
      <c r="X72" s="60"/>
      <c r="Y72" s="60"/>
      <c r="Z72" s="60"/>
      <c r="AA72" s="60"/>
      <c r="AB72" s="60"/>
      <c r="AC72" s="122"/>
      <c r="AD72" s="122"/>
      <c r="AE72" s="148"/>
      <c r="AF72" s="148"/>
      <c r="AG72" s="148"/>
      <c r="AH72" s="148"/>
      <c r="AI72" s="148"/>
      <c r="AJ72" s="149"/>
      <c r="AK72" s="147"/>
      <c r="AL72" s="91"/>
      <c r="AM72" s="91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</row>
    <row r="73" spans="1:59" ht="15" customHeight="1" thickBot="1">
      <c r="A73" s="72" t="s">
        <v>140</v>
      </c>
      <c r="B73" s="81"/>
      <c r="C73" s="81"/>
      <c r="D73" s="81"/>
      <c r="E73" s="110"/>
      <c r="F73" s="60"/>
      <c r="G73" s="60"/>
      <c r="H73" s="60"/>
      <c r="I73" s="60"/>
      <c r="J73" s="60"/>
      <c r="K73" s="60"/>
      <c r="L73" s="110">
        <f>'c12_d&amp;s'!L74</f>
        <v>151477.375</v>
      </c>
      <c r="M73" s="110">
        <f>'c12_d&amp;s'!M74</f>
        <v>1427954.75</v>
      </c>
      <c r="N73" s="110">
        <f>'c12_d&amp;s'!N74</f>
        <v>2016932.125</v>
      </c>
      <c r="O73" s="110">
        <f>'c12_d&amp;s'!O74</f>
        <v>2400909.5</v>
      </c>
      <c r="P73" s="110">
        <f>'c12_d&amp;s'!P74</f>
        <v>2229233.6399999997</v>
      </c>
      <c r="Q73" s="110">
        <f>'c12_d&amp;s'!Q74</f>
        <v>1881983.6399999997</v>
      </c>
      <c r="R73" s="110">
        <f>'c12_d&amp;s'!R74</f>
        <v>1597324.1399999997</v>
      </c>
      <c r="S73" s="110">
        <f>'c12_d&amp;s'!S74</f>
        <v>1646324.1399999997</v>
      </c>
      <c r="T73" s="110"/>
      <c r="U73" s="84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118"/>
      <c r="AL73" s="118"/>
      <c r="AM73" s="118"/>
      <c r="AN73" s="118"/>
      <c r="AO73" s="118"/>
      <c r="AP73" s="118"/>
      <c r="AQ73" s="118"/>
      <c r="AR73" s="118"/>
      <c r="AS73" s="118"/>
      <c r="AT73" s="60"/>
      <c r="AU73" s="118"/>
      <c r="AV73" s="118"/>
      <c r="AW73" s="118"/>
      <c r="AX73" s="118"/>
      <c r="AY73" s="118"/>
      <c r="AZ73" s="118"/>
      <c r="BA73" s="118"/>
      <c r="BB73" s="60"/>
      <c r="BC73" s="60"/>
      <c r="BD73" s="60"/>
      <c r="BE73" s="60"/>
      <c r="BF73" s="60"/>
      <c r="BG73" s="60"/>
    </row>
    <row r="74" spans="1:59" s="48" customFormat="1" ht="15.5" customHeight="1" thickTop="1" thickBot="1">
      <c r="A74" s="100" t="s">
        <v>78</v>
      </c>
      <c r="B74" s="93" t="s">
        <v>9</v>
      </c>
      <c r="C74" s="93" t="s">
        <v>40</v>
      </c>
      <c r="D74" s="81"/>
      <c r="E74" s="153"/>
      <c r="F74" s="60"/>
      <c r="G74" s="60"/>
      <c r="H74" s="60"/>
      <c r="I74" s="60"/>
      <c r="J74" s="60"/>
      <c r="K74" s="60"/>
      <c r="L74" s="154">
        <f t="shared" ref="L74:S74" si="20">SUM(L71:L73)</f>
        <v>264555.125</v>
      </c>
      <c r="M74" s="154">
        <f t="shared" si="20"/>
        <v>1654110.25</v>
      </c>
      <c r="N74" s="154">
        <f t="shared" si="20"/>
        <v>2356165.375</v>
      </c>
      <c r="O74" s="154">
        <f t="shared" si="20"/>
        <v>2964570.5</v>
      </c>
      <c r="P74" s="154">
        <f t="shared" si="20"/>
        <v>2970159.2973749996</v>
      </c>
      <c r="Q74" s="154">
        <f t="shared" si="20"/>
        <v>2465036.0922499998</v>
      </c>
      <c r="R74" s="154">
        <f t="shared" si="20"/>
        <v>2022503.3871249997</v>
      </c>
      <c r="S74" s="154">
        <f t="shared" si="20"/>
        <v>1664945.5194999997</v>
      </c>
      <c r="T74" s="60"/>
      <c r="U74" s="84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118"/>
      <c r="AN74" s="118"/>
      <c r="AO74" s="118"/>
      <c r="AP74" s="118"/>
      <c r="AQ74" s="118"/>
      <c r="AR74" s="118"/>
      <c r="AS74" s="118"/>
      <c r="AT74" s="60"/>
      <c r="AU74" s="118"/>
      <c r="AV74" s="118"/>
      <c r="AW74" s="118"/>
      <c r="AX74" s="118"/>
      <c r="AY74" s="118"/>
      <c r="AZ74" s="118"/>
      <c r="BA74" s="118"/>
      <c r="BB74" s="60"/>
      <c r="BC74" s="60"/>
      <c r="BD74" s="60"/>
      <c r="BE74" s="60"/>
      <c r="BF74" s="60"/>
      <c r="BG74" s="60"/>
    </row>
    <row r="75" spans="1:59" ht="15" customHeight="1" thickTop="1">
      <c r="A75" s="152"/>
      <c r="B75" s="81"/>
      <c r="C75" s="81"/>
      <c r="D75" s="81"/>
      <c r="E75" s="110"/>
      <c r="F75" s="60"/>
      <c r="G75" s="60"/>
      <c r="H75" s="60"/>
      <c r="I75" s="60"/>
      <c r="J75" s="60"/>
      <c r="K75" s="60"/>
      <c r="L75" s="110"/>
      <c r="M75" s="110"/>
      <c r="N75" s="110"/>
      <c r="O75" s="110"/>
      <c r="P75" s="110"/>
      <c r="Q75" s="110"/>
      <c r="R75" s="110"/>
      <c r="S75" s="110"/>
      <c r="T75" s="60"/>
      <c r="U75" s="84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118"/>
      <c r="AN75" s="118"/>
      <c r="AO75" s="118"/>
      <c r="AP75" s="118"/>
      <c r="AQ75" s="118"/>
      <c r="AR75" s="118"/>
      <c r="AS75" s="118"/>
      <c r="AT75" s="60"/>
      <c r="AU75" s="118"/>
      <c r="AV75" s="118"/>
      <c r="AW75" s="118"/>
      <c r="AX75" s="118"/>
      <c r="AY75" s="118"/>
      <c r="AZ75" s="118"/>
      <c r="BA75" s="118"/>
      <c r="BB75" s="60"/>
      <c r="BC75" s="60"/>
      <c r="BD75" s="60"/>
      <c r="BE75" s="60"/>
      <c r="BF75" s="60"/>
      <c r="BG75" s="60"/>
    </row>
    <row r="76" spans="1:59">
      <c r="A76" s="152"/>
      <c r="B76" s="81"/>
      <c r="C76" s="81"/>
      <c r="D76" s="81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110"/>
      <c r="P76" s="110"/>
      <c r="Q76" s="110"/>
      <c r="R76" s="110"/>
      <c r="S76" s="110"/>
      <c r="T76" s="60"/>
      <c r="U76" s="60"/>
      <c r="V76" s="60"/>
      <c r="W76" s="60"/>
      <c r="X76" s="60"/>
      <c r="Y76" s="84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118"/>
      <c r="AR76" s="118"/>
      <c r="AS76" s="118"/>
      <c r="AT76" s="118"/>
      <c r="AU76" s="118"/>
      <c r="AV76" s="118"/>
      <c r="AW76" s="118"/>
      <c r="AX76" s="60"/>
      <c r="AY76" s="118"/>
      <c r="AZ76" s="118"/>
      <c r="BA76" s="118"/>
      <c r="BB76" s="118"/>
      <c r="BC76" s="118"/>
      <c r="BD76" s="118"/>
      <c r="BE76" s="118"/>
      <c r="BF76" s="60"/>
      <c r="BG76" s="60"/>
    </row>
    <row r="77" spans="1:59">
      <c r="A77" s="93" t="s">
        <v>143</v>
      </c>
      <c r="B77" s="81"/>
      <c r="C77" s="81"/>
      <c r="D77" s="81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110"/>
      <c r="P77" s="110"/>
      <c r="Q77" s="110"/>
      <c r="R77" s="110"/>
      <c r="S77" s="110"/>
      <c r="T77" s="60"/>
      <c r="U77" s="60"/>
      <c r="V77" s="60"/>
      <c r="W77" s="60"/>
      <c r="X77" s="60"/>
      <c r="Y77" s="84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118"/>
      <c r="AR77" s="118"/>
      <c r="AS77" s="118"/>
      <c r="AT77" s="118"/>
      <c r="AU77" s="118"/>
      <c r="AV77" s="118"/>
      <c r="AW77" s="118"/>
      <c r="AX77" s="60"/>
      <c r="AY77" s="118"/>
      <c r="AZ77" s="118"/>
      <c r="BA77" s="118"/>
      <c r="BB77" s="118"/>
      <c r="BC77" s="118"/>
      <c r="BD77" s="118"/>
      <c r="BE77" s="118"/>
      <c r="BF77" s="60"/>
      <c r="BG77" s="60"/>
    </row>
    <row r="78" spans="1:59" s="11" customFormat="1" ht="14.65" customHeight="1">
      <c r="A78" s="118" t="str">
        <f>'.c12_oc_hr'!A30</f>
        <v>Grand Total</v>
      </c>
      <c r="B78" s="155"/>
      <c r="C78" s="155"/>
      <c r="D78" s="155"/>
      <c r="E78" s="118"/>
      <c r="F78" s="60"/>
      <c r="G78" s="60"/>
      <c r="H78" s="60"/>
      <c r="I78" s="60"/>
      <c r="J78" s="60"/>
      <c r="K78" s="60"/>
      <c r="L78" s="118">
        <f>'.c12_oc_hr'!L30</f>
        <v>504471.42857142858</v>
      </c>
      <c r="M78" s="118">
        <f>'.c12_oc_hr'!M30</f>
        <v>504471.42857142858</v>
      </c>
      <c r="N78" s="118">
        <f>'.c12_oc_hr'!N30</f>
        <v>504471.42857142858</v>
      </c>
      <c r="O78" s="118">
        <f>'.c12_oc_hr'!O30</f>
        <v>514861.42857142858</v>
      </c>
      <c r="P78" s="118">
        <f>'.c12_oc_hr'!P30</f>
        <v>863260.57142857136</v>
      </c>
      <c r="Q78" s="118">
        <f>'.c12_oc_hr'!Q30</f>
        <v>441380.57142857142</v>
      </c>
      <c r="R78" s="118">
        <f>'.c12_oc_hr'!R30</f>
        <v>441380.57142857142</v>
      </c>
      <c r="S78" s="118">
        <f>'.c12_oc_hr'!S30</f>
        <v>981660.57142857136</v>
      </c>
      <c r="T78" s="116"/>
      <c r="U78" s="156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</row>
    <row r="79" spans="1:59" s="11" customFormat="1" ht="14.65" customHeight="1">
      <c r="A79" s="118" t="str">
        <f>'.c12_oc_hr'!A31</f>
        <v>reimbersable to hotel</v>
      </c>
      <c r="B79" s="155"/>
      <c r="C79" s="155"/>
      <c r="D79" s="155"/>
      <c r="E79" s="118"/>
      <c r="F79" s="60"/>
      <c r="G79" s="60"/>
      <c r="H79" s="60"/>
      <c r="I79" s="60"/>
      <c r="J79" s="60"/>
      <c r="K79" s="60"/>
      <c r="L79" s="118">
        <f>'.c12_oc_hr'!L31</f>
        <v>0</v>
      </c>
      <c r="M79" s="118">
        <f>'.c12_oc_hr'!M31</f>
        <v>0</v>
      </c>
      <c r="N79" s="118">
        <f>'.c12_oc_hr'!N31</f>
        <v>0</v>
      </c>
      <c r="O79" s="118">
        <f>'.c12_oc_hr'!O31</f>
        <v>0</v>
      </c>
      <c r="P79" s="118">
        <f>'.c12_oc_hr'!P31</f>
        <v>0</v>
      </c>
      <c r="Q79" s="118">
        <f>'.c12_oc_hr'!Q31</f>
        <v>0</v>
      </c>
      <c r="R79" s="118">
        <f>'.c12_oc_hr'!R31</f>
        <v>0</v>
      </c>
      <c r="S79" s="118">
        <f>'.c12_oc_hr'!S31</f>
        <v>0</v>
      </c>
      <c r="T79" s="116"/>
      <c r="U79" s="156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</row>
    <row r="80" spans="1:59" s="11" customFormat="1">
      <c r="A80" s="118" t="str">
        <f>'.c12_oc_hr'!A32</f>
        <v>not reimbersable by hotel, but paid by lgh</v>
      </c>
      <c r="B80" s="155"/>
      <c r="C80" s="155"/>
      <c r="D80" s="155"/>
      <c r="E80" s="118"/>
      <c r="F80" s="60"/>
      <c r="G80" s="60"/>
      <c r="H80" s="60"/>
      <c r="I80" s="60"/>
      <c r="J80" s="60"/>
      <c r="K80" s="60"/>
      <c r="L80" s="118">
        <f>'.c12_oc_hr'!L32</f>
        <v>472542.85714285716</v>
      </c>
      <c r="M80" s="118">
        <f>'.c12_oc_hr'!M32</f>
        <v>472542.85714285716</v>
      </c>
      <c r="N80" s="118">
        <f>'.c12_oc_hr'!N32</f>
        <v>472542.85714285716</v>
      </c>
      <c r="O80" s="118">
        <f>'.c12_oc_hr'!O32</f>
        <v>472542.85714285716</v>
      </c>
      <c r="P80" s="118">
        <f>'.c12_oc_hr'!P32</f>
        <v>805022.85714285716</v>
      </c>
      <c r="Q80" s="118">
        <f>'.c12_oc_hr'!Q32</f>
        <v>383142.85714285716</v>
      </c>
      <c r="R80" s="118">
        <f>'.c12_oc_hr'!R32</f>
        <v>383142.85714285716</v>
      </c>
      <c r="S80" s="118">
        <f>'.c12_oc_hr'!S32</f>
        <v>902642.85714285704</v>
      </c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104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</row>
    <row r="81" spans="1:59" s="11" customFormat="1">
      <c r="A81" s="118" t="str">
        <f>'.c12_oc_hr'!A33</f>
        <v>only paid by c12</v>
      </c>
      <c r="B81" s="155"/>
      <c r="C81" s="155"/>
      <c r="D81" s="155"/>
      <c r="E81" s="118"/>
      <c r="F81" s="60"/>
      <c r="G81" s="60"/>
      <c r="H81" s="60"/>
      <c r="I81" s="60"/>
      <c r="J81" s="60"/>
      <c r="K81" s="60"/>
      <c r="L81" s="118">
        <f>'.c12_oc_hr'!L33</f>
        <v>31928.571428571431</v>
      </c>
      <c r="M81" s="118">
        <f>'.c12_oc_hr'!M33</f>
        <v>31928.571428571431</v>
      </c>
      <c r="N81" s="118">
        <f>'.c12_oc_hr'!N33</f>
        <v>31928.571428571431</v>
      </c>
      <c r="O81" s="118">
        <f>'.c12_oc_hr'!O33</f>
        <v>42318.571428571435</v>
      </c>
      <c r="P81" s="118">
        <f>'.c12_oc_hr'!P33</f>
        <v>58237.71428571429</v>
      </c>
      <c r="Q81" s="118">
        <f>'.c12_oc_hr'!Q33</f>
        <v>58237.71428571429</v>
      </c>
      <c r="R81" s="118">
        <f>'.c12_oc_hr'!R33</f>
        <v>58237.71428571429</v>
      </c>
      <c r="S81" s="118">
        <f>'.c12_oc_hr'!S33</f>
        <v>79017.71428571429</v>
      </c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104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</row>
    <row r="82" spans="1:59">
      <c r="A82" s="60"/>
      <c r="B82" s="81"/>
      <c r="C82" s="81"/>
      <c r="D82" s="81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</row>
    <row r="83" spans="1:59" s="11" customFormat="1">
      <c r="A83" s="157" t="s">
        <v>144</v>
      </c>
      <c r="B83" s="61"/>
      <c r="C83" s="61"/>
      <c r="D83" s="61"/>
      <c r="E83" s="62"/>
      <c r="F83" s="60"/>
      <c r="G83" s="60"/>
      <c r="H83" s="60"/>
      <c r="I83" s="60"/>
      <c r="J83" s="60"/>
      <c r="K83" s="60"/>
      <c r="L83" s="62"/>
      <c r="M83" s="62"/>
      <c r="N83" s="62"/>
      <c r="O83" s="62"/>
      <c r="P83" s="62"/>
      <c r="Q83" s="62"/>
      <c r="R83" s="62"/>
      <c r="S83" s="62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</row>
    <row r="84" spans="1:59" s="11" customFormat="1">
      <c r="A84" s="157" t="s">
        <v>145</v>
      </c>
      <c r="B84" s="61"/>
      <c r="C84" s="61"/>
      <c r="D84" s="61"/>
      <c r="E84" s="158">
        <v>1639651</v>
      </c>
      <c r="F84" s="60"/>
      <c r="G84" s="60"/>
      <c r="H84" s="60"/>
      <c r="I84" s="60"/>
      <c r="J84" s="60"/>
      <c r="K84" s="60"/>
      <c r="L84" s="118">
        <f>'c12_hm'!L60</f>
        <v>558947</v>
      </c>
      <c r="M84" s="118">
        <f>'c12_hm'!M60</f>
        <v>558947</v>
      </c>
      <c r="N84" s="118">
        <f>'c12_hm'!N60</f>
        <v>558947</v>
      </c>
      <c r="O84" s="118">
        <f>'c12_hm'!O60</f>
        <v>447597</v>
      </c>
      <c r="P84" s="118">
        <f>'c12_hm'!P60</f>
        <v>310715.78947368416</v>
      </c>
      <c r="Q84" s="118">
        <f>'c12_hm'!Q60</f>
        <v>902637.28947368416</v>
      </c>
      <c r="R84" s="118">
        <f>'c12_hm'!R60</f>
        <v>948110.97368421056</v>
      </c>
      <c r="S84" s="118">
        <f>'c12_hm'!S60</f>
        <v>2385063.6052631577</v>
      </c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</row>
    <row r="85" spans="1:59" s="11" customFormat="1">
      <c r="A85" s="157" t="s">
        <v>146</v>
      </c>
      <c r="B85" s="61"/>
      <c r="C85" s="61"/>
      <c r="D85" s="61"/>
      <c r="E85" s="158">
        <v>1480300</v>
      </c>
      <c r="F85" s="60"/>
      <c r="G85" s="60"/>
      <c r="H85" s="60"/>
      <c r="I85" s="60"/>
      <c r="J85" s="60"/>
      <c r="K85" s="60"/>
      <c r="L85" s="118">
        <f>'c12_d&amp;s'!L60</f>
        <v>128735.5</v>
      </c>
      <c r="M85" s="118">
        <f>'c12_d&amp;s'!M60</f>
        <v>128735.5</v>
      </c>
      <c r="N85" s="118">
        <f>'c12_d&amp;s'!N60</f>
        <v>699135.5</v>
      </c>
      <c r="O85" s="118">
        <f>'c12_d&amp;s'!O60</f>
        <v>911235.5</v>
      </c>
      <c r="P85" s="118">
        <f>'c12_d&amp;s'!P60</f>
        <v>1735259.1270175439</v>
      </c>
      <c r="Q85" s="118">
        <f>'c12_d&amp;s'!Q60</f>
        <v>2473819.8070175434</v>
      </c>
      <c r="R85" s="118">
        <f>'c12_d&amp;s'!R60</f>
        <v>2205638.8070175434</v>
      </c>
      <c r="S85" s="118">
        <f>'c12_d&amp;s'!S60</f>
        <v>5828630.333333333</v>
      </c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</row>
    <row r="86" spans="1:59" s="11" customFormat="1" ht="15" customHeight="1" thickBot="1">
      <c r="A86" s="157" t="s">
        <v>147</v>
      </c>
      <c r="B86" s="61"/>
      <c r="C86" s="61"/>
      <c r="D86" s="61"/>
      <c r="E86" s="118"/>
      <c r="F86" s="60"/>
      <c r="G86" s="60"/>
      <c r="H86" s="60"/>
      <c r="I86" s="60"/>
      <c r="J86" s="60"/>
      <c r="K86" s="60"/>
      <c r="L86" s="118">
        <f>'c12_bi&amp;F'!L60</f>
        <v>0</v>
      </c>
      <c r="M86" s="118">
        <f>'c12_bi&amp;F'!M60</f>
        <v>0</v>
      </c>
      <c r="N86" s="118">
        <f>'c12_bi&amp;F'!N60</f>
        <v>0</v>
      </c>
      <c r="O86" s="118">
        <f>'c12_bi&amp;F'!O60</f>
        <v>0</v>
      </c>
      <c r="P86" s="118">
        <f>'c12_bi&amp;F'!P60</f>
        <v>154294.73684210525</v>
      </c>
      <c r="Q86" s="118">
        <f>'c12_bi&amp;F'!Q60</f>
        <v>154294.73684210522</v>
      </c>
      <c r="R86" s="118">
        <f>'c12_bi&amp;F'!R60</f>
        <v>267978.94736842101</v>
      </c>
      <c r="S86" s="118">
        <f>'c12_bi&amp;F'!S60</f>
        <v>360942.10526315786</v>
      </c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</row>
    <row r="87" spans="1:59" s="11" customFormat="1" ht="15.5" customHeight="1" thickTop="1" thickBot="1">
      <c r="A87" s="157" t="s">
        <v>148</v>
      </c>
      <c r="B87" s="159" t="s">
        <v>9</v>
      </c>
      <c r="C87" s="159" t="s">
        <v>23</v>
      </c>
      <c r="D87" s="61"/>
      <c r="E87" s="160"/>
      <c r="F87" s="60"/>
      <c r="G87" s="60"/>
      <c r="H87" s="60"/>
      <c r="I87" s="60"/>
      <c r="J87" s="60"/>
      <c r="K87" s="60"/>
      <c r="L87" s="161">
        <f t="shared" ref="L87:S87" si="21">SUM(L84:L86)</f>
        <v>687682.5</v>
      </c>
      <c r="M87" s="161">
        <f t="shared" si="21"/>
        <v>687682.5</v>
      </c>
      <c r="N87" s="161">
        <f t="shared" si="21"/>
        <v>1258082.5</v>
      </c>
      <c r="O87" s="161">
        <f t="shared" si="21"/>
        <v>1358832.5</v>
      </c>
      <c r="P87" s="161">
        <f t="shared" si="21"/>
        <v>2200269.6533333333</v>
      </c>
      <c r="Q87" s="161">
        <f t="shared" si="21"/>
        <v>3530751.8333333326</v>
      </c>
      <c r="R87" s="161">
        <f t="shared" si="21"/>
        <v>3421728.7280701748</v>
      </c>
      <c r="S87" s="161">
        <f t="shared" si="21"/>
        <v>8574636.0438596494</v>
      </c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</row>
    <row r="88" spans="1:59" ht="15" customHeight="1" thickTop="1">
      <c r="A88" s="60"/>
      <c r="B88" s="81"/>
      <c r="C88" s="81"/>
      <c r="D88" s="81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</row>
    <row r="89" spans="1:59">
      <c r="A89" s="60"/>
      <c r="B89" s="81"/>
      <c r="C89" s="81"/>
      <c r="D89" s="81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</row>
    <row r="90" spans="1:59">
      <c r="A90" s="60"/>
      <c r="B90" s="81"/>
      <c r="C90" s="81"/>
      <c r="D90" s="81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</row>
    <row r="91" spans="1:59">
      <c r="A91" s="60"/>
      <c r="B91" s="81"/>
      <c r="C91" s="81"/>
      <c r="D91" s="81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</row>
    <row r="92" spans="1:59">
      <c r="A92" s="60"/>
      <c r="B92" s="81"/>
      <c r="C92" s="81"/>
      <c r="D92" s="81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</row>
    <row r="93" spans="1:59">
      <c r="A93" s="60"/>
      <c r="B93" s="81"/>
      <c r="C93" s="81"/>
      <c r="D93" s="81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</row>
    <row r="94" spans="1:59">
      <c r="A94" s="60"/>
      <c r="B94" s="81"/>
      <c r="C94" s="81"/>
      <c r="D94" s="81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</row>
    <row r="95" spans="1:59">
      <c r="A95" s="60"/>
      <c r="B95" s="81"/>
      <c r="C95" s="81"/>
      <c r="D95" s="81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</row>
    <row r="96" spans="1:59">
      <c r="A96" s="60"/>
      <c r="B96" s="81"/>
      <c r="C96" s="81"/>
      <c r="D96" s="81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</row>
    <row r="97" spans="1:59">
      <c r="A97" s="60"/>
      <c r="B97" s="81"/>
      <c r="C97" s="81"/>
      <c r="D97" s="81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</row>
    <row r="98" spans="1:59">
      <c r="A98" s="60"/>
      <c r="B98" s="81"/>
      <c r="C98" s="81"/>
      <c r="D98" s="81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</row>
    <row r="99" spans="1:59">
      <c r="A99" s="60"/>
      <c r="B99" s="81"/>
      <c r="C99" s="81"/>
      <c r="D99" s="81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</row>
    <row r="100" spans="1:59">
      <c r="A100" s="60"/>
      <c r="B100" s="81"/>
      <c r="C100" s="81"/>
      <c r="D100" s="81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</row>
    <row r="101" spans="1:59">
      <c r="A101" s="60"/>
      <c r="B101" s="81"/>
      <c r="C101" s="81"/>
      <c r="D101" s="81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</row>
    <row r="102" spans="1:59">
      <c r="A102" s="60"/>
      <c r="B102" s="81"/>
      <c r="C102" s="81"/>
      <c r="D102" s="81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</row>
    <row r="103" spans="1:59">
      <c r="A103" s="60"/>
      <c r="B103" s="81"/>
      <c r="C103" s="81"/>
      <c r="D103" s="81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</row>
    <row r="104" spans="1:59">
      <c r="A104" s="60"/>
      <c r="B104" s="81"/>
      <c r="C104" s="81"/>
      <c r="D104" s="81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</row>
    <row r="105" spans="1:59">
      <c r="A105" s="60"/>
      <c r="B105" s="81"/>
      <c r="C105" s="81"/>
      <c r="D105" s="81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</row>
    <row r="106" spans="1:59">
      <c r="A106" s="60"/>
      <c r="B106" s="81"/>
      <c r="C106" s="81"/>
      <c r="D106" s="81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</row>
    <row r="107" spans="1:59">
      <c r="A107" s="60"/>
      <c r="B107" s="81"/>
      <c r="C107" s="81"/>
      <c r="D107" s="81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</row>
    <row r="108" spans="1:59">
      <c r="A108" s="60"/>
      <c r="B108" s="81"/>
      <c r="C108" s="81"/>
      <c r="D108" s="81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</row>
    <row r="109" spans="1:59">
      <c r="A109" s="60"/>
      <c r="B109" s="81"/>
      <c r="C109" s="81"/>
      <c r="D109" s="81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</row>
    <row r="110" spans="1:59">
      <c r="A110" s="60"/>
      <c r="B110" s="81"/>
      <c r="C110" s="81"/>
      <c r="D110" s="81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</row>
    <row r="111" spans="1:59">
      <c r="A111" s="60"/>
      <c r="B111" s="81"/>
      <c r="C111" s="81"/>
      <c r="D111" s="81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</row>
    <row r="112" spans="1:59">
      <c r="A112" s="60"/>
      <c r="B112" s="81"/>
      <c r="C112" s="81"/>
      <c r="D112" s="81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</row>
    <row r="113" spans="1:59">
      <c r="A113" s="60"/>
      <c r="B113" s="81"/>
      <c r="C113" s="81"/>
      <c r="D113" s="81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</row>
    <row r="114" spans="1:59">
      <c r="A114" s="60"/>
      <c r="B114" s="81"/>
      <c r="C114" s="81"/>
      <c r="D114" s="81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</row>
    <row r="115" spans="1:59">
      <c r="A115" s="60"/>
      <c r="B115" s="81"/>
      <c r="C115" s="81"/>
      <c r="D115" s="81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</row>
    <row r="116" spans="1:59">
      <c r="A116" s="60"/>
      <c r="B116" s="81"/>
      <c r="C116" s="81"/>
      <c r="D116" s="81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</row>
    <row r="117" spans="1:59">
      <c r="A117" s="60"/>
      <c r="B117" s="81"/>
      <c r="C117" s="81"/>
      <c r="D117" s="81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</row>
    <row r="118" spans="1:59">
      <c r="A118" s="60"/>
      <c r="B118" s="81"/>
      <c r="C118" s="81"/>
      <c r="D118" s="81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</row>
    <row r="119" spans="1:59">
      <c r="A119" s="60"/>
      <c r="B119" s="81"/>
      <c r="C119" s="81"/>
      <c r="D119" s="81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</row>
    <row r="120" spans="1:59">
      <c r="A120" s="60"/>
      <c r="B120" s="81"/>
      <c r="C120" s="81"/>
      <c r="D120" s="81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</row>
    <row r="121" spans="1:59">
      <c r="A121" s="60"/>
      <c r="B121" s="81"/>
      <c r="C121" s="81"/>
      <c r="D121" s="81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</row>
    <row r="122" spans="1:59">
      <c r="A122" s="60"/>
      <c r="B122" s="81"/>
      <c r="C122" s="81"/>
      <c r="D122" s="81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</row>
    <row r="123" spans="1:59">
      <c r="A123" s="60"/>
      <c r="B123" s="81"/>
      <c r="C123" s="81"/>
      <c r="D123" s="81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</row>
    <row r="124" spans="1:59">
      <c r="A124" s="60"/>
      <c r="B124" s="81"/>
      <c r="C124" s="81"/>
      <c r="D124" s="81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</row>
    <row r="125" spans="1:59">
      <c r="A125" s="60"/>
      <c r="B125" s="81"/>
      <c r="C125" s="81"/>
      <c r="D125" s="81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</row>
    <row r="126" spans="1:59">
      <c r="A126" s="60"/>
      <c r="B126" s="81"/>
      <c r="C126" s="81"/>
      <c r="D126" s="81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</row>
    <row r="127" spans="1:59">
      <c r="A127" s="60"/>
      <c r="B127" s="81"/>
      <c r="C127" s="81"/>
      <c r="D127" s="81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</row>
    <row r="128" spans="1:59">
      <c r="A128" s="60"/>
      <c r="B128" s="81"/>
      <c r="C128" s="81"/>
      <c r="D128" s="81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</row>
    <row r="129" spans="1:59">
      <c r="A129" s="60"/>
      <c r="B129" s="81"/>
      <c r="C129" s="81"/>
      <c r="D129" s="81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</row>
    <row r="130" spans="1:59">
      <c r="A130" s="60"/>
      <c r="B130" s="81"/>
      <c r="C130" s="81"/>
      <c r="D130" s="81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</row>
    <row r="131" spans="1:59">
      <c r="A131" s="60"/>
      <c r="B131" s="81"/>
      <c r="C131" s="81"/>
      <c r="D131" s="81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</row>
    <row r="132" spans="1:59">
      <c r="A132" s="60"/>
      <c r="B132" s="81"/>
      <c r="C132" s="81"/>
      <c r="D132" s="81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</row>
    <row r="133" spans="1:59">
      <c r="A133" s="60"/>
      <c r="B133" s="81"/>
      <c r="C133" s="81"/>
      <c r="D133" s="81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</row>
    <row r="134" spans="1:59">
      <c r="A134" s="60"/>
      <c r="B134" s="81"/>
      <c r="C134" s="81"/>
      <c r="D134" s="81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</row>
    <row r="135" spans="1:59">
      <c r="A135" s="60"/>
      <c r="B135" s="81"/>
      <c r="C135" s="81"/>
      <c r="D135" s="81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</row>
    <row r="136" spans="1:59">
      <c r="A136" s="60"/>
      <c r="B136" s="81"/>
      <c r="C136" s="81"/>
      <c r="D136" s="81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</row>
    <row r="137" spans="1:59">
      <c r="A137" s="60"/>
      <c r="B137" s="81"/>
      <c r="C137" s="81"/>
      <c r="D137" s="81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</row>
    <row r="138" spans="1:59">
      <c r="A138" s="60"/>
      <c r="B138" s="81"/>
      <c r="C138" s="81"/>
      <c r="D138" s="81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</row>
    <row r="139" spans="1:59">
      <c r="A139" s="60"/>
      <c r="B139" s="81"/>
      <c r="C139" s="81"/>
      <c r="D139" s="81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</row>
    <row r="140" spans="1:59">
      <c r="A140" s="60"/>
      <c r="B140" s="81"/>
      <c r="C140" s="81"/>
      <c r="D140" s="81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</row>
    <row r="141" spans="1:59">
      <c r="A141" s="60"/>
      <c r="B141" s="81"/>
      <c r="C141" s="81"/>
      <c r="D141" s="81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</row>
    <row r="142" spans="1:59">
      <c r="A142" s="60"/>
      <c r="B142" s="81"/>
      <c r="C142" s="81"/>
      <c r="D142" s="81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</row>
    <row r="143" spans="1:59">
      <c r="A143" s="60"/>
      <c r="B143" s="81"/>
      <c r="C143" s="81"/>
      <c r="D143" s="81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</row>
    <row r="144" spans="1:59">
      <c r="A144" s="60"/>
      <c r="B144" s="81"/>
      <c r="C144" s="81"/>
      <c r="D144" s="81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</row>
    <row r="145" spans="1:59" ht="14.65" customHeight="1">
      <c r="A145" s="60"/>
      <c r="B145" s="81"/>
      <c r="C145" s="81"/>
      <c r="D145" s="81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</row>
    <row r="146" spans="1:59" ht="14.65" customHeight="1">
      <c r="A146" s="60"/>
      <c r="B146" s="81"/>
      <c r="C146" s="81"/>
      <c r="D146" s="81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</row>
    <row r="147" spans="1:59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</row>
    <row r="148" spans="1:59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B084"/>
  </sheetPr>
  <dimension ref="A1:BG149"/>
  <sheetViews>
    <sheetView workbookViewId="0">
      <selection activeCell="O5" sqref="O5"/>
    </sheetView>
  </sheetViews>
  <sheetFormatPr defaultColWidth="12.54296875" defaultRowHeight="14.5"/>
  <cols>
    <col min="1" max="1" width="26" customWidth="1"/>
    <col min="2" max="2" width="4.453125" style="54" customWidth="1"/>
    <col min="3" max="3" width="19.90625" style="49" customWidth="1"/>
    <col min="4" max="4" width="24.90625" style="49" customWidth="1"/>
    <col min="5" max="5" width="13.26953125" bestFit="1" customWidth="1"/>
    <col min="6" max="8" width="10.7265625" style="59" customWidth="1"/>
    <col min="11" max="11" width="10.7265625" style="218" customWidth="1"/>
    <col min="12" max="12" width="12.6328125" bestFit="1" customWidth="1"/>
  </cols>
  <sheetData>
    <row r="1" spans="1:59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</row>
    <row r="2" spans="1:59" s="229" customFormat="1">
      <c r="A2" s="302" t="s">
        <v>0</v>
      </c>
      <c r="B2" s="302"/>
      <c r="C2" s="302"/>
      <c r="D2" s="302"/>
      <c r="E2" s="227">
        <v>45657</v>
      </c>
      <c r="F2" s="227">
        <v>45747</v>
      </c>
      <c r="G2" s="227">
        <v>45838</v>
      </c>
      <c r="H2" s="227">
        <v>45930</v>
      </c>
      <c r="I2" s="227">
        <v>46022</v>
      </c>
      <c r="J2" s="227">
        <v>46112</v>
      </c>
      <c r="K2" s="227">
        <v>46203</v>
      </c>
      <c r="L2" s="227">
        <v>45747</v>
      </c>
      <c r="M2" s="227">
        <v>45838</v>
      </c>
      <c r="N2" s="227">
        <v>45930</v>
      </c>
      <c r="O2" s="227">
        <v>46022</v>
      </c>
      <c r="P2" s="227">
        <v>46112</v>
      </c>
      <c r="Q2" s="227">
        <v>46203</v>
      </c>
      <c r="R2" s="227">
        <v>46295</v>
      </c>
      <c r="S2" s="227">
        <v>46387</v>
      </c>
      <c r="T2" s="227"/>
      <c r="U2" s="227"/>
      <c r="V2" s="227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  <c r="BD2" s="228"/>
      <c r="BE2" s="228"/>
      <c r="BF2" s="228"/>
      <c r="BG2" s="228"/>
    </row>
    <row r="3" spans="1:59" s="232" customFormat="1">
      <c r="A3" s="63"/>
      <c r="B3" s="67"/>
      <c r="C3" s="67"/>
      <c r="D3" s="67"/>
      <c r="E3" s="231" t="s">
        <v>56</v>
      </c>
      <c r="F3" s="68"/>
      <c r="G3" s="68"/>
      <c r="H3" s="68"/>
      <c r="I3" s="68"/>
      <c r="J3" s="68"/>
      <c r="K3" s="231"/>
      <c r="L3" s="231" t="s">
        <v>42</v>
      </c>
      <c r="M3" s="68"/>
      <c r="N3" s="68"/>
      <c r="O3" s="68"/>
      <c r="P3" s="68"/>
      <c r="Q3" s="68"/>
      <c r="R3" s="68"/>
      <c r="S3" s="68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</row>
    <row r="4" spans="1:59" ht="18.5" customHeight="1">
      <c r="A4" s="60"/>
      <c r="B4" s="71" t="s">
        <v>42</v>
      </c>
      <c r="C4" s="71" t="s">
        <v>43</v>
      </c>
      <c r="D4" s="71" t="s">
        <v>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</row>
    <row r="5" spans="1:59" s="55" customFormat="1">
      <c r="A5" s="135" t="s">
        <v>126</v>
      </c>
      <c r="B5" s="135" t="s">
        <v>25</v>
      </c>
      <c r="C5" s="223" t="s">
        <v>149</v>
      </c>
      <c r="D5" s="303" t="s">
        <v>27</v>
      </c>
      <c r="E5" s="60"/>
      <c r="F5" s="126"/>
      <c r="G5" s="126"/>
      <c r="H5" s="126"/>
      <c r="I5" s="126"/>
      <c r="J5" s="126"/>
      <c r="K5" s="126"/>
      <c r="L5" s="136">
        <f>-7701527.99/4</f>
        <v>-1925381.9975000001</v>
      </c>
      <c r="M5" s="136">
        <f>L5</f>
        <v>-1925381.9975000001</v>
      </c>
      <c r="N5" s="136">
        <f>M5</f>
        <v>-1925381.9975000001</v>
      </c>
      <c r="O5" s="136">
        <f>N5</f>
        <v>-1925381.9975000001</v>
      </c>
      <c r="P5" s="136">
        <f>+P4</f>
        <v>0</v>
      </c>
      <c r="Q5" s="136">
        <f>+Q4</f>
        <v>0</v>
      </c>
      <c r="R5" s="136">
        <f>+R4</f>
        <v>0</v>
      </c>
      <c r="S5" s="136">
        <f>+S4</f>
        <v>0</v>
      </c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</row>
    <row r="6" spans="1:59" s="8" customFormat="1">
      <c r="A6" s="72" t="s">
        <v>94</v>
      </c>
      <c r="B6" s="72" t="s">
        <v>25</v>
      </c>
      <c r="C6" s="216" t="s">
        <v>91</v>
      </c>
      <c r="D6" s="216" t="s">
        <v>150</v>
      </c>
      <c r="E6" s="88"/>
      <c r="F6" s="91"/>
      <c r="G6" s="91"/>
      <c r="H6" s="91"/>
      <c r="I6" s="91"/>
      <c r="J6" s="91"/>
      <c r="K6" s="91"/>
      <c r="L6" s="109">
        <v>-112553</v>
      </c>
      <c r="M6" s="109">
        <v>-186705</v>
      </c>
      <c r="N6" s="109">
        <v>-148699</v>
      </c>
      <c r="O6" s="109">
        <v>-249431</v>
      </c>
      <c r="P6" s="107">
        <v>-174347</v>
      </c>
      <c r="Q6" s="109">
        <v>-174347</v>
      </c>
      <c r="R6" s="109">
        <v>-174347</v>
      </c>
      <c r="S6" s="109">
        <v>-174347</v>
      </c>
      <c r="T6" s="72" t="s">
        <v>95</v>
      </c>
      <c r="U6" s="84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</row>
    <row r="7" spans="1:59" s="12" customFormat="1">
      <c r="A7" s="223" t="s">
        <v>151</v>
      </c>
      <c r="B7" s="301" t="s">
        <v>25</v>
      </c>
      <c r="C7" s="301" t="s">
        <v>26</v>
      </c>
      <c r="D7" s="301" t="s">
        <v>27</v>
      </c>
      <c r="E7" s="51">
        <v>0</v>
      </c>
      <c r="F7" s="60"/>
      <c r="G7" s="60"/>
      <c r="H7" s="60"/>
      <c r="I7" s="118"/>
      <c r="J7" s="118"/>
      <c r="K7" s="60"/>
      <c r="L7" s="51">
        <v>0</v>
      </c>
      <c r="M7" s="51">
        <v>0</v>
      </c>
      <c r="N7" s="51">
        <v>0</v>
      </c>
      <c r="O7" s="51">
        <v>0</v>
      </c>
      <c r="P7" s="224">
        <v>50000</v>
      </c>
      <c r="Q7" s="51">
        <v>50000</v>
      </c>
      <c r="R7" s="51">
        <v>50000</v>
      </c>
      <c r="S7" s="51">
        <v>50000</v>
      </c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</row>
    <row r="8" spans="1:59" s="12" customFormat="1" ht="15" customHeight="1" thickBot="1">
      <c r="A8" s="223" t="s">
        <v>152</v>
      </c>
      <c r="B8" s="301" t="s">
        <v>25</v>
      </c>
      <c r="C8" s="301" t="s">
        <v>30</v>
      </c>
      <c r="D8" s="301" t="s">
        <v>27</v>
      </c>
      <c r="E8" s="51">
        <v>0</v>
      </c>
      <c r="F8" s="60"/>
      <c r="G8" s="60"/>
      <c r="H8" s="60"/>
      <c r="I8" s="118"/>
      <c r="J8" s="118"/>
      <c r="K8" s="60"/>
      <c r="L8" s="51">
        <v>-250000</v>
      </c>
      <c r="M8" s="51">
        <v>-250000</v>
      </c>
      <c r="N8" s="51">
        <v>-250000</v>
      </c>
      <c r="O8" s="51">
        <v>-250000</v>
      </c>
      <c r="P8" s="224">
        <v>-250000</v>
      </c>
      <c r="Q8" s="51">
        <v>-250000</v>
      </c>
      <c r="R8" s="51">
        <v>-250000</v>
      </c>
      <c r="S8" s="51">
        <v>-250000</v>
      </c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</row>
    <row r="9" spans="1:59" s="12" customFormat="1" ht="15.5" customHeight="1" thickTop="1" thickBot="1">
      <c r="A9" s="223" t="s">
        <v>131</v>
      </c>
      <c r="B9" s="301" t="s">
        <v>25</v>
      </c>
      <c r="C9" s="301" t="s">
        <v>34</v>
      </c>
      <c r="D9" s="301" t="s">
        <v>27</v>
      </c>
      <c r="E9" s="46"/>
      <c r="F9" s="60"/>
      <c r="G9" s="60"/>
      <c r="H9" s="60"/>
      <c r="I9" s="118"/>
      <c r="J9" s="118"/>
      <c r="K9" s="60"/>
      <c r="L9" s="47"/>
      <c r="M9" s="45">
        <v>-1200000</v>
      </c>
      <c r="N9" s="46"/>
      <c r="O9" s="46"/>
      <c r="P9" s="46"/>
      <c r="Q9" s="46"/>
      <c r="R9" s="46"/>
      <c r="S9" s="46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</row>
    <row r="10" spans="1:59" s="12" customFormat="1" ht="15" customHeight="1" thickTop="1">
      <c r="A10" s="135"/>
      <c r="B10" s="62"/>
      <c r="C10" s="62"/>
      <c r="D10" s="62"/>
      <c r="E10" s="118"/>
      <c r="F10" s="60"/>
      <c r="G10" s="60"/>
      <c r="H10" s="60"/>
      <c r="I10" s="118"/>
      <c r="J10" s="118"/>
      <c r="K10" s="60"/>
      <c r="L10" s="118"/>
      <c r="M10" s="118"/>
      <c r="N10" s="118"/>
      <c r="O10" s="118"/>
      <c r="P10" s="118"/>
      <c r="Q10" s="118"/>
      <c r="R10" s="118"/>
      <c r="S10" s="118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</row>
    <row r="11" spans="1:59" s="12" customFormat="1">
      <c r="A11" s="135"/>
      <c r="B11" s="62"/>
      <c r="C11" s="62"/>
      <c r="D11" s="62"/>
      <c r="E11" s="118"/>
      <c r="F11" s="60"/>
      <c r="G11" s="60"/>
      <c r="H11" s="60"/>
      <c r="I11" s="118"/>
      <c r="J11" s="118"/>
      <c r="K11" s="60"/>
      <c r="L11" s="118"/>
      <c r="M11" s="118"/>
      <c r="N11" s="118"/>
      <c r="O11" s="118"/>
      <c r="P11" s="118"/>
      <c r="Q11" s="118"/>
      <c r="R11" s="118"/>
      <c r="S11" s="118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</row>
    <row r="12" spans="1:59" s="12" customFormat="1">
      <c r="A12" s="135"/>
      <c r="B12" s="62"/>
      <c r="C12" s="62"/>
      <c r="D12" s="62"/>
      <c r="E12" s="118"/>
      <c r="F12" s="95"/>
      <c r="G12" s="95"/>
      <c r="H12" s="95"/>
      <c r="I12" s="118"/>
      <c r="J12" s="118"/>
      <c r="K12" s="95"/>
      <c r="L12" s="118"/>
      <c r="M12" s="118"/>
      <c r="N12" s="118"/>
      <c r="O12" s="118"/>
      <c r="P12" s="118"/>
      <c r="Q12" s="118"/>
      <c r="R12" s="118"/>
      <c r="S12" s="118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</row>
    <row r="13" spans="1:59" s="12" customFormat="1">
      <c r="A13" s="135"/>
      <c r="B13" s="62"/>
      <c r="C13" s="62"/>
      <c r="D13" s="62"/>
      <c r="E13" s="118"/>
      <c r="F13" s="95"/>
      <c r="G13" s="95"/>
      <c r="H13" s="95"/>
      <c r="I13" s="118"/>
      <c r="J13" s="118"/>
      <c r="K13" s="95"/>
      <c r="L13" s="118"/>
      <c r="M13" s="118"/>
      <c r="N13" s="118"/>
      <c r="O13" s="118"/>
      <c r="P13" s="118"/>
      <c r="Q13" s="118"/>
      <c r="R13" s="118"/>
      <c r="S13" s="118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</row>
    <row r="14" spans="1:59" s="5" customFormat="1">
      <c r="A14" s="60"/>
      <c r="B14" s="62"/>
      <c r="C14" s="62"/>
      <c r="D14" s="62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</row>
    <row r="15" spans="1:59" s="12" customFormat="1">
      <c r="A15" s="135"/>
      <c r="B15" s="62"/>
      <c r="C15" s="62"/>
      <c r="D15" s="62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</row>
    <row r="16" spans="1:59" s="12" customFormat="1">
      <c r="A16" s="135"/>
      <c r="B16" s="62"/>
      <c r="C16" s="62"/>
      <c r="D16" s="62"/>
      <c r="E16" s="118"/>
      <c r="F16" s="60"/>
      <c r="G16" s="60"/>
      <c r="H16" s="60"/>
      <c r="I16" s="118"/>
      <c r="J16" s="118"/>
      <c r="K16" s="60"/>
      <c r="L16" s="118"/>
      <c r="M16" s="118"/>
      <c r="N16" s="118"/>
      <c r="O16" s="118"/>
      <c r="P16" s="118"/>
      <c r="Q16" s="118"/>
      <c r="R16" s="118"/>
      <c r="S16" s="118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</row>
    <row r="17" spans="1:59" s="5" customFormat="1">
      <c r="A17" s="60"/>
      <c r="B17" s="61"/>
      <c r="C17" s="62"/>
      <c r="D17" s="62"/>
      <c r="E17" s="60"/>
      <c r="F17" s="99"/>
      <c r="G17" s="99"/>
      <c r="H17" s="99"/>
      <c r="I17" s="60"/>
      <c r="J17" s="60"/>
      <c r="K17" s="99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</row>
    <row r="18" spans="1:59" s="12" customFormat="1">
      <c r="A18" s="135"/>
      <c r="B18" s="61"/>
      <c r="C18" s="62"/>
      <c r="D18" s="62"/>
      <c r="E18" s="118"/>
      <c r="F18" s="99"/>
      <c r="G18" s="99"/>
      <c r="H18" s="99"/>
      <c r="I18" s="118"/>
      <c r="J18" s="118"/>
      <c r="K18" s="99"/>
      <c r="L18" s="118"/>
      <c r="M18" s="118"/>
      <c r="N18" s="118"/>
      <c r="O18" s="118"/>
      <c r="P18" s="118"/>
      <c r="Q18" s="118"/>
      <c r="R18" s="118"/>
      <c r="S18" s="118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</row>
    <row r="19" spans="1:59" s="5" customFormat="1">
      <c r="A19" s="60"/>
      <c r="B19" s="61"/>
      <c r="C19" s="62"/>
      <c r="D19" s="62"/>
      <c r="E19" s="60"/>
      <c r="F19" s="91"/>
      <c r="G19" s="91"/>
      <c r="H19" s="91"/>
      <c r="I19" s="60"/>
      <c r="J19" s="60"/>
      <c r="K19" s="91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</row>
    <row r="20" spans="1:59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</row>
    <row r="21" spans="1:59">
      <c r="A21" s="60"/>
      <c r="B21" s="60"/>
      <c r="C21" s="60"/>
      <c r="D21" s="60"/>
      <c r="E21" s="60"/>
      <c r="F21" s="104"/>
      <c r="G21" s="104"/>
      <c r="H21" s="104"/>
      <c r="I21" s="60"/>
      <c r="J21" s="60"/>
      <c r="K21" s="104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</row>
    <row r="22" spans="1:59">
      <c r="A22" s="60"/>
      <c r="B22" s="60"/>
      <c r="C22" s="60"/>
      <c r="D22" s="60"/>
      <c r="E22" s="60"/>
      <c r="F22" s="91"/>
      <c r="G22" s="91"/>
      <c r="H22" s="91"/>
      <c r="I22" s="60"/>
      <c r="J22" s="60"/>
      <c r="K22" s="91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</row>
    <row r="23" spans="1:59">
      <c r="A23" s="60"/>
      <c r="B23" s="60"/>
      <c r="C23" s="60"/>
      <c r="D23" s="60"/>
      <c r="E23" s="60"/>
      <c r="F23" s="91"/>
      <c r="G23" s="91"/>
      <c r="H23" s="91"/>
      <c r="I23" s="60"/>
      <c r="J23" s="60"/>
      <c r="K23" s="91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</row>
    <row r="24" spans="1:59">
      <c r="A24" s="60"/>
      <c r="B24" s="60"/>
      <c r="C24" s="60"/>
      <c r="D24" s="60"/>
      <c r="E24" s="60"/>
      <c r="F24" s="91"/>
      <c r="G24" s="91"/>
      <c r="H24" s="91"/>
      <c r="I24" s="60"/>
      <c r="J24" s="60"/>
      <c r="K24" s="91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</row>
    <row r="25" spans="1:59">
      <c r="A25" s="60"/>
      <c r="B25" s="60"/>
      <c r="C25" s="60"/>
      <c r="D25" s="60"/>
      <c r="E25" s="60"/>
      <c r="F25" s="91"/>
      <c r="G25" s="91"/>
      <c r="H25" s="91"/>
      <c r="I25" s="60"/>
      <c r="J25" s="60"/>
      <c r="K25" s="91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</row>
    <row r="26" spans="1:59">
      <c r="A26" s="60"/>
      <c r="B26" s="60"/>
      <c r="C26" s="60"/>
      <c r="D26" s="60"/>
      <c r="E26" s="60"/>
      <c r="F26" s="91"/>
      <c r="G26" s="91"/>
      <c r="H26" s="91"/>
      <c r="I26" s="60"/>
      <c r="J26" s="60"/>
      <c r="K26" s="91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</row>
    <row r="27" spans="1:59">
      <c r="A27" s="60"/>
      <c r="B27" s="60"/>
      <c r="C27" s="60"/>
      <c r="D27" s="60"/>
      <c r="E27" s="60"/>
      <c r="F27" s="91"/>
      <c r="G27" s="91"/>
      <c r="H27" s="91"/>
      <c r="I27" s="60"/>
      <c r="J27" s="60"/>
      <c r="K27" s="91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</row>
    <row r="28" spans="1:59">
      <c r="A28" s="60"/>
      <c r="B28" s="60"/>
      <c r="C28" s="60"/>
      <c r="D28" s="60"/>
      <c r="E28" s="60"/>
      <c r="F28" s="91"/>
      <c r="G28" s="91"/>
      <c r="H28" s="91"/>
      <c r="I28" s="60"/>
      <c r="J28" s="60"/>
      <c r="K28" s="91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</row>
    <row r="29" spans="1:59">
      <c r="A29" s="60"/>
      <c r="B29" s="60"/>
      <c r="C29" s="60"/>
      <c r="D29" s="60"/>
      <c r="E29" s="60"/>
      <c r="F29" s="91"/>
      <c r="G29" s="91"/>
      <c r="H29" s="91"/>
      <c r="I29" s="60"/>
      <c r="J29" s="60"/>
      <c r="K29" s="91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</row>
    <row r="30" spans="1:59">
      <c r="A30" s="60"/>
      <c r="B30" s="60"/>
      <c r="C30" s="60"/>
      <c r="D30" s="60"/>
      <c r="E30" s="60"/>
      <c r="F30" s="91"/>
      <c r="G30" s="91"/>
      <c r="H30" s="91"/>
      <c r="I30" s="60"/>
      <c r="J30" s="60"/>
      <c r="K30" s="91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</row>
    <row r="31" spans="1:59">
      <c r="A31" s="60"/>
      <c r="B31" s="60"/>
      <c r="C31" s="60"/>
      <c r="D31" s="60"/>
      <c r="E31" s="60"/>
      <c r="F31" s="91"/>
      <c r="G31" s="91"/>
      <c r="H31" s="91"/>
      <c r="I31" s="60"/>
      <c r="J31" s="60"/>
      <c r="K31" s="91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</row>
    <row r="32" spans="1:59">
      <c r="A32" s="60"/>
      <c r="B32" s="60"/>
      <c r="C32" s="60"/>
      <c r="D32" s="60"/>
      <c r="E32" s="60"/>
      <c r="F32" s="91"/>
      <c r="G32" s="91"/>
      <c r="H32" s="91"/>
      <c r="I32" s="60"/>
      <c r="J32" s="60"/>
      <c r="K32" s="91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</row>
    <row r="33" spans="1:59">
      <c r="A33" s="60"/>
      <c r="B33" s="60"/>
      <c r="C33" s="60"/>
      <c r="D33" s="60"/>
      <c r="E33" s="60"/>
      <c r="F33" s="99"/>
      <c r="G33" s="99"/>
      <c r="H33" s="99"/>
      <c r="I33" s="60"/>
      <c r="J33" s="60"/>
      <c r="K33" s="99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</row>
    <row r="34" spans="1:59">
      <c r="A34" s="60"/>
      <c r="B34" s="60"/>
      <c r="C34" s="60"/>
      <c r="D34" s="60"/>
      <c r="E34" s="60"/>
      <c r="F34" s="91"/>
      <c r="G34" s="91"/>
      <c r="H34" s="91"/>
      <c r="I34" s="60"/>
      <c r="J34" s="60"/>
      <c r="K34" s="91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</row>
    <row r="35" spans="1:59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</row>
    <row r="36" spans="1:59">
      <c r="A36" s="60"/>
      <c r="B36" s="60"/>
      <c r="C36" s="60"/>
      <c r="D36" s="60"/>
      <c r="E36" s="60"/>
      <c r="F36" s="116"/>
      <c r="G36" s="116"/>
      <c r="H36" s="116"/>
      <c r="I36" s="60"/>
      <c r="J36" s="60"/>
      <c r="K36" s="116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</row>
    <row r="37" spans="1:59">
      <c r="A37" s="60"/>
      <c r="B37" s="60"/>
      <c r="C37" s="60"/>
      <c r="D37" s="60"/>
      <c r="E37" s="60"/>
      <c r="F37" s="116"/>
      <c r="G37" s="116"/>
      <c r="H37" s="116"/>
      <c r="I37" s="60"/>
      <c r="J37" s="60"/>
      <c r="K37" s="116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</row>
    <row r="38" spans="1:59">
      <c r="A38" s="60"/>
      <c r="B38" s="60"/>
      <c r="C38" s="60"/>
      <c r="D38" s="60"/>
      <c r="E38" s="60"/>
      <c r="F38" s="116"/>
      <c r="G38" s="116"/>
      <c r="H38" s="116"/>
      <c r="I38" s="60"/>
      <c r="J38" s="60"/>
      <c r="K38" s="116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</row>
    <row r="39" spans="1:59">
      <c r="A39" s="60"/>
      <c r="B39" s="60"/>
      <c r="C39" s="60"/>
      <c r="D39" s="60"/>
      <c r="E39" s="60"/>
      <c r="F39" s="116"/>
      <c r="G39" s="116"/>
      <c r="H39" s="116"/>
      <c r="I39" s="60"/>
      <c r="J39" s="60"/>
      <c r="K39" s="116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</row>
    <row r="40" spans="1:59">
      <c r="A40" s="60"/>
      <c r="B40" s="60"/>
      <c r="C40" s="60"/>
      <c r="D40" s="60"/>
      <c r="E40" s="60"/>
      <c r="F40" s="91"/>
      <c r="G40" s="91"/>
      <c r="H40" s="91"/>
      <c r="I40" s="60"/>
      <c r="J40" s="60"/>
      <c r="K40" s="91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</row>
    <row r="41" spans="1:59">
      <c r="A41" s="60"/>
      <c r="B41" s="60"/>
      <c r="C41" s="60"/>
      <c r="D41" s="60"/>
      <c r="E41" s="60"/>
      <c r="F41" s="116"/>
      <c r="G41" s="116"/>
      <c r="H41" s="116"/>
      <c r="I41" s="60"/>
      <c r="J41" s="60"/>
      <c r="K41" s="116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</row>
    <row r="42" spans="1:59">
      <c r="A42" s="60"/>
      <c r="B42" s="60"/>
      <c r="C42" s="60"/>
      <c r="D42" s="60"/>
      <c r="E42" s="60"/>
      <c r="F42" s="116"/>
      <c r="G42" s="116"/>
      <c r="H42" s="116"/>
      <c r="I42" s="60"/>
      <c r="J42" s="60"/>
      <c r="K42" s="116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</row>
    <row r="43" spans="1:59">
      <c r="A43" s="60"/>
      <c r="B43" s="60"/>
      <c r="C43" s="60"/>
      <c r="D43" s="60"/>
      <c r="E43" s="60"/>
      <c r="F43" s="116"/>
      <c r="G43" s="116"/>
      <c r="H43" s="116"/>
      <c r="I43" s="60"/>
      <c r="J43" s="60"/>
      <c r="K43" s="116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</row>
    <row r="44" spans="1:59">
      <c r="A44" s="60"/>
      <c r="B44" s="60"/>
      <c r="C44" s="60"/>
      <c r="D44" s="60"/>
      <c r="E44" s="60"/>
      <c r="F44" s="116"/>
      <c r="G44" s="116"/>
      <c r="H44" s="116"/>
      <c r="I44" s="60"/>
      <c r="J44" s="60"/>
      <c r="K44" s="116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</row>
    <row r="45" spans="1:59">
      <c r="A45" s="60"/>
      <c r="B45" s="60"/>
      <c r="C45" s="60"/>
      <c r="D45" s="60"/>
      <c r="E45" s="60"/>
      <c r="F45" s="116"/>
      <c r="G45" s="116"/>
      <c r="H45" s="116"/>
      <c r="I45" s="60"/>
      <c r="J45" s="60"/>
      <c r="K45" s="116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</row>
    <row r="46" spans="1:59">
      <c r="A46" s="60"/>
      <c r="B46" s="60"/>
      <c r="C46" s="60"/>
      <c r="D46" s="60"/>
      <c r="E46" s="60"/>
      <c r="F46" s="116"/>
      <c r="G46" s="116"/>
      <c r="H46" s="116"/>
      <c r="I46" s="60"/>
      <c r="J46" s="60"/>
      <c r="K46" s="116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</row>
    <row r="47" spans="1:59">
      <c r="A47" s="60"/>
      <c r="B47" s="60"/>
      <c r="C47" s="60"/>
      <c r="D47" s="60"/>
      <c r="E47" s="60"/>
      <c r="F47" s="116"/>
      <c r="G47" s="116"/>
      <c r="H47" s="116"/>
      <c r="I47" s="60"/>
      <c r="J47" s="60"/>
      <c r="K47" s="116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</row>
    <row r="48" spans="1:59">
      <c r="A48" s="60"/>
      <c r="B48" s="60"/>
      <c r="C48" s="60"/>
      <c r="D48" s="60"/>
      <c r="E48" s="60"/>
      <c r="F48" s="126"/>
      <c r="G48" s="126"/>
      <c r="H48" s="126"/>
      <c r="I48" s="60"/>
      <c r="J48" s="60"/>
      <c r="K48" s="126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</row>
    <row r="49" spans="1:59">
      <c r="A49" s="60"/>
      <c r="B49" s="60"/>
      <c r="C49" s="60"/>
      <c r="D49" s="60"/>
      <c r="E49" s="60"/>
      <c r="F49" s="126"/>
      <c r="G49" s="126"/>
      <c r="H49" s="126"/>
      <c r="I49" s="60"/>
      <c r="J49" s="60"/>
      <c r="K49" s="126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</row>
    <row r="50" spans="1:59">
      <c r="A50" s="60"/>
      <c r="B50" s="60"/>
      <c r="C50" s="60"/>
      <c r="D50" s="60"/>
      <c r="E50" s="60"/>
      <c r="F50" s="126"/>
      <c r="G50" s="126"/>
      <c r="H50" s="126"/>
      <c r="I50" s="60"/>
      <c r="J50" s="60"/>
      <c r="K50" s="126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</row>
    <row r="51" spans="1:59">
      <c r="A51" s="60"/>
      <c r="B51" s="60"/>
      <c r="C51" s="60"/>
      <c r="D51" s="60"/>
      <c r="E51" s="60"/>
      <c r="F51" s="126"/>
      <c r="G51" s="126"/>
      <c r="H51" s="126"/>
      <c r="I51" s="60"/>
      <c r="J51" s="60"/>
      <c r="K51" s="126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</row>
    <row r="52" spans="1:59">
      <c r="A52" s="60"/>
      <c r="B52" s="60"/>
      <c r="C52" s="60"/>
      <c r="D52" s="60"/>
      <c r="E52" s="60"/>
      <c r="F52" s="126"/>
      <c r="G52" s="126"/>
      <c r="H52" s="126"/>
      <c r="I52" s="60"/>
      <c r="J52" s="60"/>
      <c r="K52" s="126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</row>
    <row r="53" spans="1:59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</row>
    <row r="54" spans="1:59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</row>
    <row r="55" spans="1:59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</row>
    <row r="56" spans="1:59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</row>
    <row r="57" spans="1:59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</row>
    <row r="58" spans="1:59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</row>
    <row r="59" spans="1: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</row>
    <row r="60" spans="1:59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</row>
    <row r="61" spans="1:59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</row>
    <row r="62" spans="1:59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</row>
    <row r="63" spans="1:59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</row>
    <row r="64" spans="1:59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</row>
    <row r="65" spans="1:59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</row>
    <row r="66" spans="1:59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</row>
    <row r="67" spans="1:59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</row>
    <row r="68" spans="1:59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</row>
    <row r="69" spans="1:5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</row>
    <row r="70" spans="1:59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</row>
    <row r="71" spans="1:59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</row>
    <row r="72" spans="1:59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</row>
    <row r="73" spans="1:59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</row>
    <row r="74" spans="1:59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</row>
    <row r="75" spans="1:59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</row>
    <row r="76" spans="1:59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</row>
    <row r="77" spans="1:59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</row>
    <row r="78" spans="1:59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</row>
    <row r="79" spans="1:5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</row>
    <row r="80" spans="1:59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</row>
    <row r="81" spans="1:59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</row>
    <row r="82" spans="1:59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</row>
    <row r="83" spans="1:59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</row>
    <row r="84" spans="1:59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</row>
    <row r="85" spans="1:59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</row>
    <row r="86" spans="1:59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</row>
    <row r="87" spans="1:59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</row>
    <row r="88" spans="1:59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</row>
    <row r="89" spans="1:5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</row>
    <row r="90" spans="1:59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</row>
    <row r="91" spans="1:59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</row>
    <row r="92" spans="1:59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</row>
    <row r="93" spans="1:59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</row>
    <row r="94" spans="1:59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</row>
    <row r="95" spans="1:59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</row>
    <row r="96" spans="1:59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</row>
    <row r="97" spans="1:59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</row>
    <row r="98" spans="1:59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</row>
    <row r="99" spans="1:5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</row>
    <row r="100" spans="1:59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</row>
    <row r="101" spans="1:59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</row>
    <row r="102" spans="1:59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</row>
    <row r="103" spans="1:59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</row>
    <row r="104" spans="1:59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</row>
    <row r="105" spans="1:59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</row>
    <row r="106" spans="1:59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</row>
    <row r="107" spans="1:59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</row>
    <row r="108" spans="1:59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</row>
    <row r="109" spans="1:5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</row>
    <row r="110" spans="1:59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</row>
    <row r="111" spans="1:59">
      <c r="A111" s="60"/>
      <c r="B111" s="81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</row>
    <row r="112" spans="1:59">
      <c r="A112" s="60"/>
      <c r="B112" s="81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</row>
    <row r="113" spans="1:59">
      <c r="A113" s="60"/>
      <c r="B113" s="81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</row>
    <row r="114" spans="1:59">
      <c r="A114" s="60"/>
      <c r="B114" s="81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</row>
    <row r="115" spans="1:59">
      <c r="A115" s="60"/>
      <c r="B115" s="81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</row>
    <row r="116" spans="1:59">
      <c r="A116" s="60"/>
      <c r="B116" s="81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</row>
    <row r="117" spans="1:59">
      <c r="A117" s="60"/>
      <c r="B117" s="81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</row>
    <row r="118" spans="1:59">
      <c r="A118" s="60"/>
      <c r="B118" s="81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</row>
    <row r="119" spans="1:59">
      <c r="A119" s="60"/>
      <c r="B119" s="81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</row>
    <row r="120" spans="1:59">
      <c r="A120" s="60"/>
      <c r="B120" s="81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</row>
    <row r="121" spans="1:59">
      <c r="A121" s="60"/>
      <c r="B121" s="81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</row>
    <row r="122" spans="1:59">
      <c r="A122" s="60"/>
      <c r="B122" s="81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</row>
    <row r="123" spans="1:59">
      <c r="A123" s="60"/>
      <c r="B123" s="81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</row>
    <row r="124" spans="1:59">
      <c r="A124" s="60"/>
      <c r="B124" s="81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</row>
    <row r="125" spans="1:59">
      <c r="A125" s="60"/>
      <c r="B125" s="81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</row>
    <row r="126" spans="1:59">
      <c r="A126" s="60"/>
      <c r="B126" s="81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</row>
    <row r="127" spans="1:59">
      <c r="A127" s="60"/>
      <c r="B127" s="81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</row>
    <row r="128" spans="1:59">
      <c r="A128" s="60"/>
      <c r="B128" s="81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</row>
    <row r="129" spans="1:59">
      <c r="A129" s="60"/>
      <c r="B129" s="81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</row>
    <row r="130" spans="1:59">
      <c r="A130" s="60"/>
      <c r="B130" s="81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</row>
    <row r="131" spans="1:59">
      <c r="A131" s="60"/>
      <c r="B131" s="81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</row>
    <row r="132" spans="1:59">
      <c r="A132" s="60"/>
      <c r="B132" s="81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</row>
    <row r="133" spans="1:59">
      <c r="A133" s="60"/>
      <c r="B133" s="81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</row>
    <row r="134" spans="1:59">
      <c r="A134" s="60"/>
      <c r="B134" s="81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</row>
    <row r="135" spans="1:59">
      <c r="A135" s="60"/>
      <c r="B135" s="81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</row>
    <row r="136" spans="1:59">
      <c r="A136" s="60"/>
      <c r="B136" s="81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</row>
    <row r="137" spans="1:59">
      <c r="A137" s="60"/>
      <c r="B137" s="81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</row>
    <row r="138" spans="1:59">
      <c r="A138" s="60"/>
      <c r="B138" s="81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</row>
    <row r="139" spans="1:59">
      <c r="A139" s="60"/>
      <c r="B139" s="81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</row>
    <row r="140" spans="1:59">
      <c r="A140" s="60"/>
      <c r="B140" s="81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</row>
    <row r="141" spans="1:59">
      <c r="A141" s="60"/>
      <c r="B141" s="81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</row>
    <row r="142" spans="1:59">
      <c r="A142" s="60"/>
      <c r="B142" s="81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</row>
    <row r="143" spans="1:59">
      <c r="A143" s="60"/>
      <c r="B143" s="81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</row>
    <row r="144" spans="1:59">
      <c r="A144" s="60"/>
      <c r="B144" s="81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</row>
    <row r="145" spans="1:59">
      <c r="A145" s="60"/>
      <c r="B145" s="81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</row>
    <row r="146" spans="1:59">
      <c r="A146" s="60"/>
      <c r="B146" s="81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</row>
    <row r="147" spans="1:59">
      <c r="A147" s="60"/>
      <c r="B147" s="81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</row>
    <row r="148" spans="1:59">
      <c r="A148" s="60"/>
      <c r="B148" s="81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</row>
    <row r="149" spans="1:59">
      <c r="A149" s="60"/>
      <c r="B149" s="81"/>
      <c r="C149" s="60"/>
      <c r="D149" s="60"/>
      <c r="E149" s="60"/>
      <c r="I149" s="60"/>
      <c r="J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B084"/>
  </sheetPr>
  <dimension ref="A1:BG149"/>
  <sheetViews>
    <sheetView zoomScale="81" workbookViewId="0">
      <selection sqref="A1:XFD1048576"/>
    </sheetView>
  </sheetViews>
  <sheetFormatPr defaultColWidth="12.54296875" defaultRowHeight="14.5"/>
  <cols>
    <col min="1" max="1" width="26" customWidth="1"/>
    <col min="2" max="2" width="4.453125" style="54" customWidth="1"/>
    <col min="3" max="3" width="19.90625" style="49" customWidth="1"/>
    <col min="4" max="4" width="7.6328125" style="54" customWidth="1"/>
    <col min="5" max="5" width="13.26953125" bestFit="1" customWidth="1"/>
    <col min="6" max="8" width="10.7265625" style="59" customWidth="1"/>
    <col min="11" max="11" width="10.7265625" style="218" customWidth="1"/>
    <col min="12" max="12" width="12.6328125" bestFit="1" customWidth="1"/>
  </cols>
  <sheetData>
    <row r="1" spans="1:59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</row>
    <row r="2" spans="1:59" s="229" customFormat="1">
      <c r="A2" s="225" t="s">
        <v>0</v>
      </c>
      <c r="B2" s="226"/>
      <c r="C2" s="226"/>
      <c r="D2" s="226"/>
      <c r="E2" s="227">
        <v>45657</v>
      </c>
      <c r="F2" s="227">
        <v>45747</v>
      </c>
      <c r="G2" s="227">
        <v>45838</v>
      </c>
      <c r="H2" s="227">
        <v>45930</v>
      </c>
      <c r="I2" s="227">
        <v>46022</v>
      </c>
      <c r="J2" s="227">
        <v>46112</v>
      </c>
      <c r="K2" s="227">
        <v>46203</v>
      </c>
      <c r="L2" s="227">
        <v>45747</v>
      </c>
      <c r="M2" s="227">
        <v>45838</v>
      </c>
      <c r="N2" s="227">
        <v>45930</v>
      </c>
      <c r="O2" s="227">
        <v>46022</v>
      </c>
      <c r="P2" s="227">
        <v>46112</v>
      </c>
      <c r="Q2" s="227">
        <v>46203</v>
      </c>
      <c r="R2" s="227">
        <v>46295</v>
      </c>
      <c r="S2" s="227">
        <v>46387</v>
      </c>
      <c r="T2" s="227"/>
      <c r="U2" s="227"/>
      <c r="V2" s="227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  <c r="BD2" s="228"/>
      <c r="BE2" s="228"/>
      <c r="BF2" s="228"/>
      <c r="BG2" s="228"/>
    </row>
    <row r="3" spans="1:59" s="232" customFormat="1">
      <c r="A3" s="68"/>
      <c r="B3" s="230"/>
      <c r="C3" s="230"/>
      <c r="D3" s="230"/>
      <c r="E3" s="231" t="s">
        <v>56</v>
      </c>
      <c r="F3" s="68"/>
      <c r="G3" s="68"/>
      <c r="H3" s="68"/>
      <c r="I3" s="68"/>
      <c r="J3" s="68"/>
      <c r="K3" s="231"/>
      <c r="L3" s="231" t="s">
        <v>42</v>
      </c>
      <c r="M3" s="68"/>
      <c r="N3" s="68"/>
      <c r="O3" s="68"/>
      <c r="P3" s="68"/>
      <c r="Q3" s="68"/>
      <c r="R3" s="68"/>
      <c r="S3" s="68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</row>
    <row r="4" spans="1:59" ht="18.5" customHeight="1">
      <c r="A4" s="60"/>
      <c r="B4" s="70" t="s">
        <v>42</v>
      </c>
      <c r="C4" s="71" t="s">
        <v>43</v>
      </c>
      <c r="D4" s="70" t="s">
        <v>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</row>
    <row r="5" spans="1:59" s="12" customFormat="1">
      <c r="A5" s="135" t="s">
        <v>153</v>
      </c>
      <c r="B5" s="75"/>
      <c r="C5" s="77"/>
      <c r="D5" s="75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</row>
    <row r="6" spans="1:59" s="12" customFormat="1">
      <c r="A6" s="162" t="s">
        <v>154</v>
      </c>
      <c r="B6" s="75"/>
      <c r="C6" s="77"/>
      <c r="D6" s="78"/>
      <c r="E6" s="118">
        <f>0</f>
        <v>0</v>
      </c>
      <c r="F6" s="60"/>
      <c r="G6" s="60"/>
      <c r="H6" s="60"/>
      <c r="I6" s="118">
        <v>9950</v>
      </c>
      <c r="J6" s="118">
        <v>9950</v>
      </c>
      <c r="K6" s="60"/>
      <c r="L6" s="118">
        <f>E11</f>
        <v>9950</v>
      </c>
      <c r="M6" s="118">
        <f t="shared" ref="M6:S6" si="0">L11</f>
        <v>9950</v>
      </c>
      <c r="N6" s="118">
        <f t="shared" si="0"/>
        <v>9950</v>
      </c>
      <c r="O6" s="118">
        <f t="shared" si="0"/>
        <v>9950</v>
      </c>
      <c r="P6" s="118">
        <f t="shared" si="0"/>
        <v>9950</v>
      </c>
      <c r="Q6" s="118">
        <f t="shared" si="0"/>
        <v>1303505.4866666668</v>
      </c>
      <c r="R6" s="118">
        <f t="shared" si="0"/>
        <v>3524908.2515476192</v>
      </c>
      <c r="S6" s="118">
        <f t="shared" si="0"/>
        <v>5674178.4111654144</v>
      </c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</row>
    <row r="7" spans="1:59" s="12" customFormat="1">
      <c r="A7" s="162" t="s">
        <v>155</v>
      </c>
      <c r="B7" s="75"/>
      <c r="C7" s="77"/>
      <c r="D7" s="78"/>
      <c r="E7" s="118">
        <f>'c12_oc'!E47</f>
        <v>3119951</v>
      </c>
      <c r="F7" s="60"/>
      <c r="G7" s="60"/>
      <c r="H7" s="60"/>
      <c r="I7" s="118">
        <v>860896.17857142864</v>
      </c>
      <c r="J7" s="118">
        <v>828093.76238095248</v>
      </c>
      <c r="K7" s="60"/>
      <c r="L7" s="118">
        <f>'c12_oc'!L47</f>
        <v>591386.17857142864</v>
      </c>
      <c r="M7" s="118">
        <f>'c12_oc'!M47</f>
        <v>591386.17857142864</v>
      </c>
      <c r="N7" s="118">
        <f>'c12_oc'!N47</f>
        <v>876586.17857142864</v>
      </c>
      <c r="O7" s="118">
        <f>'c12_oc'!O47</f>
        <v>860896.17857142864</v>
      </c>
      <c r="P7" s="118">
        <f>'c12_oc'!P47</f>
        <v>828093.76238095248</v>
      </c>
      <c r="Q7" s="118">
        <f>'c12_oc'!Q47</f>
        <v>1372055.7648809524</v>
      </c>
      <c r="R7" s="118">
        <f>'c12_oc'!R47</f>
        <v>1299923.1596177947</v>
      </c>
      <c r="S7" s="118">
        <f>'c12_oc'!S47</f>
        <v>2619479.6379072675</v>
      </c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</row>
    <row r="8" spans="1:59" s="12" customFormat="1">
      <c r="A8" s="162" t="s">
        <v>156</v>
      </c>
      <c r="B8" s="75"/>
      <c r="C8" s="77"/>
      <c r="D8" s="78"/>
      <c r="E8" s="118">
        <f>-'c12_oc'!E62</f>
        <v>1540999</v>
      </c>
      <c r="F8" s="60"/>
      <c r="G8" s="60"/>
      <c r="H8" s="60"/>
      <c r="I8" s="118">
        <v>-1009945.181071429</v>
      </c>
      <c r="J8" s="118">
        <v>-383885.27571428567</v>
      </c>
      <c r="K8" s="60"/>
      <c r="L8" s="118">
        <f>-'c12_oc'!L62+'c12_oc'!E62+'c12_oc'!L61</f>
        <v>596442.81892857142</v>
      </c>
      <c r="M8" s="118">
        <f>-'c12_oc'!M62+'c12_oc'!L62+'c12_oc'!M61</f>
        <v>-677709.18107142858</v>
      </c>
      <c r="N8" s="118">
        <f>-'c12_oc'!N62+'c12_oc'!M62+'c12_oc'!N61</f>
        <v>275096.81892857142</v>
      </c>
      <c r="O8" s="118">
        <f>-'c12_oc'!O62+'c12_oc'!N62+'c12_oc'!O61</f>
        <v>190054.81892857142</v>
      </c>
      <c r="P8" s="118">
        <f>-'c12_oc'!P62+'c12_oc'!O62+'c12_oc'!P61</f>
        <v>-383885.27571428567</v>
      </c>
      <c r="Q8" s="118">
        <f>-'c12_oc'!Q62+'c12_oc'!P62+'c12_oc'!Q61</f>
        <v>0</v>
      </c>
      <c r="R8" s="118">
        <f>-'c12_oc'!R62+'c12_oc'!Q62+'c12_oc'!R61</f>
        <v>0</v>
      </c>
      <c r="S8" s="118">
        <f>-'c12_oc'!S62+'c12_oc'!R62+'c12_oc'!S61</f>
        <v>0</v>
      </c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</row>
    <row r="9" spans="1:59" s="12" customFormat="1">
      <c r="A9" s="162" t="s">
        <v>157</v>
      </c>
      <c r="B9" s="61"/>
      <c r="C9" s="62"/>
      <c r="D9" s="61"/>
      <c r="E9" s="118">
        <f>'c12_oc'!E59</f>
        <v>-4651000</v>
      </c>
      <c r="F9" s="60"/>
      <c r="G9" s="60"/>
      <c r="H9" s="60"/>
      <c r="I9" s="118">
        <v>149049.00249999989</v>
      </c>
      <c r="J9" s="118">
        <v>849347</v>
      </c>
      <c r="K9" s="60"/>
      <c r="L9" s="118">
        <f>'c12_oc'!L59</f>
        <v>-1187828.9975000001</v>
      </c>
      <c r="M9" s="118">
        <f>'c12_oc'!M59</f>
        <v>86323.002499999944</v>
      </c>
      <c r="N9" s="118">
        <f>'c12_oc'!N59</f>
        <v>-1151682.9975000001</v>
      </c>
      <c r="O9" s="118">
        <f>'c12_oc'!O59</f>
        <v>-1050950.9975000001</v>
      </c>
      <c r="P9" s="118">
        <f>'c12_oc'!P59</f>
        <v>849347</v>
      </c>
      <c r="Q9" s="118">
        <f>'c12_oc'!Q59</f>
        <v>849347</v>
      </c>
      <c r="R9" s="118">
        <f>'c12_oc'!R59</f>
        <v>849347</v>
      </c>
      <c r="S9" s="118">
        <f>'c12_oc'!S59</f>
        <v>849347</v>
      </c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</row>
    <row r="10" spans="1:59" s="12" customFormat="1">
      <c r="A10" s="162" t="s">
        <v>158</v>
      </c>
      <c r="B10" s="159" t="s">
        <v>25</v>
      </c>
      <c r="C10" s="62"/>
      <c r="D10" s="61"/>
      <c r="E10" s="60"/>
      <c r="F10" s="91"/>
      <c r="G10" s="91"/>
      <c r="H10" s="91"/>
      <c r="I10" s="163"/>
      <c r="J10" s="163"/>
      <c r="K10" s="91"/>
      <c r="L10" s="163"/>
      <c r="M10" s="163"/>
      <c r="N10" s="163"/>
      <c r="O10" s="163"/>
      <c r="P10" s="163"/>
      <c r="Q10" s="163"/>
      <c r="R10" s="163"/>
      <c r="S10" s="163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</row>
    <row r="11" spans="1:59" s="12" customFormat="1">
      <c r="A11" s="135" t="s">
        <v>159</v>
      </c>
      <c r="B11" s="61"/>
      <c r="C11" s="62"/>
      <c r="D11" s="61"/>
      <c r="E11" s="118">
        <f>SUM(E6:E10)</f>
        <v>9950</v>
      </c>
      <c r="F11" s="60"/>
      <c r="G11" s="60"/>
      <c r="H11" s="60"/>
      <c r="I11" s="118">
        <v>9950</v>
      </c>
      <c r="J11" s="118">
        <v>1303505.486666667</v>
      </c>
      <c r="K11" s="60"/>
      <c r="L11" s="118">
        <f t="shared" ref="L11:S11" si="1">SUM(L6:L10)</f>
        <v>9950</v>
      </c>
      <c r="M11" s="118">
        <f t="shared" si="1"/>
        <v>9950</v>
      </c>
      <c r="N11" s="118">
        <f t="shared" si="1"/>
        <v>9950</v>
      </c>
      <c r="O11" s="118">
        <f t="shared" si="1"/>
        <v>9950</v>
      </c>
      <c r="P11" s="118">
        <f t="shared" si="1"/>
        <v>1303505.4866666668</v>
      </c>
      <c r="Q11" s="118">
        <f t="shared" si="1"/>
        <v>3524908.2515476192</v>
      </c>
      <c r="R11" s="118">
        <f t="shared" si="1"/>
        <v>5674178.4111654144</v>
      </c>
      <c r="S11" s="118">
        <f t="shared" si="1"/>
        <v>9143005.0490726829</v>
      </c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</row>
    <row r="12" spans="1:59" s="12" customFormat="1">
      <c r="A12" s="135" t="s">
        <v>160</v>
      </c>
      <c r="B12" s="61"/>
      <c r="C12" s="62"/>
      <c r="D12" s="61"/>
      <c r="E12" s="118">
        <f>-'c12_oc'!E74</f>
        <v>0</v>
      </c>
      <c r="F12" s="95"/>
      <c r="G12" s="95"/>
      <c r="H12" s="95"/>
      <c r="I12" s="118">
        <v>-2964570.5</v>
      </c>
      <c r="J12" s="118">
        <v>-2970159.2973750001</v>
      </c>
      <c r="K12" s="95"/>
      <c r="L12" s="118">
        <f>-'c12_oc'!L74</f>
        <v>-264555.125</v>
      </c>
      <c r="M12" s="118">
        <f>-'c12_oc'!M74</f>
        <v>-1654110.25</v>
      </c>
      <c r="N12" s="118">
        <f>-'c12_oc'!N74</f>
        <v>-2356165.375</v>
      </c>
      <c r="O12" s="118">
        <f>-'c12_oc'!O74</f>
        <v>-2964570.5</v>
      </c>
      <c r="P12" s="118">
        <f>-'c12_oc'!P74</f>
        <v>-2970159.2973749996</v>
      </c>
      <c r="Q12" s="118">
        <f>-'c12_oc'!Q74</f>
        <v>-2465036.0922499998</v>
      </c>
      <c r="R12" s="118">
        <f>-'c12_oc'!R74</f>
        <v>-2022503.3871249997</v>
      </c>
      <c r="S12" s="118">
        <f>-'c12_oc'!S74</f>
        <v>-1664945.5194999997</v>
      </c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</row>
    <row r="13" spans="1:59" s="12" customFormat="1">
      <c r="A13" s="135" t="s">
        <v>161</v>
      </c>
      <c r="B13" s="61"/>
      <c r="C13" s="62"/>
      <c r="D13" s="61"/>
      <c r="E13" s="118">
        <f>SUM(E11:E12)</f>
        <v>9950</v>
      </c>
      <c r="F13" s="95"/>
      <c r="G13" s="95"/>
      <c r="H13" s="95"/>
      <c r="I13" s="118">
        <v>-2954620.5</v>
      </c>
      <c r="J13" s="118">
        <v>-1666653.810708333</v>
      </c>
      <c r="K13" s="95"/>
      <c r="L13" s="118">
        <f t="shared" ref="L13:S13" si="2">SUM(L11:L12)</f>
        <v>-254605.125</v>
      </c>
      <c r="M13" s="118">
        <f t="shared" si="2"/>
        <v>-1644160.25</v>
      </c>
      <c r="N13" s="118">
        <f t="shared" si="2"/>
        <v>-2346215.375</v>
      </c>
      <c r="O13" s="118">
        <f t="shared" si="2"/>
        <v>-2954620.5</v>
      </c>
      <c r="P13" s="118">
        <f t="shared" si="2"/>
        <v>-1666653.8107083328</v>
      </c>
      <c r="Q13" s="118">
        <f t="shared" si="2"/>
        <v>1059872.1592976195</v>
      </c>
      <c r="R13" s="118">
        <f t="shared" si="2"/>
        <v>3651675.024040415</v>
      </c>
      <c r="S13" s="118">
        <f t="shared" si="2"/>
        <v>7478059.5295726834</v>
      </c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</row>
    <row r="14" spans="1:59" s="5" customFormat="1">
      <c r="A14" s="60"/>
      <c r="B14" s="61"/>
      <c r="C14" s="62"/>
      <c r="D14" s="61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</row>
    <row r="15" spans="1:59" s="12" customFormat="1">
      <c r="A15" s="135" t="s">
        <v>162</v>
      </c>
      <c r="B15" s="61"/>
      <c r="C15" s="62"/>
      <c r="D15" s="61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</row>
    <row r="16" spans="1:59" s="12" customFormat="1">
      <c r="A16" s="135" t="s">
        <v>163</v>
      </c>
      <c r="B16" s="61"/>
      <c r="C16" s="62"/>
      <c r="D16" s="61"/>
      <c r="E16" s="118">
        <f>'c12_oc'!E62</f>
        <v>-1540999</v>
      </c>
      <c r="F16" s="60"/>
      <c r="G16" s="60"/>
      <c r="H16" s="60"/>
      <c r="I16" s="118">
        <v>-1924884.2757142859</v>
      </c>
      <c r="J16" s="118">
        <v>0</v>
      </c>
      <c r="K16" s="60"/>
      <c r="L16" s="118">
        <f>'c12_oc'!L62</f>
        <v>-2137441.8189285714</v>
      </c>
      <c r="M16" s="118">
        <f>'c12_oc'!M62</f>
        <v>-1459732.6378571428</v>
      </c>
      <c r="N16" s="118">
        <f>'c12_oc'!N62</f>
        <v>-1734829.4567857143</v>
      </c>
      <c r="O16" s="118">
        <f>'c12_oc'!O62</f>
        <v>-1924884.2757142857</v>
      </c>
      <c r="P16" s="118">
        <f>'c12_oc'!P62</f>
        <v>0</v>
      </c>
      <c r="Q16" s="118">
        <f>'c12_oc'!Q62</f>
        <v>0</v>
      </c>
      <c r="R16" s="118">
        <f>'c12_oc'!R62</f>
        <v>0</v>
      </c>
      <c r="S16" s="118">
        <f>'c12_oc'!S62</f>
        <v>0</v>
      </c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</row>
    <row r="17" spans="1:59" s="5" customFormat="1">
      <c r="A17" s="60"/>
      <c r="B17" s="61"/>
      <c r="C17" s="62"/>
      <c r="D17" s="61"/>
      <c r="E17" s="60"/>
      <c r="F17" s="99"/>
      <c r="G17" s="99"/>
      <c r="H17" s="99"/>
      <c r="I17" s="60"/>
      <c r="J17" s="60"/>
      <c r="K17" s="99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</row>
    <row r="18" spans="1:59" s="12" customFormat="1">
      <c r="A18" s="135" t="s">
        <v>164</v>
      </c>
      <c r="B18" s="61"/>
      <c r="C18" s="62"/>
      <c r="D18" s="61"/>
      <c r="E18" s="118">
        <f>E16+E13</f>
        <v>-1531049</v>
      </c>
      <c r="F18" s="99"/>
      <c r="G18" s="99"/>
      <c r="H18" s="99"/>
      <c r="I18" s="118">
        <v>-4879504.7757142857</v>
      </c>
      <c r="J18" s="118">
        <v>-1666653.810708333</v>
      </c>
      <c r="K18" s="99"/>
      <c r="L18" s="118">
        <f t="shared" ref="L18:S18" si="3">L16+L13</f>
        <v>-2392046.9439285714</v>
      </c>
      <c r="M18" s="118">
        <f t="shared" si="3"/>
        <v>-3103892.8878571428</v>
      </c>
      <c r="N18" s="118">
        <f t="shared" si="3"/>
        <v>-4081044.8317857143</v>
      </c>
      <c r="O18" s="118">
        <f t="shared" si="3"/>
        <v>-4879504.7757142857</v>
      </c>
      <c r="P18" s="118">
        <f t="shared" si="3"/>
        <v>-1666653.8107083328</v>
      </c>
      <c r="Q18" s="118">
        <f t="shared" si="3"/>
        <v>1059872.1592976195</v>
      </c>
      <c r="R18" s="118">
        <f t="shared" si="3"/>
        <v>3651675.024040415</v>
      </c>
      <c r="S18" s="118">
        <f t="shared" si="3"/>
        <v>7478059.5295726834</v>
      </c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</row>
    <row r="19" spans="1:59" s="5" customFormat="1">
      <c r="A19" s="60"/>
      <c r="B19" s="61"/>
      <c r="C19" s="62"/>
      <c r="D19" s="61"/>
      <c r="E19" s="60"/>
      <c r="F19" s="91"/>
      <c r="G19" s="91"/>
      <c r="H19" s="91"/>
      <c r="I19" s="60"/>
      <c r="J19" s="60"/>
      <c r="K19" s="91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</row>
    <row r="20" spans="1:59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</row>
    <row r="21" spans="1:59">
      <c r="A21" s="60"/>
      <c r="B21" s="60"/>
      <c r="C21" s="60"/>
      <c r="D21" s="60"/>
      <c r="E21" s="60"/>
      <c r="F21" s="104"/>
      <c r="G21" s="104"/>
      <c r="H21" s="104"/>
      <c r="I21" s="60"/>
      <c r="J21" s="60"/>
      <c r="K21" s="104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</row>
    <row r="22" spans="1:59">
      <c r="A22" s="60"/>
      <c r="B22" s="60"/>
      <c r="C22" s="60"/>
      <c r="D22" s="60"/>
      <c r="E22" s="60"/>
      <c r="F22" s="91"/>
      <c r="G22" s="91"/>
      <c r="H22" s="91"/>
      <c r="I22" s="60"/>
      <c r="J22" s="60"/>
      <c r="K22" s="91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</row>
    <row r="23" spans="1:59">
      <c r="A23" s="60"/>
      <c r="B23" s="60"/>
      <c r="C23" s="60"/>
      <c r="D23" s="60"/>
      <c r="E23" s="60"/>
      <c r="F23" s="91"/>
      <c r="G23" s="91"/>
      <c r="H23" s="91"/>
      <c r="I23" s="60"/>
      <c r="J23" s="60"/>
      <c r="K23" s="91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</row>
    <row r="24" spans="1:59">
      <c r="A24" s="60"/>
      <c r="B24" s="60"/>
      <c r="C24" s="60"/>
      <c r="D24" s="60"/>
      <c r="E24" s="60"/>
      <c r="F24" s="91"/>
      <c r="G24" s="91"/>
      <c r="H24" s="91"/>
      <c r="I24" s="60"/>
      <c r="J24" s="60"/>
      <c r="K24" s="91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</row>
    <row r="25" spans="1:59">
      <c r="A25" s="60"/>
      <c r="B25" s="60"/>
      <c r="C25" s="60"/>
      <c r="D25" s="60"/>
      <c r="E25" s="60"/>
      <c r="F25" s="91"/>
      <c r="G25" s="91"/>
      <c r="H25" s="91"/>
      <c r="I25" s="60"/>
      <c r="J25" s="60"/>
      <c r="K25" s="91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</row>
    <row r="26" spans="1:59">
      <c r="A26" s="60"/>
      <c r="B26" s="60"/>
      <c r="C26" s="60"/>
      <c r="D26" s="60"/>
      <c r="E26" s="60"/>
      <c r="F26" s="91"/>
      <c r="G26" s="91"/>
      <c r="H26" s="91"/>
      <c r="I26" s="60"/>
      <c r="J26" s="60"/>
      <c r="K26" s="91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</row>
    <row r="27" spans="1:59">
      <c r="A27" s="60"/>
      <c r="B27" s="60"/>
      <c r="C27" s="60"/>
      <c r="D27" s="60"/>
      <c r="E27" s="60"/>
      <c r="F27" s="91"/>
      <c r="G27" s="91"/>
      <c r="H27" s="91"/>
      <c r="I27" s="60"/>
      <c r="J27" s="60"/>
      <c r="K27" s="91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</row>
    <row r="28" spans="1:59">
      <c r="A28" s="60"/>
      <c r="B28" s="60"/>
      <c r="C28" s="60"/>
      <c r="D28" s="60"/>
      <c r="E28" s="60"/>
      <c r="F28" s="91"/>
      <c r="G28" s="91"/>
      <c r="H28" s="91"/>
      <c r="I28" s="60"/>
      <c r="J28" s="60"/>
      <c r="K28" s="91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</row>
    <row r="29" spans="1:59">
      <c r="A29" s="60"/>
      <c r="B29" s="60"/>
      <c r="C29" s="60"/>
      <c r="D29" s="60"/>
      <c r="E29" s="60"/>
      <c r="F29" s="91"/>
      <c r="G29" s="91"/>
      <c r="H29" s="91"/>
      <c r="I29" s="60"/>
      <c r="J29" s="60"/>
      <c r="K29" s="91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</row>
    <row r="30" spans="1:59">
      <c r="A30" s="60"/>
      <c r="B30" s="60"/>
      <c r="C30" s="60"/>
      <c r="D30" s="60"/>
      <c r="E30" s="60"/>
      <c r="F30" s="91"/>
      <c r="G30" s="91"/>
      <c r="H30" s="91"/>
      <c r="I30" s="60"/>
      <c r="J30" s="60"/>
      <c r="K30" s="91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</row>
    <row r="31" spans="1:59">
      <c r="A31" s="60"/>
      <c r="B31" s="60"/>
      <c r="C31" s="60"/>
      <c r="D31" s="60"/>
      <c r="E31" s="60"/>
      <c r="F31" s="91"/>
      <c r="G31" s="91"/>
      <c r="H31" s="91"/>
      <c r="I31" s="60"/>
      <c r="J31" s="60"/>
      <c r="K31" s="91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</row>
    <row r="32" spans="1:59">
      <c r="A32" s="60"/>
      <c r="B32" s="60"/>
      <c r="C32" s="60"/>
      <c r="D32" s="60"/>
      <c r="E32" s="60"/>
      <c r="F32" s="91"/>
      <c r="G32" s="91"/>
      <c r="H32" s="91"/>
      <c r="I32" s="60"/>
      <c r="J32" s="60"/>
      <c r="K32" s="91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</row>
    <row r="33" spans="1:59">
      <c r="A33" s="60"/>
      <c r="B33" s="60"/>
      <c r="C33" s="60"/>
      <c r="D33" s="60"/>
      <c r="E33" s="60"/>
      <c r="F33" s="99"/>
      <c r="G33" s="99"/>
      <c r="H33" s="99"/>
      <c r="I33" s="60"/>
      <c r="J33" s="60"/>
      <c r="K33" s="99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</row>
    <row r="34" spans="1:59">
      <c r="A34" s="60"/>
      <c r="B34" s="60"/>
      <c r="C34" s="60"/>
      <c r="D34" s="60"/>
      <c r="E34" s="60"/>
      <c r="F34" s="91"/>
      <c r="G34" s="91"/>
      <c r="H34" s="91"/>
      <c r="I34" s="60"/>
      <c r="J34" s="60"/>
      <c r="K34" s="91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</row>
    <row r="35" spans="1:59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</row>
    <row r="36" spans="1:59">
      <c r="A36" s="60"/>
      <c r="B36" s="60"/>
      <c r="C36" s="60"/>
      <c r="D36" s="60"/>
      <c r="E36" s="60"/>
      <c r="F36" s="116"/>
      <c r="G36" s="116"/>
      <c r="H36" s="116"/>
      <c r="I36" s="60"/>
      <c r="J36" s="60"/>
      <c r="K36" s="116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</row>
    <row r="37" spans="1:59">
      <c r="A37" s="60"/>
      <c r="B37" s="60"/>
      <c r="C37" s="60"/>
      <c r="D37" s="60"/>
      <c r="E37" s="60"/>
      <c r="F37" s="116"/>
      <c r="G37" s="116"/>
      <c r="H37" s="116"/>
      <c r="I37" s="60"/>
      <c r="J37" s="60"/>
      <c r="K37" s="116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</row>
    <row r="38" spans="1:59">
      <c r="A38" s="60"/>
      <c r="B38" s="60"/>
      <c r="C38" s="60"/>
      <c r="D38" s="60"/>
      <c r="E38" s="60"/>
      <c r="F38" s="116"/>
      <c r="G38" s="116"/>
      <c r="H38" s="116"/>
      <c r="I38" s="60"/>
      <c r="J38" s="60"/>
      <c r="K38" s="116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</row>
    <row r="39" spans="1:59">
      <c r="A39" s="60"/>
      <c r="B39" s="60"/>
      <c r="C39" s="60"/>
      <c r="D39" s="60"/>
      <c r="E39" s="60"/>
      <c r="F39" s="116"/>
      <c r="G39" s="116"/>
      <c r="H39" s="116"/>
      <c r="I39" s="60"/>
      <c r="J39" s="60"/>
      <c r="K39" s="116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</row>
    <row r="40" spans="1:59">
      <c r="A40" s="60"/>
      <c r="B40" s="60"/>
      <c r="C40" s="60"/>
      <c r="D40" s="60"/>
      <c r="E40" s="60"/>
      <c r="F40" s="91"/>
      <c r="G40" s="91"/>
      <c r="H40" s="91"/>
      <c r="I40" s="60"/>
      <c r="J40" s="60"/>
      <c r="K40" s="91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</row>
    <row r="41" spans="1:59">
      <c r="A41" s="60"/>
      <c r="B41" s="60"/>
      <c r="C41" s="60"/>
      <c r="D41" s="60"/>
      <c r="E41" s="60"/>
      <c r="F41" s="116"/>
      <c r="G41" s="116"/>
      <c r="H41" s="116"/>
      <c r="I41" s="60"/>
      <c r="J41" s="60"/>
      <c r="K41" s="116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</row>
    <row r="42" spans="1:59">
      <c r="A42" s="60"/>
      <c r="B42" s="60"/>
      <c r="C42" s="60"/>
      <c r="D42" s="60"/>
      <c r="E42" s="60"/>
      <c r="F42" s="116"/>
      <c r="G42" s="116"/>
      <c r="H42" s="116"/>
      <c r="I42" s="60"/>
      <c r="J42" s="60"/>
      <c r="K42" s="116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</row>
    <row r="43" spans="1:59">
      <c r="A43" s="60"/>
      <c r="B43" s="60"/>
      <c r="C43" s="60"/>
      <c r="D43" s="60"/>
      <c r="E43" s="60"/>
      <c r="F43" s="116"/>
      <c r="G43" s="116"/>
      <c r="H43" s="116"/>
      <c r="I43" s="60"/>
      <c r="J43" s="60"/>
      <c r="K43" s="116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</row>
    <row r="44" spans="1:59">
      <c r="A44" s="60"/>
      <c r="B44" s="60"/>
      <c r="C44" s="60"/>
      <c r="D44" s="60"/>
      <c r="E44" s="60"/>
      <c r="F44" s="116"/>
      <c r="G44" s="116"/>
      <c r="H44" s="116"/>
      <c r="I44" s="60"/>
      <c r="J44" s="60"/>
      <c r="K44" s="116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</row>
    <row r="45" spans="1:59">
      <c r="A45" s="60"/>
      <c r="B45" s="60"/>
      <c r="C45" s="60"/>
      <c r="D45" s="60"/>
      <c r="E45" s="60"/>
      <c r="F45" s="116"/>
      <c r="G45" s="116"/>
      <c r="H45" s="116"/>
      <c r="I45" s="60"/>
      <c r="J45" s="60"/>
      <c r="K45" s="116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</row>
    <row r="46" spans="1:59">
      <c r="A46" s="60"/>
      <c r="B46" s="60"/>
      <c r="C46" s="60"/>
      <c r="D46" s="60"/>
      <c r="E46" s="60"/>
      <c r="F46" s="116"/>
      <c r="G46" s="116"/>
      <c r="H46" s="116"/>
      <c r="I46" s="60"/>
      <c r="J46" s="60"/>
      <c r="K46" s="116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</row>
    <row r="47" spans="1:59">
      <c r="A47" s="60"/>
      <c r="B47" s="60"/>
      <c r="C47" s="60"/>
      <c r="D47" s="60"/>
      <c r="E47" s="60"/>
      <c r="F47" s="116"/>
      <c r="G47" s="116"/>
      <c r="H47" s="116"/>
      <c r="I47" s="60"/>
      <c r="J47" s="60"/>
      <c r="K47" s="116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</row>
    <row r="48" spans="1:59">
      <c r="A48" s="60"/>
      <c r="B48" s="60"/>
      <c r="C48" s="60"/>
      <c r="D48" s="60"/>
      <c r="E48" s="60"/>
      <c r="F48" s="126"/>
      <c r="G48" s="126"/>
      <c r="H48" s="126"/>
      <c r="I48" s="60"/>
      <c r="J48" s="60"/>
      <c r="K48" s="126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</row>
    <row r="49" spans="1:59">
      <c r="A49" s="60"/>
      <c r="B49" s="60"/>
      <c r="C49" s="60"/>
      <c r="D49" s="60"/>
      <c r="E49" s="60"/>
      <c r="F49" s="126"/>
      <c r="G49" s="126"/>
      <c r="H49" s="126"/>
      <c r="I49" s="60"/>
      <c r="J49" s="60"/>
      <c r="K49" s="126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</row>
    <row r="50" spans="1:59">
      <c r="A50" s="60"/>
      <c r="B50" s="60"/>
      <c r="C50" s="60"/>
      <c r="D50" s="60"/>
      <c r="E50" s="60"/>
      <c r="F50" s="126"/>
      <c r="G50" s="126"/>
      <c r="H50" s="126"/>
      <c r="I50" s="60"/>
      <c r="J50" s="60"/>
      <c r="K50" s="126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</row>
    <row r="51" spans="1:59">
      <c r="A51" s="60"/>
      <c r="B51" s="60"/>
      <c r="C51" s="60"/>
      <c r="D51" s="60"/>
      <c r="E51" s="60"/>
      <c r="F51" s="126"/>
      <c r="G51" s="126"/>
      <c r="H51" s="126"/>
      <c r="I51" s="60"/>
      <c r="J51" s="60"/>
      <c r="K51" s="126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</row>
    <row r="52" spans="1:59">
      <c r="A52" s="60"/>
      <c r="B52" s="60"/>
      <c r="C52" s="60"/>
      <c r="D52" s="60"/>
      <c r="E52" s="60"/>
      <c r="F52" s="126"/>
      <c r="G52" s="126"/>
      <c r="H52" s="126"/>
      <c r="I52" s="60"/>
      <c r="J52" s="60"/>
      <c r="K52" s="126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</row>
    <row r="53" spans="1:59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</row>
    <row r="54" spans="1:59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</row>
    <row r="55" spans="1:59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</row>
    <row r="56" spans="1:59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</row>
    <row r="57" spans="1:59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</row>
    <row r="58" spans="1:59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</row>
    <row r="59" spans="1: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</row>
    <row r="60" spans="1:59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</row>
    <row r="61" spans="1:59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</row>
    <row r="62" spans="1:59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</row>
    <row r="63" spans="1:59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</row>
    <row r="64" spans="1:59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</row>
    <row r="65" spans="1:59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</row>
    <row r="66" spans="1:59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</row>
    <row r="67" spans="1:59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</row>
    <row r="68" spans="1:59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</row>
    <row r="69" spans="1:5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</row>
    <row r="70" spans="1:59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</row>
    <row r="71" spans="1:59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</row>
    <row r="72" spans="1:59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</row>
    <row r="73" spans="1:59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</row>
    <row r="74" spans="1:59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</row>
    <row r="75" spans="1:59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</row>
    <row r="76" spans="1:59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</row>
    <row r="77" spans="1:59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</row>
    <row r="78" spans="1:59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</row>
    <row r="79" spans="1:5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</row>
    <row r="80" spans="1:59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</row>
    <row r="81" spans="1:59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</row>
    <row r="82" spans="1:59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</row>
    <row r="83" spans="1:59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</row>
    <row r="84" spans="1:59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</row>
    <row r="85" spans="1:59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</row>
    <row r="86" spans="1:59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</row>
    <row r="87" spans="1:59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</row>
    <row r="88" spans="1:59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</row>
    <row r="89" spans="1:5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</row>
    <row r="90" spans="1:59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</row>
    <row r="91" spans="1:59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</row>
    <row r="92" spans="1:59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</row>
    <row r="93" spans="1:59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</row>
    <row r="94" spans="1:59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</row>
    <row r="95" spans="1:59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</row>
    <row r="96" spans="1:59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</row>
    <row r="97" spans="1:59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</row>
    <row r="98" spans="1:59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</row>
    <row r="99" spans="1:5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</row>
    <row r="100" spans="1:59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</row>
    <row r="101" spans="1:59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</row>
    <row r="102" spans="1:59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</row>
    <row r="103" spans="1:59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</row>
    <row r="104" spans="1:59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</row>
    <row r="105" spans="1:59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</row>
    <row r="106" spans="1:59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</row>
    <row r="107" spans="1:59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</row>
    <row r="108" spans="1:59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</row>
    <row r="109" spans="1:5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</row>
    <row r="110" spans="1:59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</row>
    <row r="111" spans="1:59">
      <c r="A111" s="60"/>
      <c r="B111" s="81"/>
      <c r="C111" s="60"/>
      <c r="D111" s="81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</row>
    <row r="112" spans="1:59">
      <c r="A112" s="60"/>
      <c r="B112" s="81"/>
      <c r="C112" s="60"/>
      <c r="D112" s="81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</row>
    <row r="113" spans="1:59">
      <c r="A113" s="60"/>
      <c r="B113" s="81"/>
      <c r="C113" s="60"/>
      <c r="D113" s="81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</row>
    <row r="114" spans="1:59">
      <c r="A114" s="60"/>
      <c r="B114" s="81"/>
      <c r="C114" s="60"/>
      <c r="D114" s="81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</row>
    <row r="115" spans="1:59">
      <c r="A115" s="60"/>
      <c r="B115" s="81"/>
      <c r="C115" s="60"/>
      <c r="D115" s="81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</row>
    <row r="116" spans="1:59">
      <c r="A116" s="60"/>
      <c r="B116" s="81"/>
      <c r="C116" s="60"/>
      <c r="D116" s="81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</row>
    <row r="117" spans="1:59">
      <c r="A117" s="60"/>
      <c r="B117" s="81"/>
      <c r="C117" s="60"/>
      <c r="D117" s="81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</row>
    <row r="118" spans="1:59">
      <c r="A118" s="60"/>
      <c r="B118" s="81"/>
      <c r="C118" s="60"/>
      <c r="D118" s="81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</row>
    <row r="119" spans="1:59">
      <c r="A119" s="60"/>
      <c r="B119" s="81"/>
      <c r="C119" s="60"/>
      <c r="D119" s="81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</row>
    <row r="120" spans="1:59">
      <c r="A120" s="60"/>
      <c r="B120" s="81"/>
      <c r="C120" s="60"/>
      <c r="D120" s="81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</row>
    <row r="121" spans="1:59">
      <c r="A121" s="60"/>
      <c r="B121" s="81"/>
      <c r="C121" s="60"/>
      <c r="D121" s="81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</row>
    <row r="122" spans="1:59">
      <c r="A122" s="60"/>
      <c r="B122" s="81"/>
      <c r="C122" s="60"/>
      <c r="D122" s="81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</row>
    <row r="123" spans="1:59">
      <c r="A123" s="60"/>
      <c r="B123" s="81"/>
      <c r="C123" s="60"/>
      <c r="D123" s="81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</row>
    <row r="124" spans="1:59">
      <c r="A124" s="60"/>
      <c r="B124" s="81"/>
      <c r="C124" s="60"/>
      <c r="D124" s="81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</row>
    <row r="125" spans="1:59">
      <c r="A125" s="60"/>
      <c r="B125" s="81"/>
      <c r="C125" s="60"/>
      <c r="D125" s="81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</row>
    <row r="126" spans="1:59">
      <c r="A126" s="60"/>
      <c r="B126" s="81"/>
      <c r="C126" s="60"/>
      <c r="D126" s="81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</row>
    <row r="127" spans="1:59">
      <c r="A127" s="60"/>
      <c r="B127" s="81"/>
      <c r="C127" s="60"/>
      <c r="D127" s="81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</row>
    <row r="128" spans="1:59">
      <c r="A128" s="60"/>
      <c r="B128" s="81"/>
      <c r="C128" s="60"/>
      <c r="D128" s="81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</row>
    <row r="129" spans="1:59">
      <c r="A129" s="60"/>
      <c r="B129" s="81"/>
      <c r="C129" s="60"/>
      <c r="D129" s="81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</row>
    <row r="130" spans="1:59">
      <c r="A130" s="60"/>
      <c r="B130" s="81"/>
      <c r="C130" s="60"/>
      <c r="D130" s="81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</row>
    <row r="131" spans="1:59">
      <c r="A131" s="60"/>
      <c r="B131" s="81"/>
      <c r="C131" s="60"/>
      <c r="D131" s="81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</row>
    <row r="132" spans="1:59">
      <c r="A132" s="60"/>
      <c r="B132" s="81"/>
      <c r="C132" s="60"/>
      <c r="D132" s="81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</row>
    <row r="133" spans="1:59">
      <c r="A133" s="60"/>
      <c r="B133" s="81"/>
      <c r="C133" s="60"/>
      <c r="D133" s="81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</row>
    <row r="134" spans="1:59">
      <c r="A134" s="60"/>
      <c r="B134" s="81"/>
      <c r="C134" s="60"/>
      <c r="D134" s="81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</row>
    <row r="135" spans="1:59">
      <c r="A135" s="60"/>
      <c r="B135" s="81"/>
      <c r="C135" s="60"/>
      <c r="D135" s="81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</row>
    <row r="136" spans="1:59">
      <c r="A136" s="60"/>
      <c r="B136" s="81"/>
      <c r="C136" s="60"/>
      <c r="D136" s="81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</row>
    <row r="137" spans="1:59">
      <c r="A137" s="60"/>
      <c r="B137" s="81"/>
      <c r="C137" s="60"/>
      <c r="D137" s="81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</row>
    <row r="138" spans="1:59">
      <c r="A138" s="60"/>
      <c r="B138" s="81"/>
      <c r="C138" s="60"/>
      <c r="D138" s="81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</row>
    <row r="139" spans="1:59">
      <c r="A139" s="60"/>
      <c r="B139" s="81"/>
      <c r="C139" s="60"/>
      <c r="D139" s="81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</row>
    <row r="140" spans="1:59">
      <c r="A140" s="60"/>
      <c r="B140" s="81"/>
      <c r="C140" s="60"/>
      <c r="D140" s="81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</row>
    <row r="141" spans="1:59">
      <c r="A141" s="60"/>
      <c r="B141" s="81"/>
      <c r="C141" s="60"/>
      <c r="D141" s="81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</row>
    <row r="142" spans="1:59">
      <c r="A142" s="60"/>
      <c r="B142" s="81"/>
      <c r="C142" s="60"/>
      <c r="D142" s="81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</row>
    <row r="143" spans="1:59">
      <c r="A143" s="60"/>
      <c r="B143" s="81"/>
      <c r="C143" s="60"/>
      <c r="D143" s="81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</row>
    <row r="144" spans="1:59">
      <c r="A144" s="60"/>
      <c r="B144" s="81"/>
      <c r="C144" s="60"/>
      <c r="D144" s="81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</row>
    <row r="145" spans="1:59">
      <c r="A145" s="60"/>
      <c r="B145" s="81"/>
      <c r="C145" s="60"/>
      <c r="D145" s="81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</row>
    <row r="146" spans="1:59">
      <c r="A146" s="60"/>
      <c r="B146" s="81"/>
      <c r="C146" s="60"/>
      <c r="D146" s="81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</row>
    <row r="147" spans="1:59">
      <c r="A147" s="60"/>
      <c r="B147" s="81"/>
      <c r="C147" s="60"/>
      <c r="D147" s="81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</row>
    <row r="148" spans="1:59">
      <c r="A148" s="60"/>
      <c r="B148" s="81"/>
      <c r="C148" s="60"/>
      <c r="D148" s="81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</row>
    <row r="149" spans="1:59">
      <c r="A149" s="60"/>
      <c r="B149" s="81"/>
      <c r="C149" s="60"/>
      <c r="D149" s="81"/>
      <c r="E149" s="60"/>
      <c r="I149" s="60"/>
      <c r="J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4B084"/>
    <pageSetUpPr autoPageBreaks="0"/>
  </sheetPr>
  <dimension ref="A1:BG149"/>
  <sheetViews>
    <sheetView showGridLines="0" zoomScale="99" zoomScaleNormal="85" workbookViewId="0">
      <pane xSplit="4" ySplit="3" topLeftCell="E47" activePane="bottomRight" state="frozen"/>
      <selection pane="topRight"/>
      <selection pane="bottomLeft" activeCell="E16" sqref="E16"/>
      <selection pane="bottomRight" activeCell="K60" sqref="K60"/>
    </sheetView>
  </sheetViews>
  <sheetFormatPr defaultRowHeight="14.5"/>
  <cols>
    <col min="1" max="1" width="40" style="15" bestFit="1" customWidth="1"/>
    <col min="2" max="2" width="4.453125" style="54" customWidth="1"/>
    <col min="3" max="3" width="27" style="49" bestFit="1" customWidth="1"/>
    <col min="4" max="4" width="11.81640625" style="49" bestFit="1" customWidth="1"/>
    <col min="5" max="5" width="15.6328125" style="4" bestFit="1" customWidth="1"/>
    <col min="6" max="8" width="10.7265625" style="59" customWidth="1"/>
    <col min="9" max="10" width="14.26953125" style="4" bestFit="1" customWidth="1"/>
    <col min="11" max="11" width="10.7265625" style="218" customWidth="1"/>
    <col min="12" max="12" width="13.6328125" style="4" bestFit="1" customWidth="1"/>
    <col min="13" max="15" width="14.26953125" style="4" bestFit="1" customWidth="1"/>
    <col min="16" max="16" width="17.6328125" style="4" bestFit="1" customWidth="1"/>
    <col min="17" max="19" width="15.26953125" style="4" bestFit="1" customWidth="1"/>
    <col min="20" max="20" width="15.26953125" bestFit="1" customWidth="1"/>
    <col min="21" max="21" width="16.54296875" bestFit="1" customWidth="1"/>
    <col min="22" max="22" width="15.26953125" bestFit="1" customWidth="1"/>
    <col min="23" max="23" width="16" bestFit="1" customWidth="1"/>
    <col min="24" max="24" width="10.453125" customWidth="1"/>
    <col min="25" max="25" width="34" bestFit="1" customWidth="1"/>
    <col min="26" max="26" width="14.26953125" bestFit="1" customWidth="1"/>
    <col min="27" max="27" width="33.6328125" bestFit="1" customWidth="1"/>
    <col min="28" max="28" width="21.26953125" bestFit="1" customWidth="1"/>
    <col min="29" max="29" width="16.54296875" bestFit="1" customWidth="1"/>
    <col min="30" max="30" width="27.26953125" bestFit="1" customWidth="1"/>
    <col min="31" max="31" width="10.6328125" customWidth="1"/>
    <col min="32" max="32" width="11.453125" customWidth="1"/>
    <col min="33" max="33" width="12.54296875" bestFit="1" customWidth="1"/>
    <col min="34" max="34" width="9.26953125" bestFit="1" customWidth="1"/>
    <col min="35" max="35" width="12.6328125" style="1" bestFit="1" customWidth="1"/>
    <col min="42" max="42" width="9.54296875" bestFit="1" customWidth="1"/>
  </cols>
  <sheetData>
    <row r="1" spans="1:59" s="3" customFormat="1" ht="18.399999999999999" customHeight="1">
      <c r="A1" s="164"/>
      <c r="B1" s="61"/>
      <c r="C1" s="62"/>
      <c r="D1" s="62"/>
      <c r="E1" s="165"/>
      <c r="F1" s="60"/>
      <c r="G1" s="60"/>
      <c r="H1" s="60"/>
      <c r="I1" s="165"/>
      <c r="J1" s="165"/>
      <c r="K1" s="60"/>
      <c r="L1" s="165"/>
      <c r="M1" s="165"/>
      <c r="N1" s="165"/>
      <c r="O1" s="165"/>
      <c r="P1" s="165"/>
      <c r="Q1" s="165"/>
      <c r="R1" s="165"/>
      <c r="S1" s="165"/>
      <c r="T1" s="165"/>
      <c r="U1" s="156"/>
      <c r="V1" s="156"/>
      <c r="W1" s="60"/>
      <c r="X1" s="60"/>
      <c r="Y1" s="60"/>
      <c r="Z1" s="60"/>
      <c r="AA1" s="60"/>
      <c r="AB1" s="60"/>
      <c r="AC1" s="60"/>
      <c r="AD1" s="60"/>
      <c r="AE1" s="104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</row>
    <row r="2" spans="1:59" s="229" customFormat="1">
      <c r="A2" s="225" t="s">
        <v>0</v>
      </c>
      <c r="B2" s="226"/>
      <c r="C2" s="226"/>
      <c r="D2" s="226"/>
      <c r="E2" s="227">
        <v>45657</v>
      </c>
      <c r="F2" s="227">
        <v>45747</v>
      </c>
      <c r="G2" s="227">
        <v>45838</v>
      </c>
      <c r="H2" s="227">
        <v>45930</v>
      </c>
      <c r="I2" s="227">
        <v>46022</v>
      </c>
      <c r="J2" s="227">
        <v>46112</v>
      </c>
      <c r="K2" s="227">
        <v>46203</v>
      </c>
      <c r="L2" s="227">
        <v>45747</v>
      </c>
      <c r="M2" s="227">
        <v>45838</v>
      </c>
      <c r="N2" s="227">
        <v>45930</v>
      </c>
      <c r="O2" s="227">
        <v>46022</v>
      </c>
      <c r="P2" s="227">
        <v>46112</v>
      </c>
      <c r="Q2" s="227">
        <v>46203</v>
      </c>
      <c r="R2" s="227">
        <v>46295</v>
      </c>
      <c r="S2" s="227">
        <v>46387</v>
      </c>
      <c r="T2" s="227"/>
      <c r="U2" s="227"/>
      <c r="V2" s="227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  <c r="BD2" s="228"/>
      <c r="BE2" s="228"/>
      <c r="BF2" s="228"/>
      <c r="BG2" s="228"/>
    </row>
    <row r="3" spans="1:59" s="232" customFormat="1">
      <c r="A3" s="68"/>
      <c r="B3" s="230"/>
      <c r="C3" s="230"/>
      <c r="D3" s="230"/>
      <c r="E3" s="231" t="s">
        <v>56</v>
      </c>
      <c r="F3" s="68"/>
      <c r="G3" s="68"/>
      <c r="H3" s="68"/>
      <c r="I3" s="68"/>
      <c r="J3" s="68"/>
      <c r="K3" s="231"/>
      <c r="L3" s="231" t="s">
        <v>42</v>
      </c>
      <c r="M3" s="68"/>
      <c r="N3" s="68"/>
      <c r="O3" s="68"/>
      <c r="P3" s="68"/>
      <c r="Q3" s="68"/>
      <c r="R3" s="68"/>
      <c r="S3" s="68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</row>
    <row r="4" spans="1:59" ht="14.65" customHeight="1">
      <c r="A4" s="60"/>
      <c r="B4" s="70" t="s">
        <v>42</v>
      </c>
      <c r="C4" s="71" t="s">
        <v>43</v>
      </c>
      <c r="D4" s="71" t="s">
        <v>3</v>
      </c>
      <c r="E4" s="166"/>
      <c r="F4" s="60"/>
      <c r="G4" s="60"/>
      <c r="H4" s="60"/>
      <c r="I4" s="166"/>
      <c r="J4" s="166"/>
      <c r="K4" s="60"/>
      <c r="L4" s="166"/>
      <c r="M4" s="166"/>
      <c r="N4" s="166"/>
      <c r="O4" s="166"/>
      <c r="P4" s="166"/>
      <c r="Q4" s="166"/>
      <c r="R4" s="166"/>
      <c r="S4" s="166"/>
      <c r="T4" s="167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</row>
    <row r="5" spans="1:59" ht="15" customHeight="1">
      <c r="A5" s="168" t="s">
        <v>165</v>
      </c>
      <c r="B5" s="75"/>
      <c r="C5" s="74" t="s">
        <v>166</v>
      </c>
      <c r="D5" s="77"/>
      <c r="E5" s="164"/>
      <c r="F5" s="60"/>
      <c r="G5" s="60"/>
      <c r="H5" s="60"/>
      <c r="I5" s="169"/>
      <c r="J5" s="169"/>
      <c r="K5" s="60"/>
      <c r="L5" s="164"/>
      <c r="M5" s="164"/>
      <c r="N5" s="164"/>
      <c r="O5" s="169"/>
      <c r="P5" s="164"/>
      <c r="Q5" s="164"/>
      <c r="R5" s="164"/>
      <c r="S5" s="164"/>
      <c r="T5" s="164"/>
      <c r="U5" s="60"/>
      <c r="V5" s="84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</row>
    <row r="6" spans="1:59">
      <c r="A6" s="168" t="s">
        <v>167</v>
      </c>
      <c r="B6" s="73" t="s">
        <v>25</v>
      </c>
      <c r="C6" s="222" t="s">
        <v>168</v>
      </c>
      <c r="D6" s="297" t="s">
        <v>169</v>
      </c>
      <c r="E6" s="170">
        <v>535096.5</v>
      </c>
      <c r="F6" s="60"/>
      <c r="G6" s="60"/>
      <c r="H6" s="60"/>
      <c r="I6" s="136">
        <v>174125</v>
      </c>
      <c r="J6" s="136">
        <v>186369</v>
      </c>
      <c r="K6" s="60"/>
      <c r="L6" s="171">
        <f>696500/4</f>
        <v>174125</v>
      </c>
      <c r="M6" s="171">
        <f>696500/4</f>
        <v>174125</v>
      </c>
      <c r="N6" s="171">
        <f>696500/4</f>
        <v>174125</v>
      </c>
      <c r="O6" s="136">
        <f>696500/4</f>
        <v>174125</v>
      </c>
      <c r="P6" s="136">
        <f>745476/4</f>
        <v>186369</v>
      </c>
      <c r="Q6" s="136">
        <f>745476/4</f>
        <v>186369</v>
      </c>
      <c r="R6" s="136">
        <f>745476/4</f>
        <v>186369</v>
      </c>
      <c r="S6" s="136">
        <f>745476/4</f>
        <v>186369</v>
      </c>
      <c r="T6" s="172" t="s">
        <v>170</v>
      </c>
      <c r="U6" s="104"/>
      <c r="V6" s="173"/>
      <c r="W6" s="60"/>
      <c r="X6" s="60"/>
      <c r="Y6" s="60"/>
      <c r="Z6" s="60"/>
      <c r="AA6" s="118"/>
      <c r="AB6" s="118"/>
      <c r="AC6" s="118"/>
      <c r="AD6" s="118"/>
      <c r="AE6" s="126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</row>
    <row r="7" spans="1:59">
      <c r="A7" s="168" t="s">
        <v>171</v>
      </c>
      <c r="B7" s="73" t="s">
        <v>25</v>
      </c>
      <c r="C7" s="72" t="s">
        <v>172</v>
      </c>
      <c r="D7" s="297" t="s">
        <v>169</v>
      </c>
      <c r="E7" s="170">
        <v>535096.5</v>
      </c>
      <c r="F7" s="60"/>
      <c r="G7" s="60"/>
      <c r="H7" s="60"/>
      <c r="I7" s="171">
        <v>176042</v>
      </c>
      <c r="J7" s="171">
        <v>181323.26</v>
      </c>
      <c r="K7" s="60"/>
      <c r="L7" s="171">
        <f>704168/4</f>
        <v>176042</v>
      </c>
      <c r="M7" s="171">
        <f>704168/4</f>
        <v>176042</v>
      </c>
      <c r="N7" s="171">
        <f>704168/4</f>
        <v>176042</v>
      </c>
      <c r="O7" s="171">
        <f>704168/4</f>
        <v>176042</v>
      </c>
      <c r="P7" s="171">
        <f>+O7*1.03</f>
        <v>181323.26</v>
      </c>
      <c r="Q7" s="171">
        <f>+P7</f>
        <v>181323.26</v>
      </c>
      <c r="R7" s="171">
        <f>+Q7</f>
        <v>181323.26</v>
      </c>
      <c r="S7" s="171">
        <f>+R7</f>
        <v>181323.26</v>
      </c>
      <c r="T7" s="126"/>
      <c r="U7" s="60"/>
      <c r="V7" s="173"/>
      <c r="W7" s="60"/>
      <c r="X7" s="60"/>
      <c r="Y7" s="126"/>
      <c r="Z7" s="126"/>
      <c r="AA7" s="126"/>
      <c r="AB7" s="126"/>
      <c r="AC7" s="126"/>
      <c r="AD7" s="126"/>
      <c r="AE7" s="126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</row>
    <row r="8" spans="1:59">
      <c r="A8" s="168" t="s">
        <v>173</v>
      </c>
      <c r="B8" s="73" t="s">
        <v>25</v>
      </c>
      <c r="C8" s="72" t="s">
        <v>168</v>
      </c>
      <c r="D8" s="74" t="s">
        <v>174</v>
      </c>
      <c r="E8" s="170">
        <v>569458</v>
      </c>
      <c r="F8" s="60"/>
      <c r="G8" s="60"/>
      <c r="H8" s="60"/>
      <c r="I8" s="136">
        <v>161030</v>
      </c>
      <c r="J8" s="136">
        <v>208682.75</v>
      </c>
      <c r="K8" s="60"/>
      <c r="L8" s="171">
        <f>644120/4</f>
        <v>161030</v>
      </c>
      <c r="M8" s="171">
        <f>644120/4</f>
        <v>161030</v>
      </c>
      <c r="N8" s="171">
        <f>644120/4</f>
        <v>161030</v>
      </c>
      <c r="O8" s="136">
        <f>644120/4</f>
        <v>161030</v>
      </c>
      <c r="P8" s="136">
        <f>834731/4</f>
        <v>208682.75</v>
      </c>
      <c r="Q8" s="136">
        <f>834731/4</f>
        <v>208682.75</v>
      </c>
      <c r="R8" s="136">
        <f>834731/4</f>
        <v>208682.75</v>
      </c>
      <c r="S8" s="136">
        <f>834731/4</f>
        <v>208682.75</v>
      </c>
      <c r="T8" s="126"/>
      <c r="U8" s="62"/>
      <c r="V8" s="174"/>
      <c r="W8" s="60"/>
      <c r="X8" s="60"/>
      <c r="Y8" s="126"/>
      <c r="Z8" s="118"/>
      <c r="AA8" s="118"/>
      <c r="AB8" s="118"/>
      <c r="AC8" s="118"/>
      <c r="AD8" s="118"/>
      <c r="AE8" s="126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</row>
    <row r="9" spans="1:59">
      <c r="A9" s="168" t="s">
        <v>175</v>
      </c>
      <c r="B9" s="72" t="s">
        <v>25</v>
      </c>
      <c r="C9" s="72" t="s">
        <v>172</v>
      </c>
      <c r="D9" s="72" t="s">
        <v>174</v>
      </c>
      <c r="E9" s="126"/>
      <c r="F9" s="60"/>
      <c r="G9" s="60"/>
      <c r="H9" s="60"/>
      <c r="I9" s="171">
        <v>70827.75</v>
      </c>
      <c r="J9" s="171">
        <v>72952.582500000004</v>
      </c>
      <c r="K9" s="60"/>
      <c r="L9" s="171">
        <f>283311/4</f>
        <v>70827.75</v>
      </c>
      <c r="M9" s="171">
        <f>283311/4</f>
        <v>70827.75</v>
      </c>
      <c r="N9" s="171">
        <f>283311/4</f>
        <v>70827.75</v>
      </c>
      <c r="O9" s="171">
        <f>283311/4</f>
        <v>70827.75</v>
      </c>
      <c r="P9" s="171">
        <f>+O9*1.03</f>
        <v>72952.582500000004</v>
      </c>
      <c r="Q9" s="171">
        <f>+P9</f>
        <v>72952.582500000004</v>
      </c>
      <c r="R9" s="171">
        <f>+Q9</f>
        <v>72952.582500000004</v>
      </c>
      <c r="S9" s="171">
        <f>+R9</f>
        <v>72952.582500000004</v>
      </c>
      <c r="T9" s="126"/>
      <c r="U9" s="62"/>
      <c r="V9" s="175"/>
      <c r="W9" s="60"/>
      <c r="X9" s="60"/>
      <c r="Y9" s="126"/>
      <c r="Z9" s="126"/>
      <c r="AA9" s="126"/>
      <c r="AB9" s="126"/>
      <c r="AC9" s="126"/>
      <c r="AD9" s="126"/>
      <c r="AE9" s="126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</row>
    <row r="10" spans="1:59">
      <c r="A10" s="168" t="s">
        <v>176</v>
      </c>
      <c r="B10" s="72" t="s">
        <v>25</v>
      </c>
      <c r="C10" s="72" t="s">
        <v>168</v>
      </c>
      <c r="D10" s="72" t="s">
        <v>177</v>
      </c>
      <c r="E10" s="126"/>
      <c r="F10" s="91"/>
      <c r="G10" s="91"/>
      <c r="H10" s="91"/>
      <c r="I10" s="171">
        <v>0</v>
      </c>
      <c r="J10" s="171">
        <v>0</v>
      </c>
      <c r="K10" s="91"/>
      <c r="L10" s="171">
        <v>0</v>
      </c>
      <c r="M10" s="171">
        <v>0</v>
      </c>
      <c r="N10" s="171">
        <v>0</v>
      </c>
      <c r="O10" s="171">
        <v>0</v>
      </c>
      <c r="P10" s="171">
        <v>0</v>
      </c>
      <c r="Q10" s="136">
        <v>0</v>
      </c>
      <c r="R10" s="136">
        <v>0</v>
      </c>
      <c r="S10" s="136">
        <v>0</v>
      </c>
      <c r="T10" s="126"/>
      <c r="U10" s="62"/>
      <c r="V10" s="176"/>
      <c r="W10" s="60"/>
      <c r="X10" s="60"/>
      <c r="Y10" s="126"/>
      <c r="Z10" s="126"/>
      <c r="AA10" s="126"/>
      <c r="AB10" s="118"/>
      <c r="AC10" s="118"/>
      <c r="AD10" s="118"/>
      <c r="AE10" s="126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</row>
    <row r="11" spans="1:59">
      <c r="A11" s="168" t="s">
        <v>178</v>
      </c>
      <c r="B11" s="72" t="s">
        <v>25</v>
      </c>
      <c r="C11" s="72" t="s">
        <v>172</v>
      </c>
      <c r="D11" s="72" t="s">
        <v>177</v>
      </c>
      <c r="E11" s="126"/>
      <c r="F11" s="60"/>
      <c r="G11" s="60"/>
      <c r="H11" s="60"/>
      <c r="I11" s="171"/>
      <c r="J11" s="171"/>
      <c r="K11" s="60"/>
      <c r="L11" s="171"/>
      <c r="M11" s="171"/>
      <c r="N11" s="171"/>
      <c r="O11" s="171"/>
      <c r="P11" s="171"/>
      <c r="Q11" s="136"/>
      <c r="R11" s="136"/>
      <c r="S11" s="136"/>
      <c r="T11" s="126"/>
      <c r="U11" s="62"/>
      <c r="V11" s="176"/>
      <c r="W11" s="60"/>
      <c r="X11" s="60"/>
      <c r="Y11" s="126"/>
      <c r="Z11" s="126"/>
      <c r="AA11" s="126"/>
      <c r="AB11" s="118"/>
      <c r="AC11" s="118"/>
      <c r="AD11" s="118"/>
      <c r="AE11" s="126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</row>
    <row r="12" spans="1:59">
      <c r="A12" s="168" t="s">
        <v>179</v>
      </c>
      <c r="B12" s="72" t="s">
        <v>25</v>
      </c>
      <c r="C12" s="72" t="s">
        <v>168</v>
      </c>
      <c r="D12" s="72" t="s">
        <v>180</v>
      </c>
      <c r="E12" s="126"/>
      <c r="F12" s="95"/>
      <c r="G12" s="95"/>
      <c r="H12" s="95"/>
      <c r="I12" s="171">
        <v>0</v>
      </c>
      <c r="J12" s="171">
        <v>0</v>
      </c>
      <c r="K12" s="95"/>
      <c r="L12" s="171">
        <v>0</v>
      </c>
      <c r="M12" s="171">
        <v>0</v>
      </c>
      <c r="N12" s="171">
        <v>0</v>
      </c>
      <c r="O12" s="171">
        <v>0</v>
      </c>
      <c r="P12" s="171">
        <v>0</v>
      </c>
      <c r="Q12" s="171">
        <v>0</v>
      </c>
      <c r="R12" s="171">
        <v>0</v>
      </c>
      <c r="S12" s="171">
        <v>0</v>
      </c>
      <c r="T12" s="126"/>
      <c r="U12" s="62"/>
      <c r="V12" s="177"/>
      <c r="W12" s="60"/>
      <c r="X12" s="60"/>
      <c r="Y12" s="126"/>
      <c r="Z12" s="126"/>
      <c r="AA12" s="126"/>
      <c r="AB12" s="126"/>
      <c r="AC12" s="126"/>
      <c r="AD12" s="126"/>
      <c r="AE12" s="126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</row>
    <row r="13" spans="1:59">
      <c r="A13" s="168" t="s">
        <v>181</v>
      </c>
      <c r="B13" s="72" t="s">
        <v>25</v>
      </c>
      <c r="C13" s="72" t="s">
        <v>168</v>
      </c>
      <c r="D13" s="72" t="s">
        <v>182</v>
      </c>
      <c r="E13" s="126"/>
      <c r="F13" s="95"/>
      <c r="G13" s="95"/>
      <c r="H13" s="95"/>
      <c r="I13" s="171">
        <v>0</v>
      </c>
      <c r="J13" s="171">
        <v>0</v>
      </c>
      <c r="K13" s="95"/>
      <c r="L13" s="171">
        <v>0</v>
      </c>
      <c r="M13" s="171">
        <v>0</v>
      </c>
      <c r="N13" s="171">
        <v>0</v>
      </c>
      <c r="O13" s="171">
        <v>0</v>
      </c>
      <c r="P13" s="171">
        <v>0</v>
      </c>
      <c r="Q13" s="171"/>
      <c r="R13" s="171"/>
      <c r="S13" s="171"/>
      <c r="T13" s="126"/>
      <c r="U13" s="62"/>
      <c r="V13" s="177"/>
      <c r="W13" s="110"/>
      <c r="X13" s="110"/>
      <c r="Y13" s="110"/>
      <c r="Z13" s="110"/>
      <c r="AA13" s="110"/>
      <c r="AB13" s="110"/>
      <c r="AC13" s="110"/>
      <c r="AD13" s="110"/>
      <c r="AE13" s="11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</row>
    <row r="14" spans="1:59">
      <c r="A14" s="168" t="s">
        <v>183</v>
      </c>
      <c r="B14" s="72" t="s">
        <v>25</v>
      </c>
      <c r="C14" s="72" t="s">
        <v>168</v>
      </c>
      <c r="D14" s="72" t="s">
        <v>184</v>
      </c>
      <c r="E14" s="126"/>
      <c r="F14" s="60"/>
      <c r="G14" s="60"/>
      <c r="H14" s="60"/>
      <c r="I14" s="171"/>
      <c r="J14" s="171"/>
      <c r="K14" s="60"/>
      <c r="L14" s="171"/>
      <c r="M14" s="171"/>
      <c r="N14" s="171"/>
      <c r="O14" s="171"/>
      <c r="P14" s="171"/>
      <c r="Q14" s="171"/>
      <c r="R14" s="171"/>
      <c r="S14" s="171">
        <v>0</v>
      </c>
      <c r="T14" s="126"/>
      <c r="U14" s="62"/>
      <c r="V14" s="177"/>
      <c r="W14" s="110"/>
      <c r="X14" s="110"/>
      <c r="Y14" s="110"/>
      <c r="Z14" s="110"/>
      <c r="AA14" s="110"/>
      <c r="AB14" s="110"/>
      <c r="AC14" s="110"/>
      <c r="AD14" s="110"/>
      <c r="AE14" s="11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</row>
    <row r="15" spans="1:59" s="48" customFormat="1">
      <c r="A15" s="168" t="s">
        <v>185</v>
      </c>
      <c r="B15" s="61"/>
      <c r="C15" s="62"/>
      <c r="D15" s="62"/>
      <c r="E15" s="126"/>
      <c r="F15" s="60"/>
      <c r="G15" s="60"/>
      <c r="H15" s="60"/>
      <c r="I15" s="126"/>
      <c r="J15" s="126"/>
      <c r="K15" s="60"/>
      <c r="L15" s="126"/>
      <c r="M15" s="126"/>
      <c r="N15" s="126"/>
      <c r="O15" s="126"/>
      <c r="P15" s="126"/>
      <c r="Q15" s="126"/>
      <c r="R15" s="126"/>
      <c r="S15" s="126"/>
      <c r="T15" s="126"/>
      <c r="U15" s="62"/>
      <c r="V15" s="177"/>
      <c r="W15" s="110"/>
      <c r="X15" s="110"/>
      <c r="Y15" s="110"/>
      <c r="Z15" s="110"/>
      <c r="AA15" s="110"/>
      <c r="AB15" s="110"/>
      <c r="AC15" s="110"/>
      <c r="AD15" s="110"/>
      <c r="AE15" s="11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</row>
    <row r="16" spans="1:59" s="48" customFormat="1">
      <c r="A16" s="168" t="s">
        <v>185</v>
      </c>
      <c r="B16" s="61"/>
      <c r="C16" s="62"/>
      <c r="D16" s="62"/>
      <c r="E16" s="126"/>
      <c r="F16" s="60"/>
      <c r="G16" s="60"/>
      <c r="H16" s="60"/>
      <c r="I16" s="126"/>
      <c r="J16" s="126"/>
      <c r="K16" s="60"/>
      <c r="L16" s="126"/>
      <c r="M16" s="126"/>
      <c r="N16" s="126"/>
      <c r="O16" s="126"/>
      <c r="P16" s="126"/>
      <c r="Q16" s="126"/>
      <c r="R16" s="126"/>
      <c r="S16" s="126"/>
      <c r="T16" s="126"/>
      <c r="U16" s="62"/>
      <c r="V16" s="177"/>
      <c r="W16" s="110"/>
      <c r="X16" s="110"/>
      <c r="Y16" s="110"/>
      <c r="Z16" s="110"/>
      <c r="AA16" s="110"/>
      <c r="AB16" s="110"/>
      <c r="AC16" s="110"/>
      <c r="AD16" s="110"/>
      <c r="AE16" s="11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</row>
    <row r="17" spans="1:46" s="48" customFormat="1">
      <c r="A17" s="168" t="s">
        <v>185</v>
      </c>
      <c r="B17" s="61"/>
      <c r="C17" s="62"/>
      <c r="D17" s="62"/>
      <c r="E17" s="126"/>
      <c r="F17" s="99"/>
      <c r="G17" s="99"/>
      <c r="H17" s="99"/>
      <c r="I17" s="126"/>
      <c r="J17" s="126"/>
      <c r="K17" s="99"/>
      <c r="L17" s="126"/>
      <c r="M17" s="126"/>
      <c r="N17" s="126"/>
      <c r="O17" s="126"/>
      <c r="P17" s="126"/>
      <c r="Q17" s="126"/>
      <c r="R17" s="126"/>
      <c r="S17" s="126"/>
      <c r="T17" s="126"/>
      <c r="U17" s="62"/>
      <c r="V17" s="177"/>
      <c r="W17" s="110"/>
      <c r="X17" s="110"/>
      <c r="Y17" s="110"/>
      <c r="Z17" s="110"/>
      <c r="AA17" s="110"/>
      <c r="AB17" s="110"/>
      <c r="AC17" s="110"/>
      <c r="AD17" s="110"/>
      <c r="AE17" s="11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</row>
    <row r="18" spans="1:46" s="48" customFormat="1">
      <c r="A18" s="168" t="s">
        <v>185</v>
      </c>
      <c r="B18" s="61"/>
      <c r="C18" s="62"/>
      <c r="D18" s="62"/>
      <c r="E18" s="126"/>
      <c r="F18" s="99"/>
      <c r="G18" s="99"/>
      <c r="H18" s="99"/>
      <c r="I18" s="126"/>
      <c r="J18" s="126"/>
      <c r="K18" s="99"/>
      <c r="L18" s="126"/>
      <c r="M18" s="126"/>
      <c r="N18" s="126"/>
      <c r="O18" s="126"/>
      <c r="P18" s="126"/>
      <c r="Q18" s="126"/>
      <c r="R18" s="126"/>
      <c r="S18" s="126"/>
      <c r="T18" s="126"/>
      <c r="U18" s="62"/>
      <c r="V18" s="177"/>
      <c r="W18" s="110"/>
      <c r="X18" s="110"/>
      <c r="Y18" s="110"/>
      <c r="Z18" s="110"/>
      <c r="AA18" s="110"/>
      <c r="AB18" s="110"/>
      <c r="AC18" s="110"/>
      <c r="AD18" s="110"/>
      <c r="AE18" s="11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</row>
    <row r="19" spans="1:46" s="48" customFormat="1">
      <c r="A19" s="168" t="s">
        <v>185</v>
      </c>
      <c r="B19" s="61"/>
      <c r="C19" s="62"/>
      <c r="D19" s="62"/>
      <c r="E19" s="126"/>
      <c r="F19" s="91"/>
      <c r="G19" s="91"/>
      <c r="H19" s="91"/>
      <c r="I19" s="126"/>
      <c r="J19" s="126"/>
      <c r="K19" s="91"/>
      <c r="L19" s="126"/>
      <c r="M19" s="126"/>
      <c r="N19" s="126"/>
      <c r="O19" s="126"/>
      <c r="P19" s="126"/>
      <c r="Q19" s="126"/>
      <c r="R19" s="126"/>
      <c r="S19" s="126"/>
      <c r="T19" s="126"/>
      <c r="U19" s="62"/>
      <c r="V19" s="177"/>
      <c r="W19" s="110"/>
      <c r="X19" s="110"/>
      <c r="Y19" s="110"/>
      <c r="Z19" s="110"/>
      <c r="AA19" s="110"/>
      <c r="AB19" s="110"/>
      <c r="AC19" s="110"/>
      <c r="AD19" s="110"/>
      <c r="AE19" s="11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</row>
    <row r="20" spans="1:46" s="48" customFormat="1">
      <c r="A20" s="168" t="s">
        <v>185</v>
      </c>
      <c r="B20" s="61"/>
      <c r="C20" s="62"/>
      <c r="D20" s="62"/>
      <c r="E20" s="126"/>
      <c r="F20" s="60"/>
      <c r="G20" s="60"/>
      <c r="H20" s="60"/>
      <c r="I20" s="126"/>
      <c r="J20" s="126"/>
      <c r="K20" s="60"/>
      <c r="L20" s="126"/>
      <c r="M20" s="126"/>
      <c r="N20" s="126"/>
      <c r="O20" s="126"/>
      <c r="P20" s="126"/>
      <c r="Q20" s="126"/>
      <c r="R20" s="126"/>
      <c r="S20" s="126"/>
      <c r="T20" s="126"/>
      <c r="U20" s="62"/>
      <c r="V20" s="177"/>
      <c r="W20" s="110"/>
      <c r="X20" s="110"/>
      <c r="Y20" s="110"/>
      <c r="Z20" s="110"/>
      <c r="AA20" s="110"/>
      <c r="AB20" s="110"/>
      <c r="AC20" s="110"/>
      <c r="AD20" s="110"/>
      <c r="AE20" s="11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</row>
    <row r="21" spans="1:46" s="48" customFormat="1">
      <c r="A21" s="168" t="s">
        <v>185</v>
      </c>
      <c r="B21" s="61"/>
      <c r="C21" s="62"/>
      <c r="D21" s="62"/>
      <c r="E21" s="126"/>
      <c r="F21" s="104"/>
      <c r="G21" s="104"/>
      <c r="H21" s="104"/>
      <c r="I21" s="126"/>
      <c r="J21" s="126"/>
      <c r="K21" s="104"/>
      <c r="L21" s="126"/>
      <c r="M21" s="126"/>
      <c r="N21" s="126"/>
      <c r="O21" s="126"/>
      <c r="P21" s="126"/>
      <c r="Q21" s="126"/>
      <c r="R21" s="126"/>
      <c r="S21" s="126"/>
      <c r="T21" s="126"/>
      <c r="U21" s="62"/>
      <c r="V21" s="177"/>
      <c r="W21" s="110"/>
      <c r="X21" s="110"/>
      <c r="Y21" s="110"/>
      <c r="Z21" s="110"/>
      <c r="AA21" s="110"/>
      <c r="AB21" s="110"/>
      <c r="AC21" s="110"/>
      <c r="AD21" s="110"/>
      <c r="AE21" s="11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</row>
    <row r="22" spans="1:46" s="48" customFormat="1">
      <c r="A22" s="168" t="s">
        <v>185</v>
      </c>
      <c r="B22" s="61"/>
      <c r="C22" s="62"/>
      <c r="D22" s="62"/>
      <c r="E22" s="126"/>
      <c r="F22" s="91"/>
      <c r="G22" s="91"/>
      <c r="H22" s="91"/>
      <c r="I22" s="126"/>
      <c r="J22" s="126"/>
      <c r="K22" s="91"/>
      <c r="L22" s="126"/>
      <c r="M22" s="126"/>
      <c r="N22" s="126"/>
      <c r="O22" s="126"/>
      <c r="P22" s="126"/>
      <c r="Q22" s="126"/>
      <c r="R22" s="126"/>
      <c r="S22" s="126"/>
      <c r="T22" s="126"/>
      <c r="U22" s="62"/>
      <c r="V22" s="177"/>
      <c r="W22" s="110"/>
      <c r="X22" s="110"/>
      <c r="Y22" s="110"/>
      <c r="Z22" s="110"/>
      <c r="AA22" s="110"/>
      <c r="AB22" s="110"/>
      <c r="AC22" s="110"/>
      <c r="AD22" s="110"/>
      <c r="AE22" s="11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</row>
    <row r="23" spans="1:46" s="48" customFormat="1">
      <c r="A23" s="168" t="s">
        <v>185</v>
      </c>
      <c r="B23" s="61"/>
      <c r="C23" s="62"/>
      <c r="D23" s="62"/>
      <c r="E23" s="126"/>
      <c r="F23" s="91"/>
      <c r="G23" s="91"/>
      <c r="H23" s="91"/>
      <c r="I23" s="126"/>
      <c r="J23" s="126"/>
      <c r="K23" s="91"/>
      <c r="L23" s="126"/>
      <c r="M23" s="126"/>
      <c r="N23" s="126"/>
      <c r="O23" s="126"/>
      <c r="P23" s="126"/>
      <c r="Q23" s="126"/>
      <c r="R23" s="126"/>
      <c r="S23" s="126"/>
      <c r="T23" s="126"/>
      <c r="U23" s="62"/>
      <c r="V23" s="177"/>
      <c r="W23" s="110"/>
      <c r="X23" s="110"/>
      <c r="Y23" s="110"/>
      <c r="Z23" s="110"/>
      <c r="AA23" s="110"/>
      <c r="AB23" s="110"/>
      <c r="AC23" s="110"/>
      <c r="AD23" s="110"/>
      <c r="AE23" s="11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</row>
    <row r="24" spans="1:46" ht="15" customHeight="1">
      <c r="A24" s="168" t="s">
        <v>186</v>
      </c>
      <c r="B24" s="72" t="s">
        <v>25</v>
      </c>
      <c r="C24" s="72" t="s">
        <v>168</v>
      </c>
      <c r="D24" s="72" t="s">
        <v>187</v>
      </c>
      <c r="E24" s="126"/>
      <c r="F24" s="91"/>
      <c r="G24" s="91"/>
      <c r="H24" s="91"/>
      <c r="I24" s="171"/>
      <c r="J24" s="171"/>
      <c r="K24" s="91"/>
      <c r="L24" s="171"/>
      <c r="M24" s="171"/>
      <c r="N24" s="171"/>
      <c r="O24" s="171"/>
      <c r="P24" s="171"/>
      <c r="Q24" s="171"/>
      <c r="R24" s="171"/>
      <c r="S24" s="171"/>
      <c r="T24" s="126"/>
      <c r="U24" s="156"/>
      <c r="V24" s="156"/>
      <c r="W24" s="60"/>
      <c r="X24" s="60"/>
      <c r="Y24" s="60"/>
      <c r="Z24" s="110"/>
      <c r="AA24" s="110"/>
      <c r="AB24" s="110"/>
      <c r="AC24" s="110"/>
      <c r="AD24" s="110"/>
      <c r="AE24" s="11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</row>
    <row r="25" spans="1:46">
      <c r="A25" s="178" t="s">
        <v>188</v>
      </c>
      <c r="B25" s="72" t="s">
        <v>79</v>
      </c>
      <c r="C25" s="72" t="s">
        <v>189</v>
      </c>
      <c r="D25" s="60"/>
      <c r="E25" s="126"/>
      <c r="F25" s="91"/>
      <c r="G25" s="91"/>
      <c r="H25" s="91"/>
      <c r="I25" s="126">
        <v>582024.75</v>
      </c>
      <c r="J25" s="126">
        <v>649327.59250000003</v>
      </c>
      <c r="K25" s="91"/>
      <c r="L25" s="126">
        <f t="shared" ref="L25:S25" si="0">SUM(L6:L24)</f>
        <v>582024.75</v>
      </c>
      <c r="M25" s="126">
        <f t="shared" si="0"/>
        <v>582024.75</v>
      </c>
      <c r="N25" s="126">
        <f t="shared" si="0"/>
        <v>582024.75</v>
      </c>
      <c r="O25" s="126">
        <f t="shared" si="0"/>
        <v>582024.75</v>
      </c>
      <c r="P25" s="126">
        <f t="shared" si="0"/>
        <v>649327.59250000003</v>
      </c>
      <c r="Q25" s="126">
        <f t="shared" si="0"/>
        <v>649327.59250000003</v>
      </c>
      <c r="R25" s="126">
        <f t="shared" si="0"/>
        <v>649327.59250000003</v>
      </c>
      <c r="S25" s="126">
        <f t="shared" si="0"/>
        <v>649327.59250000003</v>
      </c>
      <c r="T25" s="126"/>
      <c r="U25" s="179"/>
      <c r="V25" s="156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</row>
    <row r="26" spans="1:46" ht="15" customHeight="1">
      <c r="A26" s="60"/>
      <c r="B26" s="60"/>
      <c r="C26" s="60"/>
      <c r="D26" s="60"/>
      <c r="E26" s="126"/>
      <c r="F26" s="91"/>
      <c r="G26" s="91"/>
      <c r="H26" s="91"/>
      <c r="I26" s="126"/>
      <c r="J26" s="126"/>
      <c r="K26" s="91"/>
      <c r="L26" s="126"/>
      <c r="M26" s="126"/>
      <c r="N26" s="126"/>
      <c r="O26" s="126"/>
      <c r="P26" s="126"/>
      <c r="Q26" s="126"/>
      <c r="R26" s="126"/>
      <c r="S26" s="126"/>
      <c r="T26" s="126"/>
      <c r="U26" s="179"/>
      <c r="V26" s="156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</row>
    <row r="27" spans="1:46">
      <c r="A27" s="168" t="s">
        <v>190</v>
      </c>
      <c r="B27" s="72" t="s">
        <v>25</v>
      </c>
      <c r="C27" s="72" t="s">
        <v>191</v>
      </c>
      <c r="D27" s="60"/>
      <c r="E27" s="126"/>
      <c r="F27" s="91"/>
      <c r="G27" s="91"/>
      <c r="H27" s="91"/>
      <c r="I27" s="171">
        <v>-182177.75</v>
      </c>
      <c r="J27" s="171">
        <v>-649327.59250000003</v>
      </c>
      <c r="K27" s="91"/>
      <c r="L27" s="171">
        <f>-L9</f>
        <v>-70827.75</v>
      </c>
      <c r="M27" s="171">
        <f>-M9</f>
        <v>-70827.75</v>
      </c>
      <c r="N27" s="171">
        <f>-N9</f>
        <v>-70827.75</v>
      </c>
      <c r="O27" s="171">
        <f>-O9-111350</f>
        <v>-182177.75</v>
      </c>
      <c r="P27" s="171">
        <f>-P25</f>
        <v>-649327.59250000003</v>
      </c>
      <c r="Q27" s="171">
        <f>-Q7-Q9</f>
        <v>-254275.84250000003</v>
      </c>
      <c r="R27" s="171">
        <f>-R7-R9</f>
        <v>-254275.84250000003</v>
      </c>
      <c r="S27" s="171">
        <f>-S7-S9-S14</f>
        <v>-254275.84250000003</v>
      </c>
      <c r="T27" s="172" t="s">
        <v>170</v>
      </c>
      <c r="U27" s="156"/>
      <c r="V27" s="156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</row>
    <row r="28" spans="1:46" ht="15" customHeight="1">
      <c r="A28" s="168" t="s">
        <v>192</v>
      </c>
      <c r="B28" s="72" t="s">
        <v>25</v>
      </c>
      <c r="C28" s="72" t="s">
        <v>193</v>
      </c>
      <c r="D28" s="60"/>
      <c r="E28" s="62"/>
      <c r="F28" s="91"/>
      <c r="G28" s="91"/>
      <c r="H28" s="91"/>
      <c r="I28" s="181"/>
      <c r="J28" s="181">
        <v>50000</v>
      </c>
      <c r="K28" s="91"/>
      <c r="L28" s="180"/>
      <c r="M28" s="180"/>
      <c r="N28" s="180"/>
      <c r="O28" s="181"/>
      <c r="P28" s="181">
        <v>50000</v>
      </c>
      <c r="Q28" s="181">
        <v>246869.75</v>
      </c>
      <c r="R28" s="181">
        <v>246869.75</v>
      </c>
      <c r="S28" s="181">
        <v>1246869.75</v>
      </c>
      <c r="T28" s="60"/>
      <c r="U28" s="156"/>
      <c r="V28" s="156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</row>
    <row r="29" spans="1:46" s="4" customFormat="1">
      <c r="A29" s="168" t="s">
        <v>194</v>
      </c>
      <c r="B29" s="159" t="s">
        <v>79</v>
      </c>
      <c r="C29" s="157" t="s">
        <v>195</v>
      </c>
      <c r="D29" s="62"/>
      <c r="E29" s="126"/>
      <c r="F29" s="91"/>
      <c r="G29" s="91"/>
      <c r="H29" s="91"/>
      <c r="I29" s="126">
        <v>-394661</v>
      </c>
      <c r="J29" s="126">
        <v>-993988.59250000003</v>
      </c>
      <c r="K29" s="91"/>
      <c r="L29" s="126">
        <f>+L27+E29+L28</f>
        <v>-70827.75</v>
      </c>
      <c r="M29" s="126">
        <f t="shared" ref="M29:S29" si="1">+M27+L29+M28</f>
        <v>-141655.5</v>
      </c>
      <c r="N29" s="126">
        <f t="shared" si="1"/>
        <v>-212483.25</v>
      </c>
      <c r="O29" s="126">
        <f t="shared" si="1"/>
        <v>-394661</v>
      </c>
      <c r="P29" s="126">
        <f t="shared" si="1"/>
        <v>-993988.59250000003</v>
      </c>
      <c r="Q29" s="126">
        <f t="shared" si="1"/>
        <v>-1001394.6850000001</v>
      </c>
      <c r="R29" s="126">
        <f t="shared" si="1"/>
        <v>-1008800.7775000001</v>
      </c>
      <c r="S29" s="126">
        <f t="shared" si="1"/>
        <v>-16206.870000000112</v>
      </c>
      <c r="T29" s="60"/>
      <c r="U29" s="156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</row>
    <row r="30" spans="1:46">
      <c r="A30" s="60"/>
      <c r="B30" s="60"/>
      <c r="C30" s="60"/>
      <c r="D30" s="60"/>
      <c r="E30" s="60"/>
      <c r="F30" s="91"/>
      <c r="G30" s="91"/>
      <c r="H30" s="91"/>
      <c r="I30" s="60"/>
      <c r="J30" s="60"/>
      <c r="K30" s="91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</row>
    <row r="31" spans="1:46">
      <c r="A31" s="168" t="s">
        <v>196</v>
      </c>
      <c r="B31" s="72" t="s">
        <v>79</v>
      </c>
      <c r="C31" s="72" t="s">
        <v>197</v>
      </c>
      <c r="D31" s="60"/>
      <c r="E31" s="182"/>
      <c r="F31" s="91"/>
      <c r="G31" s="91"/>
      <c r="H31" s="91"/>
      <c r="I31" s="182">
        <v>399847</v>
      </c>
      <c r="J31" s="182">
        <v>0</v>
      </c>
      <c r="K31" s="91"/>
      <c r="L31" s="182">
        <f t="shared" ref="L31:S31" si="2">+L25+L27</f>
        <v>511197</v>
      </c>
      <c r="M31" s="182">
        <f t="shared" si="2"/>
        <v>511197</v>
      </c>
      <c r="N31" s="182">
        <f t="shared" si="2"/>
        <v>511197</v>
      </c>
      <c r="O31" s="182">
        <f t="shared" si="2"/>
        <v>399847</v>
      </c>
      <c r="P31" s="182">
        <f t="shared" si="2"/>
        <v>0</v>
      </c>
      <c r="Q31" s="182">
        <f t="shared" si="2"/>
        <v>395051.75</v>
      </c>
      <c r="R31" s="182">
        <f t="shared" si="2"/>
        <v>395051.75</v>
      </c>
      <c r="S31" s="182">
        <f t="shared" si="2"/>
        <v>395051.75</v>
      </c>
      <c r="T31" s="60"/>
      <c r="U31" s="156"/>
      <c r="V31" s="156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</row>
    <row r="32" spans="1:46">
      <c r="A32" s="168" t="s">
        <v>198</v>
      </c>
      <c r="B32" s="72" t="s">
        <v>79</v>
      </c>
      <c r="C32" s="72" t="s">
        <v>199</v>
      </c>
      <c r="D32" s="60"/>
      <c r="E32" s="182"/>
      <c r="F32" s="91"/>
      <c r="G32" s="91"/>
      <c r="H32" s="91"/>
      <c r="I32" s="182">
        <v>399847</v>
      </c>
      <c r="J32" s="182">
        <v>50000</v>
      </c>
      <c r="K32" s="91"/>
      <c r="L32" s="182">
        <f t="shared" ref="L32:S32" si="3">+L28+L31</f>
        <v>511197</v>
      </c>
      <c r="M32" s="182">
        <f t="shared" si="3"/>
        <v>511197</v>
      </c>
      <c r="N32" s="182">
        <f t="shared" si="3"/>
        <v>511197</v>
      </c>
      <c r="O32" s="182">
        <f t="shared" si="3"/>
        <v>399847</v>
      </c>
      <c r="P32" s="182">
        <f t="shared" si="3"/>
        <v>50000</v>
      </c>
      <c r="Q32" s="182">
        <f t="shared" si="3"/>
        <v>641921.5</v>
      </c>
      <c r="R32" s="182">
        <f t="shared" si="3"/>
        <v>641921.5</v>
      </c>
      <c r="S32" s="182">
        <f t="shared" si="3"/>
        <v>1641921.5</v>
      </c>
      <c r="T32" s="60"/>
      <c r="U32" s="156"/>
      <c r="V32" s="156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</row>
    <row r="33" spans="1:46">
      <c r="A33" s="60"/>
      <c r="B33" s="60"/>
      <c r="C33" s="60"/>
      <c r="D33" s="60"/>
      <c r="E33" s="126"/>
      <c r="F33" s="99"/>
      <c r="G33" s="99"/>
      <c r="H33" s="99"/>
      <c r="I33" s="126"/>
      <c r="J33" s="126"/>
      <c r="K33" s="99"/>
      <c r="L33" s="126"/>
      <c r="M33" s="126"/>
      <c r="N33" s="126"/>
      <c r="O33" s="126"/>
      <c r="P33" s="126"/>
      <c r="Q33" s="126"/>
      <c r="R33" s="126"/>
      <c r="S33" s="126"/>
      <c r="T33" s="126"/>
      <c r="U33" s="183"/>
      <c r="V33" s="156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</row>
    <row r="34" spans="1:46" ht="15" customHeight="1">
      <c r="A34" s="168" t="s">
        <v>200</v>
      </c>
      <c r="B34" s="60"/>
      <c r="C34" s="72"/>
      <c r="D34" s="60"/>
      <c r="E34" s="126"/>
      <c r="F34" s="91"/>
      <c r="G34" s="91"/>
      <c r="H34" s="91"/>
      <c r="I34" s="60"/>
      <c r="J34" s="60"/>
      <c r="K34" s="91"/>
      <c r="L34" s="126"/>
      <c r="M34" s="126"/>
      <c r="N34" s="60"/>
      <c r="O34" s="60"/>
      <c r="P34" s="126"/>
      <c r="Q34" s="184"/>
      <c r="R34" s="184"/>
      <c r="S34" s="184"/>
      <c r="T34" s="126"/>
      <c r="U34" s="183"/>
      <c r="V34" s="156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</row>
    <row r="35" spans="1:46">
      <c r="A35" s="168" t="s">
        <v>201</v>
      </c>
      <c r="B35" s="72" t="s">
        <v>25</v>
      </c>
      <c r="C35" s="222" t="s">
        <v>202</v>
      </c>
      <c r="D35" s="222" t="s">
        <v>169</v>
      </c>
      <c r="E35" s="126"/>
      <c r="F35" s="60"/>
      <c r="G35" s="60"/>
      <c r="H35" s="60"/>
      <c r="I35" s="171">
        <v>47750</v>
      </c>
      <c r="J35" s="171">
        <v>0</v>
      </c>
      <c r="K35" s="60"/>
      <c r="L35" s="171">
        <f>191000/4</f>
        <v>47750</v>
      </c>
      <c r="M35" s="171">
        <f>191000/4</f>
        <v>47750</v>
      </c>
      <c r="N35" s="171">
        <f>191000/4</f>
        <v>47750</v>
      </c>
      <c r="O35" s="171">
        <f>191000/4</f>
        <v>47750</v>
      </c>
      <c r="P35" s="171">
        <v>0</v>
      </c>
      <c r="Q35" s="171">
        <v>0</v>
      </c>
      <c r="R35" s="171">
        <v>0</v>
      </c>
      <c r="S35" s="171">
        <v>0</v>
      </c>
      <c r="T35" s="172" t="s">
        <v>170</v>
      </c>
      <c r="U35" s="183"/>
      <c r="V35" s="156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</row>
    <row r="36" spans="1:46">
      <c r="A36" s="168" t="s">
        <v>203</v>
      </c>
      <c r="B36" s="72" t="s">
        <v>25</v>
      </c>
      <c r="C36" s="222" t="s">
        <v>202</v>
      </c>
      <c r="D36" s="72" t="s">
        <v>174</v>
      </c>
      <c r="E36" s="126"/>
      <c r="F36" s="116"/>
      <c r="G36" s="116"/>
      <c r="H36" s="116"/>
      <c r="I36" s="171">
        <v>42250</v>
      </c>
      <c r="J36" s="171">
        <v>0</v>
      </c>
      <c r="K36" s="116"/>
      <c r="L36" s="171">
        <f>169000/4</f>
        <v>42250</v>
      </c>
      <c r="M36" s="171">
        <f>169000/4</f>
        <v>42250</v>
      </c>
      <c r="N36" s="171">
        <f>169000/4</f>
        <v>42250</v>
      </c>
      <c r="O36" s="171">
        <f>169000/4</f>
        <v>42250</v>
      </c>
      <c r="P36" s="171">
        <v>0</v>
      </c>
      <c r="Q36" s="171">
        <v>0</v>
      </c>
      <c r="R36" s="171">
        <v>0</v>
      </c>
      <c r="S36" s="171">
        <v>0</v>
      </c>
      <c r="T36" s="126"/>
      <c r="U36" s="156"/>
      <c r="V36" s="156"/>
      <c r="W36" s="60"/>
      <c r="X36" s="60"/>
      <c r="Y36" s="60"/>
      <c r="Z36" s="60"/>
      <c r="AA36" s="60"/>
      <c r="AB36" s="60"/>
      <c r="AC36" s="60"/>
      <c r="AD36" s="60"/>
      <c r="AE36" s="60"/>
      <c r="AF36" s="185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</row>
    <row r="37" spans="1:46">
      <c r="A37" s="168" t="s">
        <v>204</v>
      </c>
      <c r="B37" s="72" t="s">
        <v>25</v>
      </c>
      <c r="C37" s="222" t="s">
        <v>202</v>
      </c>
      <c r="D37" s="72" t="s">
        <v>177</v>
      </c>
      <c r="E37" s="126"/>
      <c r="F37" s="116"/>
      <c r="G37" s="116"/>
      <c r="H37" s="116"/>
      <c r="I37" s="171">
        <v>0</v>
      </c>
      <c r="J37" s="171">
        <v>0</v>
      </c>
      <c r="K37" s="116"/>
      <c r="L37" s="171">
        <v>0</v>
      </c>
      <c r="M37" s="171">
        <v>0</v>
      </c>
      <c r="N37" s="171">
        <v>0</v>
      </c>
      <c r="O37" s="171">
        <v>0</v>
      </c>
      <c r="P37" s="171">
        <v>0</v>
      </c>
      <c r="Q37" s="171">
        <v>0</v>
      </c>
      <c r="R37" s="171">
        <v>0</v>
      </c>
      <c r="S37" s="171">
        <v>0</v>
      </c>
      <c r="T37" s="126"/>
      <c r="U37" s="183"/>
      <c r="V37" s="156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</row>
    <row r="38" spans="1:46">
      <c r="A38" s="168" t="s">
        <v>181</v>
      </c>
      <c r="B38" s="72" t="s">
        <v>25</v>
      </c>
      <c r="C38" s="222" t="s">
        <v>202</v>
      </c>
      <c r="D38" s="72" t="s">
        <v>182</v>
      </c>
      <c r="E38" s="126"/>
      <c r="F38" s="116"/>
      <c r="G38" s="116"/>
      <c r="H38" s="116"/>
      <c r="I38" s="171">
        <v>0</v>
      </c>
      <c r="J38" s="171">
        <v>0</v>
      </c>
      <c r="K38" s="116"/>
      <c r="L38" s="171">
        <v>0</v>
      </c>
      <c r="M38" s="171">
        <v>0</v>
      </c>
      <c r="N38" s="171">
        <v>0</v>
      </c>
      <c r="O38" s="171">
        <v>0</v>
      </c>
      <c r="P38" s="171">
        <v>0</v>
      </c>
      <c r="Q38" s="171">
        <v>0</v>
      </c>
      <c r="R38" s="171">
        <v>0</v>
      </c>
      <c r="S38" s="171">
        <v>0</v>
      </c>
      <c r="T38" s="126"/>
      <c r="U38" s="183"/>
      <c r="V38" s="156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</row>
    <row r="39" spans="1:46" s="48" customFormat="1">
      <c r="A39" s="168" t="s">
        <v>185</v>
      </c>
      <c r="B39" s="61"/>
      <c r="C39" s="62"/>
      <c r="D39" s="62"/>
      <c r="E39" s="126"/>
      <c r="F39" s="116"/>
      <c r="G39" s="116"/>
      <c r="H39" s="116"/>
      <c r="I39" s="126"/>
      <c r="J39" s="126"/>
      <c r="K39" s="116"/>
      <c r="L39" s="126"/>
      <c r="M39" s="126"/>
      <c r="N39" s="126"/>
      <c r="O39" s="126"/>
      <c r="P39" s="126"/>
      <c r="Q39" s="126"/>
      <c r="R39" s="126"/>
      <c r="S39" s="126"/>
      <c r="T39" s="126"/>
      <c r="U39" s="183"/>
      <c r="V39" s="156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</row>
    <row r="40" spans="1:46" s="48" customFormat="1">
      <c r="A40" s="168" t="s">
        <v>185</v>
      </c>
      <c r="B40" s="61"/>
      <c r="C40" s="62"/>
      <c r="D40" s="62"/>
      <c r="E40" s="126"/>
      <c r="F40" s="91"/>
      <c r="G40" s="91"/>
      <c r="H40" s="91"/>
      <c r="I40" s="126"/>
      <c r="J40" s="126"/>
      <c r="K40" s="91"/>
      <c r="L40" s="126"/>
      <c r="M40" s="126"/>
      <c r="N40" s="126"/>
      <c r="O40" s="126"/>
      <c r="P40" s="126"/>
      <c r="Q40" s="126"/>
      <c r="R40" s="126"/>
      <c r="S40" s="126"/>
      <c r="T40" s="126"/>
      <c r="U40" s="183"/>
      <c r="V40" s="156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</row>
    <row r="41" spans="1:46" s="48" customFormat="1">
      <c r="A41" s="168" t="s">
        <v>185</v>
      </c>
      <c r="B41" s="61"/>
      <c r="C41" s="62"/>
      <c r="D41" s="62"/>
      <c r="E41" s="126"/>
      <c r="F41" s="116"/>
      <c r="G41" s="116"/>
      <c r="H41" s="116"/>
      <c r="I41" s="126"/>
      <c r="J41" s="126"/>
      <c r="K41" s="116"/>
      <c r="L41" s="126"/>
      <c r="M41" s="126"/>
      <c r="N41" s="126"/>
      <c r="O41" s="126"/>
      <c r="P41" s="126"/>
      <c r="Q41" s="126"/>
      <c r="R41" s="126"/>
      <c r="S41" s="126"/>
      <c r="T41" s="126"/>
      <c r="U41" s="183"/>
      <c r="V41" s="156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</row>
    <row r="42" spans="1:46" s="48" customFormat="1">
      <c r="A42" s="168" t="s">
        <v>185</v>
      </c>
      <c r="B42" s="61"/>
      <c r="C42" s="62"/>
      <c r="D42" s="62"/>
      <c r="E42" s="126"/>
      <c r="F42" s="116"/>
      <c r="G42" s="116"/>
      <c r="H42" s="116"/>
      <c r="I42" s="126"/>
      <c r="J42" s="126"/>
      <c r="K42" s="116"/>
      <c r="L42" s="126"/>
      <c r="M42" s="126"/>
      <c r="N42" s="126"/>
      <c r="O42" s="126"/>
      <c r="P42" s="126"/>
      <c r="Q42" s="126"/>
      <c r="R42" s="126"/>
      <c r="S42" s="126"/>
      <c r="T42" s="126"/>
      <c r="U42" s="183"/>
      <c r="V42" s="156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</row>
    <row r="43" spans="1:46" s="48" customFormat="1">
      <c r="A43" s="168" t="s">
        <v>185</v>
      </c>
      <c r="B43" s="61"/>
      <c r="C43" s="62"/>
      <c r="D43" s="62"/>
      <c r="E43" s="126"/>
      <c r="F43" s="116"/>
      <c r="G43" s="116"/>
      <c r="H43" s="116"/>
      <c r="I43" s="126"/>
      <c r="J43" s="126"/>
      <c r="K43" s="116"/>
      <c r="L43" s="126"/>
      <c r="M43" s="126"/>
      <c r="N43" s="126"/>
      <c r="O43" s="126"/>
      <c r="P43" s="126"/>
      <c r="Q43" s="126"/>
      <c r="R43" s="126"/>
      <c r="S43" s="126"/>
      <c r="T43" s="126"/>
      <c r="U43" s="183"/>
      <c r="V43" s="156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</row>
    <row r="44" spans="1:46" s="48" customFormat="1">
      <c r="A44" s="168" t="s">
        <v>185</v>
      </c>
      <c r="B44" s="61"/>
      <c r="C44" s="62"/>
      <c r="D44" s="62"/>
      <c r="E44" s="126"/>
      <c r="F44" s="116"/>
      <c r="G44" s="116"/>
      <c r="H44" s="116"/>
      <c r="I44" s="126"/>
      <c r="J44" s="126"/>
      <c r="K44" s="116"/>
      <c r="L44" s="126"/>
      <c r="M44" s="126"/>
      <c r="N44" s="126"/>
      <c r="O44" s="126"/>
      <c r="P44" s="126"/>
      <c r="Q44" s="126"/>
      <c r="R44" s="126"/>
      <c r="S44" s="126"/>
      <c r="T44" s="126"/>
      <c r="U44" s="183"/>
      <c r="V44" s="156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</row>
    <row r="45" spans="1:46" ht="15" customHeight="1">
      <c r="A45" s="168" t="s">
        <v>205</v>
      </c>
      <c r="B45" s="72" t="s">
        <v>25</v>
      </c>
      <c r="C45" s="72" t="s">
        <v>206</v>
      </c>
      <c r="D45" s="72" t="s">
        <v>180</v>
      </c>
      <c r="E45" s="126"/>
      <c r="F45" s="116"/>
      <c r="G45" s="116"/>
      <c r="H45" s="116"/>
      <c r="I45" s="171">
        <v>0</v>
      </c>
      <c r="J45" s="171">
        <v>0</v>
      </c>
      <c r="K45" s="116"/>
      <c r="L45" s="171">
        <v>0</v>
      </c>
      <c r="M45" s="171">
        <v>0</v>
      </c>
      <c r="N45" s="171">
        <v>0</v>
      </c>
      <c r="O45" s="171">
        <v>0</v>
      </c>
      <c r="P45" s="171">
        <v>0</v>
      </c>
      <c r="Q45" s="171">
        <v>0</v>
      </c>
      <c r="R45" s="171">
        <v>0</v>
      </c>
      <c r="S45" s="171">
        <v>0</v>
      </c>
      <c r="T45" s="126"/>
      <c r="U45" s="156"/>
      <c r="V45" s="156"/>
      <c r="W45" s="60"/>
      <c r="X45" s="60"/>
      <c r="Y45" s="126"/>
      <c r="Z45" s="126"/>
      <c r="AA45" s="126"/>
      <c r="AB45" s="126"/>
      <c r="AC45" s="126"/>
      <c r="AD45" s="126"/>
      <c r="AE45" s="126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</row>
    <row r="46" spans="1:46">
      <c r="A46" s="178" t="s">
        <v>207</v>
      </c>
      <c r="B46" s="72" t="s">
        <v>79</v>
      </c>
      <c r="C46" s="72" t="s">
        <v>208</v>
      </c>
      <c r="D46" s="60"/>
      <c r="E46" s="126"/>
      <c r="F46" s="116"/>
      <c r="G46" s="116"/>
      <c r="H46" s="116"/>
      <c r="I46" s="126">
        <v>90000</v>
      </c>
      <c r="J46" s="126">
        <v>0</v>
      </c>
      <c r="K46" s="116"/>
      <c r="L46" s="126">
        <f t="shared" ref="L46:S46" si="4">SUM(L35:L45)</f>
        <v>90000</v>
      </c>
      <c r="M46" s="126">
        <f t="shared" si="4"/>
        <v>90000</v>
      </c>
      <c r="N46" s="126">
        <f t="shared" si="4"/>
        <v>90000</v>
      </c>
      <c r="O46" s="126">
        <f t="shared" si="4"/>
        <v>90000</v>
      </c>
      <c r="P46" s="126">
        <f t="shared" si="4"/>
        <v>0</v>
      </c>
      <c r="Q46" s="126">
        <f t="shared" si="4"/>
        <v>0</v>
      </c>
      <c r="R46" s="126">
        <f t="shared" si="4"/>
        <v>0</v>
      </c>
      <c r="S46" s="126">
        <f t="shared" si="4"/>
        <v>0</v>
      </c>
      <c r="T46" s="126"/>
      <c r="U46" s="179"/>
      <c r="V46" s="156"/>
      <c r="W46" s="60"/>
      <c r="X46" s="60"/>
      <c r="Y46" s="126"/>
      <c r="Z46" s="126"/>
      <c r="AA46" s="126"/>
      <c r="AB46" s="126"/>
      <c r="AC46" s="126"/>
      <c r="AD46" s="126"/>
      <c r="AE46" s="126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</row>
    <row r="47" spans="1:46" ht="15" customHeight="1">
      <c r="A47" s="60"/>
      <c r="B47" s="60"/>
      <c r="C47" s="60"/>
      <c r="D47" s="60"/>
      <c r="E47" s="126"/>
      <c r="F47" s="116"/>
      <c r="G47" s="116"/>
      <c r="H47" s="116"/>
      <c r="I47" s="126"/>
      <c r="J47" s="126"/>
      <c r="K47" s="116"/>
      <c r="L47" s="126"/>
      <c r="M47" s="126"/>
      <c r="N47" s="126"/>
      <c r="O47" s="126"/>
      <c r="P47" s="126"/>
      <c r="Q47" s="126"/>
      <c r="R47" s="126"/>
      <c r="S47" s="126"/>
      <c r="T47" s="126"/>
      <c r="U47" s="156"/>
      <c r="V47" s="156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</row>
    <row r="48" spans="1:46">
      <c r="A48" s="168" t="s">
        <v>190</v>
      </c>
      <c r="B48" s="72" t="s">
        <v>25</v>
      </c>
      <c r="C48" s="72" t="s">
        <v>209</v>
      </c>
      <c r="D48" s="60"/>
      <c r="E48" s="126"/>
      <c r="F48" s="126"/>
      <c r="G48" s="126"/>
      <c r="H48" s="126"/>
      <c r="I48" s="171">
        <v>-42250</v>
      </c>
      <c r="J48" s="171">
        <v>0</v>
      </c>
      <c r="K48" s="126"/>
      <c r="L48" s="171">
        <v>-42250</v>
      </c>
      <c r="M48" s="171">
        <v>-42250</v>
      </c>
      <c r="N48" s="171">
        <v>-42250</v>
      </c>
      <c r="O48" s="171">
        <v>-42250</v>
      </c>
      <c r="P48" s="171">
        <v>0</v>
      </c>
      <c r="Q48" s="171">
        <f>-SUM(Q35:Q45)</f>
        <v>0</v>
      </c>
      <c r="R48" s="171">
        <f>-SUM(R35:R45)</f>
        <v>0</v>
      </c>
      <c r="S48" s="171">
        <f>-SUM(S35:S45)</f>
        <v>0</v>
      </c>
      <c r="T48" s="172" t="s">
        <v>170</v>
      </c>
      <c r="U48" s="156"/>
      <c r="V48" s="156"/>
      <c r="W48" s="60"/>
      <c r="X48" s="60"/>
      <c r="Y48" s="126"/>
      <c r="Z48" s="126"/>
      <c r="AA48" s="126"/>
      <c r="AB48" s="126"/>
      <c r="AC48" s="126"/>
      <c r="AD48" s="126"/>
      <c r="AE48" s="126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</row>
    <row r="49" spans="1:46" ht="15" customHeight="1">
      <c r="A49" s="168" t="s">
        <v>210</v>
      </c>
      <c r="B49" s="72" t="s">
        <v>25</v>
      </c>
      <c r="C49" s="72" t="s">
        <v>211</v>
      </c>
      <c r="D49" s="60"/>
      <c r="E49" s="62"/>
      <c r="F49" s="126"/>
      <c r="G49" s="126"/>
      <c r="H49" s="126"/>
      <c r="I49" s="181"/>
      <c r="J49" s="181"/>
      <c r="K49" s="126"/>
      <c r="L49" s="180"/>
      <c r="M49" s="180"/>
      <c r="N49" s="180"/>
      <c r="O49" s="181"/>
      <c r="P49" s="181"/>
      <c r="Q49" s="181"/>
      <c r="R49" s="181"/>
      <c r="S49" s="181">
        <v>169000</v>
      </c>
      <c r="T49" s="126"/>
      <c r="U49" s="156"/>
      <c r="V49" s="156"/>
      <c r="W49" s="110"/>
      <c r="X49" s="110"/>
      <c r="Y49" s="110"/>
      <c r="Z49" s="110"/>
      <c r="AA49" s="110"/>
      <c r="AB49" s="110"/>
      <c r="AC49" s="110"/>
      <c r="AD49" s="110"/>
      <c r="AE49" s="11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</row>
    <row r="50" spans="1:46">
      <c r="A50" s="168" t="s">
        <v>212</v>
      </c>
      <c r="B50" s="72" t="s">
        <v>79</v>
      </c>
      <c r="C50" s="72" t="s">
        <v>213</v>
      </c>
      <c r="D50" s="60"/>
      <c r="E50" s="126"/>
      <c r="F50" s="126"/>
      <c r="G50" s="126"/>
      <c r="H50" s="126"/>
      <c r="I50" s="126">
        <v>-169000</v>
      </c>
      <c r="J50" s="126">
        <v>-169000</v>
      </c>
      <c r="K50" s="126"/>
      <c r="L50" s="126">
        <f>+L48+E50+L49</f>
        <v>-42250</v>
      </c>
      <c r="M50" s="126">
        <f t="shared" ref="M50:S50" si="5">+M48+L50+M49</f>
        <v>-84500</v>
      </c>
      <c r="N50" s="126">
        <f t="shared" si="5"/>
        <v>-126750</v>
      </c>
      <c r="O50" s="126">
        <f t="shared" si="5"/>
        <v>-169000</v>
      </c>
      <c r="P50" s="126">
        <f t="shared" si="5"/>
        <v>-169000</v>
      </c>
      <c r="Q50" s="126">
        <f t="shared" si="5"/>
        <v>-169000</v>
      </c>
      <c r="R50" s="126">
        <f t="shared" si="5"/>
        <v>-169000</v>
      </c>
      <c r="S50" s="126">
        <f t="shared" si="5"/>
        <v>0</v>
      </c>
      <c r="T50" s="126"/>
      <c r="U50" s="156"/>
      <c r="V50" s="156"/>
      <c r="W50" s="60"/>
      <c r="X50" s="104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</row>
    <row r="51" spans="1:46">
      <c r="A51" s="164"/>
      <c r="B51" s="60"/>
      <c r="C51" s="60"/>
      <c r="D51" s="60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56"/>
      <c r="V51" s="156"/>
      <c r="W51" s="60"/>
      <c r="X51" s="104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</row>
    <row r="52" spans="1:46">
      <c r="A52" s="168" t="s">
        <v>214</v>
      </c>
      <c r="B52" s="72" t="s">
        <v>79</v>
      </c>
      <c r="C52" s="72" t="s">
        <v>215</v>
      </c>
      <c r="D52" s="60"/>
      <c r="E52" s="62"/>
      <c r="F52" s="126"/>
      <c r="G52" s="126"/>
      <c r="H52" s="126"/>
      <c r="I52" s="182">
        <v>47750</v>
      </c>
      <c r="J52" s="182">
        <v>0</v>
      </c>
      <c r="K52" s="126"/>
      <c r="L52" s="186">
        <f t="shared" ref="L52:S52" si="6">+L46+L48</f>
        <v>47750</v>
      </c>
      <c r="M52" s="182">
        <f t="shared" si="6"/>
        <v>47750</v>
      </c>
      <c r="N52" s="182">
        <f t="shared" si="6"/>
        <v>47750</v>
      </c>
      <c r="O52" s="182">
        <f t="shared" si="6"/>
        <v>47750</v>
      </c>
      <c r="P52" s="182">
        <f t="shared" si="6"/>
        <v>0</v>
      </c>
      <c r="Q52" s="182">
        <f t="shared" si="6"/>
        <v>0</v>
      </c>
      <c r="R52" s="182">
        <f t="shared" si="6"/>
        <v>0</v>
      </c>
      <c r="S52" s="182">
        <f t="shared" si="6"/>
        <v>0</v>
      </c>
      <c r="T52" s="126"/>
      <c r="U52" s="156"/>
      <c r="V52" s="156"/>
      <c r="W52" s="110"/>
      <c r="X52" s="110"/>
      <c r="Y52" s="110"/>
      <c r="Z52" s="110"/>
      <c r="AA52" s="110"/>
      <c r="AB52" s="110"/>
      <c r="AC52" s="110"/>
      <c r="AD52" s="110"/>
      <c r="AE52" s="11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</row>
    <row r="53" spans="1:46">
      <c r="A53" s="168" t="s">
        <v>216</v>
      </c>
      <c r="B53" s="72" t="s">
        <v>79</v>
      </c>
      <c r="C53" s="72" t="s">
        <v>217</v>
      </c>
      <c r="D53" s="60"/>
      <c r="E53" s="182"/>
      <c r="F53" s="60"/>
      <c r="G53" s="60"/>
      <c r="H53" s="60"/>
      <c r="I53" s="182">
        <v>47750</v>
      </c>
      <c r="J53" s="182">
        <v>0</v>
      </c>
      <c r="K53" s="60"/>
      <c r="L53" s="182">
        <f t="shared" ref="L53:S53" si="7">+L49+L52</f>
        <v>47750</v>
      </c>
      <c r="M53" s="182">
        <f t="shared" si="7"/>
        <v>47750</v>
      </c>
      <c r="N53" s="182">
        <f t="shared" si="7"/>
        <v>47750</v>
      </c>
      <c r="O53" s="182">
        <f t="shared" si="7"/>
        <v>47750</v>
      </c>
      <c r="P53" s="182">
        <f t="shared" si="7"/>
        <v>0</v>
      </c>
      <c r="Q53" s="182">
        <f t="shared" si="7"/>
        <v>0</v>
      </c>
      <c r="R53" s="182">
        <f t="shared" si="7"/>
        <v>0</v>
      </c>
      <c r="S53" s="182">
        <f t="shared" si="7"/>
        <v>169000</v>
      </c>
      <c r="T53" s="126"/>
      <c r="U53" s="156"/>
      <c r="V53" s="156"/>
      <c r="W53" s="110"/>
      <c r="X53" s="110"/>
      <c r="Y53" s="110"/>
      <c r="Z53" s="110"/>
      <c r="AA53" s="110"/>
      <c r="AB53" s="110"/>
      <c r="AC53" s="110"/>
      <c r="AD53" s="110"/>
      <c r="AE53" s="11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</row>
    <row r="54" spans="1:46">
      <c r="A54" s="60"/>
      <c r="B54" s="60"/>
      <c r="C54" s="60"/>
      <c r="D54" s="60"/>
      <c r="E54" s="126"/>
      <c r="F54" s="60"/>
      <c r="G54" s="60"/>
      <c r="H54" s="60"/>
      <c r="I54" s="126"/>
      <c r="J54" s="126"/>
      <c r="K54" s="60"/>
      <c r="L54" s="126"/>
      <c r="M54" s="126"/>
      <c r="N54" s="126"/>
      <c r="O54" s="126"/>
      <c r="P54" s="126"/>
      <c r="Q54" s="126"/>
      <c r="R54" s="126"/>
      <c r="S54" s="126"/>
      <c r="T54" s="60"/>
      <c r="U54" s="156"/>
      <c r="V54" s="156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</row>
    <row r="55" spans="1:46">
      <c r="A55" s="168" t="s">
        <v>218</v>
      </c>
      <c r="B55" s="60"/>
      <c r="C55" s="72"/>
      <c r="D55" s="60"/>
      <c r="E55" s="126"/>
      <c r="F55" s="60"/>
      <c r="G55" s="60"/>
      <c r="H55" s="60"/>
      <c r="I55" s="126"/>
      <c r="J55" s="126"/>
      <c r="K55" s="60"/>
      <c r="L55" s="126"/>
      <c r="M55" s="126"/>
      <c r="N55" s="126"/>
      <c r="O55" s="126"/>
      <c r="P55" s="126"/>
      <c r="Q55" s="126"/>
      <c r="R55" s="126"/>
      <c r="S55" s="126"/>
      <c r="T55" s="60"/>
      <c r="U55" s="156"/>
      <c r="V55" s="156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</row>
    <row r="56" spans="1:46">
      <c r="A56" s="168" t="s">
        <v>219</v>
      </c>
      <c r="B56" s="72" t="s">
        <v>79</v>
      </c>
      <c r="C56" s="72" t="s">
        <v>220</v>
      </c>
      <c r="D56" s="60"/>
      <c r="E56" s="187"/>
      <c r="F56" s="60"/>
      <c r="G56" s="60"/>
      <c r="H56" s="60"/>
      <c r="I56" s="187">
        <v>1.0526315789473679</v>
      </c>
      <c r="J56" s="187">
        <v>1.0526315789473679</v>
      </c>
      <c r="K56" s="60"/>
      <c r="L56" s="187">
        <f>1/(1-'c12_inputs'!$E$7)</f>
        <v>1.0526315789473684</v>
      </c>
      <c r="M56" s="187">
        <f>1/(1-'c12_inputs'!$E$7)</f>
        <v>1.0526315789473684</v>
      </c>
      <c r="N56" s="187">
        <f>1/(1-'c12_inputs'!$E$7)</f>
        <v>1.0526315789473684</v>
      </c>
      <c r="O56" s="187">
        <f>1/(1-'c12_inputs'!$E$7)</f>
        <v>1.0526315789473684</v>
      </c>
      <c r="P56" s="187">
        <f>1/(1-'c12_inputs'!$E$7)</f>
        <v>1.0526315789473684</v>
      </c>
      <c r="Q56" s="187">
        <f>1/(1-'c12_inputs'!$E$7)</f>
        <v>1.0526315789473684</v>
      </c>
      <c r="R56" s="187">
        <f>1/(1-'c12_inputs'!$E$7)</f>
        <v>1.0526315789473684</v>
      </c>
      <c r="S56" s="187">
        <f>1/(1-'c12_inputs'!$E$7)</f>
        <v>1.0526315789473684</v>
      </c>
      <c r="T56" s="126"/>
      <c r="U56" s="156"/>
      <c r="V56" s="156"/>
      <c r="W56" s="60"/>
      <c r="X56" s="60"/>
      <c r="Y56" s="60"/>
      <c r="Z56" s="110"/>
      <c r="AA56" s="110"/>
      <c r="AB56" s="110"/>
      <c r="AC56" s="110"/>
      <c r="AD56" s="110"/>
      <c r="AE56" s="11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</row>
    <row r="57" spans="1:46">
      <c r="A57" s="168" t="s">
        <v>221</v>
      </c>
      <c r="B57" s="222" t="s">
        <v>9</v>
      </c>
      <c r="C57" s="72" t="s">
        <v>222</v>
      </c>
      <c r="D57" s="60"/>
      <c r="E57" s="118"/>
      <c r="F57" s="219">
        <v>0</v>
      </c>
      <c r="G57" s="219">
        <v>0</v>
      </c>
      <c r="H57" s="219">
        <v>0</v>
      </c>
      <c r="I57" s="220">
        <v>0</v>
      </c>
      <c r="J57" s="220">
        <v>247680</v>
      </c>
      <c r="K57" s="60"/>
      <c r="L57" s="220">
        <f t="shared" ref="L57:S57" si="8">IF(AND((F57&lt;&gt;""),(L$2&lt;46204)),(F57),L78)</f>
        <v>0</v>
      </c>
      <c r="M57" s="220">
        <f t="shared" si="8"/>
        <v>0</v>
      </c>
      <c r="N57" s="220">
        <f t="shared" si="8"/>
        <v>0</v>
      </c>
      <c r="O57" s="220">
        <f t="shared" si="8"/>
        <v>0</v>
      </c>
      <c r="P57" s="220">
        <f t="shared" si="8"/>
        <v>247680</v>
      </c>
      <c r="Q57" s="220">
        <f t="shared" si="8"/>
        <v>247680</v>
      </c>
      <c r="R57" s="220">
        <f t="shared" si="8"/>
        <v>290880</v>
      </c>
      <c r="S57" s="220">
        <f t="shared" si="8"/>
        <v>545435</v>
      </c>
      <c r="T57" s="126"/>
      <c r="U57" s="156"/>
      <c r="V57" s="156"/>
      <c r="W57" s="60"/>
      <c r="X57" s="60"/>
      <c r="Y57" s="60"/>
      <c r="Z57" s="110"/>
      <c r="AA57" s="110"/>
      <c r="AB57" s="110"/>
      <c r="AC57" s="110"/>
      <c r="AD57" s="110"/>
      <c r="AE57" s="11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</row>
    <row r="58" spans="1:46">
      <c r="A58" s="178" t="s">
        <v>223</v>
      </c>
      <c r="B58" s="72" t="s">
        <v>79</v>
      </c>
      <c r="C58" s="72" t="s">
        <v>224</v>
      </c>
      <c r="D58" s="60"/>
      <c r="E58" s="126"/>
      <c r="F58" s="60"/>
      <c r="G58" s="60"/>
      <c r="H58" s="60"/>
      <c r="I58" s="126">
        <v>0</v>
      </c>
      <c r="J58" s="126">
        <v>260715.78947368421</v>
      </c>
      <c r="K58" s="60"/>
      <c r="L58" s="126">
        <f t="shared" ref="L58:S58" si="9">L57*L56</f>
        <v>0</v>
      </c>
      <c r="M58" s="126">
        <f t="shared" si="9"/>
        <v>0</v>
      </c>
      <c r="N58" s="126">
        <f t="shared" si="9"/>
        <v>0</v>
      </c>
      <c r="O58" s="126">
        <f t="shared" si="9"/>
        <v>0</v>
      </c>
      <c r="P58" s="126">
        <f t="shared" si="9"/>
        <v>260715.78947368418</v>
      </c>
      <c r="Q58" s="126">
        <f t="shared" si="9"/>
        <v>260715.78947368418</v>
      </c>
      <c r="R58" s="126">
        <f t="shared" si="9"/>
        <v>306189.4736842105</v>
      </c>
      <c r="S58" s="126">
        <f t="shared" si="9"/>
        <v>574142.10526315786</v>
      </c>
      <c r="T58" s="126"/>
      <c r="U58" s="156"/>
      <c r="V58" s="156"/>
      <c r="W58" s="60"/>
      <c r="X58" s="60"/>
      <c r="Y58" s="60"/>
      <c r="Z58" s="110"/>
      <c r="AA58" s="110"/>
      <c r="AB58" s="110"/>
      <c r="AC58" s="110"/>
      <c r="AD58" s="110"/>
      <c r="AE58" s="11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</row>
    <row r="59" spans="1:46" ht="15" customHeight="1" thickBot="1">
      <c r="A59" s="60"/>
      <c r="B59" s="60"/>
      <c r="C59" s="60"/>
      <c r="D59" s="60"/>
      <c r="E59" s="126"/>
      <c r="F59" s="60"/>
      <c r="G59" s="60"/>
      <c r="H59" s="60"/>
      <c r="I59" s="126"/>
      <c r="J59" s="126"/>
      <c r="K59" s="60"/>
      <c r="L59" s="126"/>
      <c r="M59" s="126"/>
      <c r="N59" s="126"/>
      <c r="O59" s="126"/>
      <c r="P59" s="126"/>
      <c r="Q59" s="126"/>
      <c r="R59" s="126"/>
      <c r="S59" s="126"/>
      <c r="T59" s="126"/>
      <c r="U59" s="156"/>
      <c r="V59" s="156"/>
      <c r="W59" s="110"/>
      <c r="X59" s="110"/>
      <c r="Y59" s="110"/>
      <c r="Z59" s="110"/>
      <c r="AA59" s="110"/>
      <c r="AB59" s="110"/>
      <c r="AC59" s="110"/>
      <c r="AD59" s="110"/>
      <c r="AE59" s="11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</row>
    <row r="60" spans="1:46" s="49" customFormat="1" ht="15.5" customHeight="1" thickTop="1" thickBot="1">
      <c r="A60" s="178" t="s">
        <v>225</v>
      </c>
      <c r="B60" s="159" t="s">
        <v>9</v>
      </c>
      <c r="C60" s="72" t="s">
        <v>10</v>
      </c>
      <c r="D60" s="62"/>
      <c r="E60" s="188"/>
      <c r="F60" s="60"/>
      <c r="G60" s="60"/>
      <c r="H60" s="60"/>
      <c r="I60" s="189">
        <v>447597</v>
      </c>
      <c r="J60" s="189">
        <v>310715.78947368421</v>
      </c>
      <c r="K60" s="60"/>
      <c r="L60" s="189">
        <f t="shared" ref="L60:S60" si="10">+L53+L32+L58</f>
        <v>558947</v>
      </c>
      <c r="M60" s="189">
        <f t="shared" si="10"/>
        <v>558947</v>
      </c>
      <c r="N60" s="189">
        <f t="shared" si="10"/>
        <v>558947</v>
      </c>
      <c r="O60" s="189">
        <f t="shared" si="10"/>
        <v>447597</v>
      </c>
      <c r="P60" s="189">
        <f t="shared" si="10"/>
        <v>310715.78947368416</v>
      </c>
      <c r="Q60" s="189">
        <f t="shared" si="10"/>
        <v>902637.28947368416</v>
      </c>
      <c r="R60" s="189">
        <f t="shared" si="10"/>
        <v>948110.97368421056</v>
      </c>
      <c r="S60" s="189">
        <f t="shared" si="10"/>
        <v>2385063.6052631577</v>
      </c>
      <c r="T60" s="60"/>
      <c r="U60" s="156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</row>
    <row r="61" spans="1:46" s="20" customFormat="1" ht="15" customHeight="1" thickTop="1">
      <c r="A61" s="190"/>
      <c r="B61" s="61"/>
      <c r="C61" s="62"/>
      <c r="D61" s="62"/>
      <c r="E61" s="126"/>
      <c r="F61" s="60"/>
      <c r="G61" s="60"/>
      <c r="H61" s="60"/>
      <c r="I61" s="126"/>
      <c r="J61" s="126"/>
      <c r="K61" s="60"/>
      <c r="L61" s="126"/>
      <c r="M61" s="126"/>
      <c r="N61" s="126"/>
      <c r="O61" s="126"/>
      <c r="P61" s="126"/>
      <c r="Q61" s="126"/>
      <c r="R61" s="126"/>
      <c r="S61" s="126"/>
      <c r="T61" s="60"/>
      <c r="U61" s="156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</row>
    <row r="62" spans="1:46">
      <c r="A62" s="178" t="s">
        <v>226</v>
      </c>
      <c r="B62" s="72" t="s">
        <v>9</v>
      </c>
      <c r="C62" s="72" t="s">
        <v>227</v>
      </c>
      <c r="D62" s="60"/>
      <c r="E62" s="126"/>
      <c r="F62" s="60"/>
      <c r="G62" s="60"/>
      <c r="H62" s="60"/>
      <c r="I62" s="191">
        <v>-563661</v>
      </c>
      <c r="J62" s="191">
        <v>-1162988.5925</v>
      </c>
      <c r="K62" s="60"/>
      <c r="L62" s="191">
        <f t="shared" ref="L62:S62" si="11">+L29+L50</f>
        <v>-113077.75</v>
      </c>
      <c r="M62" s="191">
        <f t="shared" si="11"/>
        <v>-226155.5</v>
      </c>
      <c r="N62" s="191">
        <f t="shared" si="11"/>
        <v>-339233.25</v>
      </c>
      <c r="O62" s="191">
        <f t="shared" si="11"/>
        <v>-563661</v>
      </c>
      <c r="P62" s="191">
        <f t="shared" si="11"/>
        <v>-1162988.5925</v>
      </c>
      <c r="Q62" s="191">
        <f t="shared" si="11"/>
        <v>-1170394.6850000001</v>
      </c>
      <c r="R62" s="191">
        <f t="shared" si="11"/>
        <v>-1177800.7775000001</v>
      </c>
      <c r="S62" s="191">
        <f t="shared" si="11"/>
        <v>-16206.870000000112</v>
      </c>
      <c r="T62" s="126"/>
      <c r="U62" s="156"/>
      <c r="V62" s="156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</row>
    <row r="63" spans="1:46" ht="15" customHeight="1">
      <c r="A63" s="60"/>
      <c r="B63" s="60"/>
      <c r="C63" s="60"/>
      <c r="D63" s="60"/>
      <c r="E63" s="126"/>
      <c r="F63" s="60"/>
      <c r="G63" s="60"/>
      <c r="H63" s="60"/>
      <c r="I63" s="126"/>
      <c r="J63" s="126"/>
      <c r="K63" s="60"/>
      <c r="L63" s="126"/>
      <c r="M63" s="126"/>
      <c r="N63" s="126"/>
      <c r="O63" s="126"/>
      <c r="P63" s="126"/>
      <c r="Q63" s="126"/>
      <c r="R63" s="126"/>
      <c r="S63" s="126"/>
      <c r="T63" s="126"/>
      <c r="U63" s="156"/>
      <c r="V63" s="156"/>
      <c r="W63" s="60"/>
      <c r="X63" s="60"/>
      <c r="Y63" s="60"/>
      <c r="Z63" s="110"/>
      <c r="AA63" s="110"/>
      <c r="AB63" s="110"/>
      <c r="AC63" s="110"/>
      <c r="AD63" s="110"/>
      <c r="AE63" s="11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</row>
    <row r="64" spans="1:46" ht="15" customHeight="1">
      <c r="A64" s="168" t="s">
        <v>228</v>
      </c>
      <c r="B64" s="72" t="s">
        <v>79</v>
      </c>
      <c r="C64" s="72" t="s">
        <v>229</v>
      </c>
      <c r="D64" s="60"/>
      <c r="E64" s="147"/>
      <c r="F64" s="60"/>
      <c r="G64" s="60"/>
      <c r="H64" s="60"/>
      <c r="I64" s="147">
        <v>0.35</v>
      </c>
      <c r="J64" s="147">
        <v>0.35</v>
      </c>
      <c r="K64" s="60"/>
      <c r="L64" s="147">
        <f>'c12_inputs'!$E$8</f>
        <v>0.35</v>
      </c>
      <c r="M64" s="147">
        <f>'c12_inputs'!$E$8</f>
        <v>0.35</v>
      </c>
      <c r="N64" s="147">
        <f>'c12_inputs'!$E$8</f>
        <v>0.35</v>
      </c>
      <c r="O64" s="147">
        <f>'c12_inputs'!$E$8</f>
        <v>0.35</v>
      </c>
      <c r="P64" s="147">
        <f>'c12_inputs'!$E$8</f>
        <v>0.35</v>
      </c>
      <c r="Q64" s="147">
        <f>'c12_inputs'!$E$8</f>
        <v>0.35</v>
      </c>
      <c r="R64" s="147">
        <f>'c12_inputs'!$E$8</f>
        <v>0.35</v>
      </c>
      <c r="S64" s="147">
        <f>'c12_inputs'!$E$8</f>
        <v>0.35</v>
      </c>
      <c r="T64" s="126"/>
      <c r="U64" s="156"/>
      <c r="V64" s="156"/>
      <c r="W64" s="60"/>
      <c r="X64" s="60"/>
      <c r="Y64" s="60"/>
      <c r="Z64" s="110"/>
      <c r="AA64" s="110"/>
      <c r="AB64" s="110"/>
      <c r="AC64" s="110"/>
      <c r="AD64" s="110"/>
      <c r="AE64" s="11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</row>
    <row r="65" spans="1:46" s="48" customFormat="1" ht="15" customHeight="1">
      <c r="A65" s="168" t="s">
        <v>230</v>
      </c>
      <c r="B65" s="159" t="s">
        <v>25</v>
      </c>
      <c r="C65" s="157" t="s">
        <v>231</v>
      </c>
      <c r="D65" s="62"/>
      <c r="E65" s="147"/>
      <c r="F65" s="60"/>
      <c r="G65" s="60"/>
      <c r="H65" s="60"/>
      <c r="I65" s="76">
        <v>0.65</v>
      </c>
      <c r="J65" s="76">
        <v>0</v>
      </c>
      <c r="K65" s="60"/>
      <c r="L65" s="76">
        <v>0.65</v>
      </c>
      <c r="M65" s="76">
        <v>0.65</v>
      </c>
      <c r="N65" s="76">
        <v>0.65</v>
      </c>
      <c r="O65" s="76">
        <v>0.65</v>
      </c>
      <c r="P65" s="76">
        <v>0</v>
      </c>
      <c r="Q65" s="76">
        <v>0</v>
      </c>
      <c r="R65" s="76">
        <v>0</v>
      </c>
      <c r="S65" s="76">
        <v>0</v>
      </c>
      <c r="T65" s="126"/>
      <c r="U65" s="156"/>
      <c r="V65" s="156"/>
      <c r="W65" s="60"/>
      <c r="X65" s="60"/>
      <c r="Y65" s="60"/>
      <c r="Z65" s="110"/>
      <c r="AA65" s="110"/>
      <c r="AB65" s="110"/>
      <c r="AC65" s="110"/>
      <c r="AD65" s="110"/>
      <c r="AE65" s="11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</row>
    <row r="66" spans="1:46" s="48" customFormat="1" ht="15" customHeight="1">
      <c r="A66" s="168" t="s">
        <v>232</v>
      </c>
      <c r="B66" s="159" t="s">
        <v>25</v>
      </c>
      <c r="C66" s="157" t="s">
        <v>233</v>
      </c>
      <c r="D66" s="62"/>
      <c r="E66" s="147"/>
      <c r="F66" s="60"/>
      <c r="G66" s="60"/>
      <c r="H66" s="60"/>
      <c r="I66" s="76">
        <v>0.65</v>
      </c>
      <c r="J66" s="76">
        <v>0.65</v>
      </c>
      <c r="K66" s="60"/>
      <c r="L66" s="76">
        <v>0.65</v>
      </c>
      <c r="M66" s="76">
        <v>0.65</v>
      </c>
      <c r="N66" s="76">
        <v>0.65</v>
      </c>
      <c r="O66" s="76">
        <v>0.65</v>
      </c>
      <c r="P66" s="76">
        <v>0.65</v>
      </c>
      <c r="Q66" s="76">
        <v>0.65</v>
      </c>
      <c r="R66" s="76">
        <v>0.65</v>
      </c>
      <c r="S66" s="76">
        <v>0</v>
      </c>
      <c r="T66" s="126"/>
      <c r="U66" s="156"/>
      <c r="V66" s="156"/>
      <c r="W66" s="60"/>
      <c r="X66" s="60"/>
      <c r="Y66" s="60"/>
      <c r="Z66" s="110"/>
      <c r="AA66" s="110"/>
      <c r="AB66" s="110"/>
      <c r="AC66" s="110"/>
      <c r="AD66" s="110"/>
      <c r="AE66" s="11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</row>
    <row r="67" spans="1:46" s="11" customFormat="1">
      <c r="A67" s="168" t="s">
        <v>234</v>
      </c>
      <c r="B67" s="159" t="s">
        <v>79</v>
      </c>
      <c r="C67" s="157" t="s">
        <v>235</v>
      </c>
      <c r="D67" s="62"/>
      <c r="E67" s="192"/>
      <c r="F67" s="60"/>
      <c r="G67" s="60"/>
      <c r="H67" s="60"/>
      <c r="I67" s="192">
        <v>0.05</v>
      </c>
      <c r="J67" s="192">
        <v>0.05</v>
      </c>
      <c r="K67" s="60"/>
      <c r="L67" s="192">
        <f>'c12_inputs'!$E$7</f>
        <v>0.05</v>
      </c>
      <c r="M67" s="192">
        <f>'c12_inputs'!$E$7</f>
        <v>0.05</v>
      </c>
      <c r="N67" s="192">
        <f>'c12_inputs'!$E$7</f>
        <v>0.05</v>
      </c>
      <c r="O67" s="192">
        <f>'c12_inputs'!$E$7</f>
        <v>0.05</v>
      </c>
      <c r="P67" s="192">
        <f>'c12_inputs'!$E$7</f>
        <v>0.05</v>
      </c>
      <c r="Q67" s="192">
        <f>'c12_inputs'!$E$7</f>
        <v>0.05</v>
      </c>
      <c r="R67" s="192">
        <f>'c12_inputs'!$E$7</f>
        <v>0.05</v>
      </c>
      <c r="S67" s="192">
        <f>'c12_inputs'!$E$7</f>
        <v>0.05</v>
      </c>
      <c r="T67" s="60"/>
      <c r="U67" s="60"/>
      <c r="V67" s="60"/>
      <c r="W67" s="60"/>
      <c r="X67" s="60"/>
      <c r="Y67" s="60"/>
      <c r="Z67" s="60"/>
      <c r="AA67" s="60"/>
      <c r="AB67" s="118"/>
      <c r="AC67" s="118"/>
      <c r="AD67" s="118"/>
      <c r="AE67" s="118"/>
      <c r="AF67" s="118"/>
      <c r="AG67" s="118"/>
      <c r="AH67" s="118"/>
      <c r="AI67" s="60"/>
      <c r="AJ67" s="118"/>
      <c r="AK67" s="118"/>
      <c r="AL67" s="118"/>
      <c r="AM67" s="118"/>
      <c r="AN67" s="118"/>
      <c r="AO67" s="118"/>
      <c r="AP67" s="118"/>
      <c r="AQ67" s="60"/>
      <c r="AR67" s="60"/>
      <c r="AS67" s="60"/>
      <c r="AT67" s="60"/>
    </row>
    <row r="68" spans="1:46">
      <c r="A68" s="168" t="s">
        <v>236</v>
      </c>
      <c r="B68" s="72" t="s">
        <v>79</v>
      </c>
      <c r="C68" s="72" t="s">
        <v>237</v>
      </c>
      <c r="D68" s="60"/>
      <c r="E68" s="126"/>
      <c r="F68" s="60"/>
      <c r="G68" s="60"/>
      <c r="H68" s="60"/>
      <c r="I68" s="126">
        <v>447597</v>
      </c>
      <c r="J68" s="126">
        <v>50000</v>
      </c>
      <c r="K68" s="60"/>
      <c r="L68" s="126">
        <f t="shared" ref="L68:S68" si="12">(L64+L65)*(L31+L52)+(L64+L66)*(L49+L28)</f>
        <v>558947</v>
      </c>
      <c r="M68" s="126">
        <f t="shared" si="12"/>
        <v>558947</v>
      </c>
      <c r="N68" s="126">
        <f t="shared" si="12"/>
        <v>558947</v>
      </c>
      <c r="O68" s="126">
        <f t="shared" si="12"/>
        <v>447597</v>
      </c>
      <c r="P68" s="126">
        <f t="shared" si="12"/>
        <v>50000</v>
      </c>
      <c r="Q68" s="126">
        <f t="shared" si="12"/>
        <v>385137.86249999999</v>
      </c>
      <c r="R68" s="126">
        <f t="shared" si="12"/>
        <v>385137.86249999999</v>
      </c>
      <c r="S68" s="126">
        <f t="shared" si="12"/>
        <v>633822.52499999991</v>
      </c>
      <c r="T68" s="147"/>
      <c r="U68" s="156"/>
      <c r="V68" s="156"/>
      <c r="W68" s="60"/>
      <c r="X68" s="60"/>
      <c r="Y68" s="60"/>
      <c r="Z68" s="110"/>
      <c r="AA68" s="110"/>
      <c r="AB68" s="110"/>
      <c r="AC68" s="110"/>
      <c r="AD68" s="110"/>
      <c r="AE68" s="11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</row>
    <row r="69" spans="1:46" ht="15" customHeight="1" thickBot="1">
      <c r="A69" s="168" t="s">
        <v>238</v>
      </c>
      <c r="B69" s="72" t="s">
        <v>79</v>
      </c>
      <c r="C69" s="72" t="s">
        <v>239</v>
      </c>
      <c r="D69" s="60"/>
      <c r="E69" s="126"/>
      <c r="F69" s="60"/>
      <c r="G69" s="60"/>
      <c r="H69" s="60"/>
      <c r="I69" s="126">
        <v>0</v>
      </c>
      <c r="J69" s="126">
        <v>13035.78947368421</v>
      </c>
      <c r="K69" s="60"/>
      <c r="L69" s="126">
        <f t="shared" ref="L69:S69" si="13">L67*L58</f>
        <v>0</v>
      </c>
      <c r="M69" s="126">
        <f t="shared" si="13"/>
        <v>0</v>
      </c>
      <c r="N69" s="126">
        <f t="shared" si="13"/>
        <v>0</v>
      </c>
      <c r="O69" s="126">
        <f t="shared" si="13"/>
        <v>0</v>
      </c>
      <c r="P69" s="126">
        <f t="shared" si="13"/>
        <v>13035.78947368421</v>
      </c>
      <c r="Q69" s="126">
        <f t="shared" si="13"/>
        <v>13035.78947368421</v>
      </c>
      <c r="R69" s="126">
        <f t="shared" si="13"/>
        <v>15309.473684210527</v>
      </c>
      <c r="S69" s="126">
        <f t="shared" si="13"/>
        <v>28707.105263157893</v>
      </c>
      <c r="T69" s="126"/>
      <c r="U69" s="156"/>
      <c r="V69" s="156"/>
      <c r="W69" s="60"/>
      <c r="X69" s="60"/>
      <c r="Y69" s="60"/>
      <c r="Z69" s="110"/>
      <c r="AA69" s="110"/>
      <c r="AB69" s="110"/>
      <c r="AC69" s="110"/>
      <c r="AD69" s="110"/>
      <c r="AE69" s="11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</row>
    <row r="70" spans="1:46" s="48" customFormat="1" ht="15.5" customHeight="1" thickTop="1" thickBot="1">
      <c r="A70" s="178" t="s">
        <v>240</v>
      </c>
      <c r="B70" s="159" t="s">
        <v>9</v>
      </c>
      <c r="C70" s="157" t="s">
        <v>13</v>
      </c>
      <c r="D70" s="62"/>
      <c r="E70" s="188"/>
      <c r="F70" s="60"/>
      <c r="G70" s="60"/>
      <c r="H70" s="60"/>
      <c r="I70" s="189">
        <v>447597</v>
      </c>
      <c r="J70" s="189">
        <v>63035.789473684214</v>
      </c>
      <c r="K70" s="60"/>
      <c r="L70" s="189">
        <f t="shared" ref="L70:S70" si="14">L69+L68</f>
        <v>558947</v>
      </c>
      <c r="M70" s="189">
        <f t="shared" si="14"/>
        <v>558947</v>
      </c>
      <c r="N70" s="189">
        <f t="shared" si="14"/>
        <v>558947</v>
      </c>
      <c r="O70" s="189">
        <f t="shared" si="14"/>
        <v>447597</v>
      </c>
      <c r="P70" s="189">
        <f t="shared" si="14"/>
        <v>63035.789473684214</v>
      </c>
      <c r="Q70" s="189">
        <f t="shared" si="14"/>
        <v>398173.6519736842</v>
      </c>
      <c r="R70" s="189">
        <f t="shared" si="14"/>
        <v>400447.33618421049</v>
      </c>
      <c r="S70" s="189">
        <f t="shared" si="14"/>
        <v>662529.63026315777</v>
      </c>
      <c r="T70" s="147"/>
      <c r="U70" s="156"/>
      <c r="V70" s="156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</row>
    <row r="71" spans="1:46" ht="15" customHeight="1" thickTop="1">
      <c r="A71" s="164"/>
      <c r="B71" s="60"/>
      <c r="C71" s="60"/>
      <c r="D71" s="60"/>
      <c r="E71" s="126"/>
      <c r="F71" s="60"/>
      <c r="G71" s="60"/>
      <c r="H71" s="60"/>
      <c r="I71" s="126"/>
      <c r="J71" s="126"/>
      <c r="K71" s="60"/>
      <c r="L71" s="126"/>
      <c r="M71" s="126"/>
      <c r="N71" s="126"/>
      <c r="O71" s="126"/>
      <c r="P71" s="126"/>
      <c r="Q71" s="126"/>
      <c r="R71" s="126"/>
      <c r="S71" s="126"/>
      <c r="T71" s="126"/>
      <c r="U71" s="156"/>
      <c r="V71" s="156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</row>
    <row r="72" spans="1:46" s="11" customFormat="1">
      <c r="A72" s="168" t="s">
        <v>241</v>
      </c>
      <c r="B72" s="159" t="s">
        <v>79</v>
      </c>
      <c r="C72" s="157" t="s">
        <v>242</v>
      </c>
      <c r="D72" s="62"/>
      <c r="E72" s="126"/>
      <c r="F72" s="60"/>
      <c r="G72" s="60"/>
      <c r="H72" s="60"/>
      <c r="I72" s="126">
        <v>224427.75</v>
      </c>
      <c r="J72" s="126">
        <v>227264.65737500001</v>
      </c>
      <c r="K72" s="60"/>
      <c r="L72" s="126">
        <f t="shared" ref="L72:S72" si="15">-(L64+L65)*(L27+L48)</f>
        <v>113077.75</v>
      </c>
      <c r="M72" s="126">
        <f t="shared" si="15"/>
        <v>113077.75</v>
      </c>
      <c r="N72" s="126">
        <f t="shared" si="15"/>
        <v>113077.75</v>
      </c>
      <c r="O72" s="126">
        <f t="shared" si="15"/>
        <v>224427.75</v>
      </c>
      <c r="P72" s="126">
        <f t="shared" si="15"/>
        <v>227264.65737500001</v>
      </c>
      <c r="Q72" s="126">
        <f t="shared" si="15"/>
        <v>88996.544875000007</v>
      </c>
      <c r="R72" s="126">
        <f t="shared" si="15"/>
        <v>88996.544875000007</v>
      </c>
      <c r="S72" s="126">
        <f t="shared" si="15"/>
        <v>88996.544875000007</v>
      </c>
      <c r="T72" s="60"/>
      <c r="U72" s="60"/>
      <c r="V72" s="60"/>
      <c r="W72" s="60"/>
      <c r="X72" s="60"/>
      <c r="Y72" s="60"/>
      <c r="Z72" s="60"/>
      <c r="AA72" s="60"/>
      <c r="AB72" s="118"/>
      <c r="AC72" s="118"/>
      <c r="AD72" s="118"/>
      <c r="AE72" s="118"/>
      <c r="AF72" s="118"/>
      <c r="AG72" s="118"/>
      <c r="AH72" s="118"/>
      <c r="AI72" s="60"/>
      <c r="AJ72" s="118"/>
      <c r="AK72" s="118"/>
      <c r="AL72" s="118"/>
      <c r="AM72" s="118"/>
      <c r="AN72" s="118"/>
      <c r="AO72" s="118"/>
      <c r="AP72" s="118"/>
      <c r="AQ72" s="60"/>
      <c r="AR72" s="60"/>
      <c r="AS72" s="60"/>
      <c r="AT72" s="60"/>
    </row>
    <row r="73" spans="1:46" s="11" customFormat="1">
      <c r="A73" s="168" t="s">
        <v>243</v>
      </c>
      <c r="B73" s="159" t="s">
        <v>79</v>
      </c>
      <c r="C73" s="157" t="s">
        <v>244</v>
      </c>
      <c r="D73" s="62"/>
      <c r="E73" s="126"/>
      <c r="F73" s="60"/>
      <c r="G73" s="60"/>
      <c r="H73" s="60"/>
      <c r="I73" s="126">
        <v>0</v>
      </c>
      <c r="J73" s="126">
        <v>-50000</v>
      </c>
      <c r="K73" s="60"/>
      <c r="L73" s="126">
        <f t="shared" ref="L73:S73" si="16">-(L64+L66)*(L28+L49)</f>
        <v>0</v>
      </c>
      <c r="M73" s="126">
        <f t="shared" si="16"/>
        <v>0</v>
      </c>
      <c r="N73" s="126">
        <f t="shared" si="16"/>
        <v>0</v>
      </c>
      <c r="O73" s="126">
        <f t="shared" si="16"/>
        <v>0</v>
      </c>
      <c r="P73" s="126">
        <f t="shared" si="16"/>
        <v>-50000</v>
      </c>
      <c r="Q73" s="126">
        <f t="shared" si="16"/>
        <v>-246869.75</v>
      </c>
      <c r="R73" s="126">
        <f t="shared" si="16"/>
        <v>-246869.75</v>
      </c>
      <c r="S73" s="126">
        <f t="shared" si="16"/>
        <v>-495554.41249999998</v>
      </c>
      <c r="T73" s="60"/>
      <c r="U73" s="60"/>
      <c r="V73" s="60"/>
      <c r="W73" s="60"/>
      <c r="X73" s="60"/>
      <c r="Y73" s="60"/>
      <c r="Z73" s="60"/>
      <c r="AA73" s="60"/>
      <c r="AB73" s="118"/>
      <c r="AC73" s="118"/>
      <c r="AD73" s="118"/>
      <c r="AE73" s="118"/>
      <c r="AF73" s="118"/>
      <c r="AG73" s="118"/>
      <c r="AH73" s="118"/>
      <c r="AI73" s="60"/>
      <c r="AJ73" s="118"/>
      <c r="AK73" s="118"/>
      <c r="AL73" s="118"/>
      <c r="AM73" s="118"/>
      <c r="AN73" s="118"/>
      <c r="AO73" s="118"/>
      <c r="AP73" s="118"/>
      <c r="AQ73" s="60"/>
      <c r="AR73" s="60"/>
      <c r="AS73" s="60"/>
      <c r="AT73" s="60"/>
    </row>
    <row r="74" spans="1:46">
      <c r="A74" s="168" t="s">
        <v>245</v>
      </c>
      <c r="B74" s="222" t="s">
        <v>9</v>
      </c>
      <c r="C74" s="72" t="s">
        <v>246</v>
      </c>
      <c r="D74" s="60"/>
      <c r="E74" s="126"/>
      <c r="F74" s="60"/>
      <c r="G74" s="60"/>
      <c r="H74" s="60"/>
      <c r="I74" s="171">
        <v>563661</v>
      </c>
      <c r="J74" s="171">
        <v>740925.65737499995</v>
      </c>
      <c r="K74" s="60"/>
      <c r="L74" s="171">
        <f>SUM(L72:L73)+E74</f>
        <v>113077.75</v>
      </c>
      <c r="M74" s="171">
        <f t="shared" ref="M74:S74" si="17">SUM(M72:M73)+L74</f>
        <v>226155.5</v>
      </c>
      <c r="N74" s="171">
        <f t="shared" si="17"/>
        <v>339233.25</v>
      </c>
      <c r="O74" s="171">
        <f t="shared" si="17"/>
        <v>563661</v>
      </c>
      <c r="P74" s="171">
        <f t="shared" si="17"/>
        <v>740925.65737499995</v>
      </c>
      <c r="Q74" s="171">
        <f t="shared" si="17"/>
        <v>583052.45224999997</v>
      </c>
      <c r="R74" s="171">
        <f t="shared" si="17"/>
        <v>425179.24712499999</v>
      </c>
      <c r="S74" s="171">
        <f t="shared" si="17"/>
        <v>18621.379500000039</v>
      </c>
      <c r="T74" s="172" t="s">
        <v>247</v>
      </c>
      <c r="U74" s="156"/>
      <c r="V74" s="156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</row>
    <row r="75" spans="1:46">
      <c r="A75" s="60"/>
      <c r="B75" s="60"/>
      <c r="C75" s="60"/>
      <c r="D75" s="60"/>
      <c r="E75" s="126"/>
      <c r="F75" s="60"/>
      <c r="G75" s="60"/>
      <c r="H75" s="60"/>
      <c r="I75" s="126"/>
      <c r="J75" s="126"/>
      <c r="K75" s="60"/>
      <c r="L75" s="126"/>
      <c r="M75" s="126"/>
      <c r="N75" s="126"/>
      <c r="O75" s="126"/>
      <c r="P75" s="126"/>
      <c r="Q75" s="126"/>
      <c r="R75" s="126"/>
      <c r="S75" s="126"/>
      <c r="T75" s="126"/>
      <c r="U75" s="156"/>
      <c r="V75" s="156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</row>
    <row r="76" spans="1:46" ht="20" customHeight="1">
      <c r="A76" s="168" t="s">
        <v>248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156"/>
      <c r="V76" s="156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</row>
    <row r="77" spans="1:46" s="11" customFormat="1" ht="14.65" customHeight="1">
      <c r="A77" s="168" t="s">
        <v>249</v>
      </c>
      <c r="B77" s="159" t="s">
        <v>79</v>
      </c>
      <c r="C77" s="157" t="s">
        <v>250</v>
      </c>
      <c r="D77" s="62"/>
      <c r="E77" s="118"/>
      <c r="F77" s="60"/>
      <c r="G77" s="60"/>
      <c r="H77" s="60"/>
      <c r="I77" s="118">
        <v>770825</v>
      </c>
      <c r="J77" s="118">
        <v>391680</v>
      </c>
      <c r="K77" s="60"/>
      <c r="L77" s="118">
        <f>'.c12_hm_hr'!L31</f>
        <v>298080</v>
      </c>
      <c r="M77" s="118">
        <f>'.c12_hm_hr'!M31</f>
        <v>298080</v>
      </c>
      <c r="N77" s="118">
        <f>'.c12_hm_hr'!N31</f>
        <v>298080</v>
      </c>
      <c r="O77" s="118">
        <f>'.c12_hm_hr'!O31</f>
        <v>770825</v>
      </c>
      <c r="P77" s="118">
        <f>'.c12_hm_hr'!P31</f>
        <v>391680</v>
      </c>
      <c r="Q77" s="118">
        <f>'.c12_hm_hr'!Q31</f>
        <v>391680</v>
      </c>
      <c r="R77" s="118">
        <f>'.c12_hm_hr'!R31</f>
        <v>434880</v>
      </c>
      <c r="S77" s="118">
        <f>'.c12_hm_hr'!S31</f>
        <v>949185</v>
      </c>
      <c r="T77" s="116"/>
      <c r="U77" s="156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</row>
    <row r="78" spans="1:46" s="11" customFormat="1">
      <c r="A78" s="168" t="s">
        <v>251</v>
      </c>
      <c r="B78" s="159" t="s">
        <v>9</v>
      </c>
      <c r="C78" s="157" t="s">
        <v>252</v>
      </c>
      <c r="D78" s="62"/>
      <c r="E78" s="118"/>
      <c r="F78" s="60"/>
      <c r="G78" s="60"/>
      <c r="H78" s="60"/>
      <c r="I78" s="193">
        <v>367075</v>
      </c>
      <c r="J78" s="193">
        <v>247680</v>
      </c>
      <c r="K78" s="60"/>
      <c r="L78" s="193">
        <f>'.c12_hm_hr'!L32</f>
        <v>154080</v>
      </c>
      <c r="M78" s="193">
        <f>'.c12_hm_hr'!M32</f>
        <v>154080</v>
      </c>
      <c r="N78" s="193">
        <f>'.c12_hm_hr'!N32</f>
        <v>154080</v>
      </c>
      <c r="O78" s="193">
        <f>'.c12_hm_hr'!O32</f>
        <v>367075</v>
      </c>
      <c r="P78" s="193">
        <f>'.c12_hm_hr'!P32</f>
        <v>247680</v>
      </c>
      <c r="Q78" s="193">
        <f>'.c12_hm_hr'!Q32</f>
        <v>247680</v>
      </c>
      <c r="R78" s="193">
        <f>'.c12_hm_hr'!R32</f>
        <v>290880</v>
      </c>
      <c r="S78" s="193">
        <f>'.c12_hm_hr'!S32</f>
        <v>545435</v>
      </c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104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</row>
    <row r="79" spans="1:46" s="11" customFormat="1">
      <c r="A79" s="168" t="s">
        <v>253</v>
      </c>
      <c r="B79" s="159" t="s">
        <v>9</v>
      </c>
      <c r="C79" s="157" t="s">
        <v>254</v>
      </c>
      <c r="D79" s="62"/>
      <c r="E79" s="118"/>
      <c r="F79" s="60"/>
      <c r="G79" s="60"/>
      <c r="H79" s="60"/>
      <c r="I79" s="193">
        <v>403750</v>
      </c>
      <c r="J79" s="193">
        <v>144000</v>
      </c>
      <c r="K79" s="60"/>
      <c r="L79" s="193">
        <f>'.c12_hm_hr'!L33</f>
        <v>144000</v>
      </c>
      <c r="M79" s="193">
        <f>'.c12_hm_hr'!M33</f>
        <v>144000</v>
      </c>
      <c r="N79" s="193">
        <f>'.c12_hm_hr'!N33</f>
        <v>144000</v>
      </c>
      <c r="O79" s="193">
        <f>'.c12_hm_hr'!O33</f>
        <v>403750</v>
      </c>
      <c r="P79" s="193">
        <f>'.c12_hm_hr'!P33</f>
        <v>144000</v>
      </c>
      <c r="Q79" s="193">
        <f>'.c12_hm_hr'!Q33</f>
        <v>144000</v>
      </c>
      <c r="R79" s="193">
        <f>'.c12_hm_hr'!R33</f>
        <v>144000</v>
      </c>
      <c r="S79" s="193">
        <f>'.c12_hm_hr'!S33</f>
        <v>403750</v>
      </c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104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</row>
    <row r="80" spans="1:46" s="11" customFormat="1">
      <c r="A80" s="168" t="s">
        <v>255</v>
      </c>
      <c r="B80" s="159" t="s">
        <v>79</v>
      </c>
      <c r="C80" s="157" t="s">
        <v>256</v>
      </c>
      <c r="D80" s="62"/>
      <c r="E80" s="118"/>
      <c r="F80" s="60"/>
      <c r="G80" s="60"/>
      <c r="H80" s="60"/>
      <c r="I80" s="118">
        <v>0</v>
      </c>
      <c r="J80" s="118">
        <v>0</v>
      </c>
      <c r="K80" s="60"/>
      <c r="L80" s="118">
        <f>'.c12_hm_hr'!L34</f>
        <v>0</v>
      </c>
      <c r="M80" s="118">
        <f>'.c12_hm_hr'!M34</f>
        <v>0</v>
      </c>
      <c r="N80" s="118">
        <f>'.c12_hm_hr'!N34</f>
        <v>0</v>
      </c>
      <c r="O80" s="118">
        <f>'.c12_hm_hr'!O34</f>
        <v>0</v>
      </c>
      <c r="P80" s="118">
        <f>'.c12_hm_hr'!P34</f>
        <v>0</v>
      </c>
      <c r="Q80" s="118">
        <f>'.c12_hm_hr'!Q34</f>
        <v>0</v>
      </c>
      <c r="R80" s="118">
        <f>'.c12_hm_hr'!R34</f>
        <v>0</v>
      </c>
      <c r="S80" s="118">
        <f>'.c12_hm_hr'!S34</f>
        <v>0</v>
      </c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104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</row>
    <row r="81" spans="1:46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</row>
    <row r="82" spans="1:46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</row>
    <row r="83" spans="1:46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</row>
    <row r="84" spans="1:46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</row>
    <row r="85" spans="1:46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</row>
    <row r="86" spans="1:4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</row>
    <row r="87" spans="1:46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</row>
    <row r="88" spans="1:46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</row>
    <row r="89" spans="1:46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</row>
    <row r="90" spans="1:46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</row>
    <row r="91" spans="1:46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</row>
    <row r="92" spans="1:46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</row>
    <row r="93" spans="1:46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</row>
    <row r="94" spans="1:46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</row>
    <row r="95" spans="1:46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</row>
    <row r="96" spans="1:4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</row>
    <row r="97" spans="1:46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</row>
    <row r="98" spans="1:46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</row>
    <row r="99" spans="1:46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</row>
    <row r="100" spans="1:46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</row>
    <row r="101" spans="1:46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</row>
    <row r="102" spans="1:46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</row>
    <row r="103" spans="1:46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</row>
    <row r="104" spans="1:46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</row>
    <row r="105" spans="1:46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</row>
    <row r="106" spans="1:4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</row>
    <row r="107" spans="1:46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</row>
    <row r="108" spans="1:46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</row>
    <row r="109" spans="1:46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</row>
    <row r="110" spans="1:46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</row>
    <row r="111" spans="1:46">
      <c r="A111" s="60"/>
      <c r="B111" s="81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</row>
    <row r="112" spans="1:46">
      <c r="A112" s="60"/>
      <c r="B112" s="81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</row>
    <row r="113" spans="1:46">
      <c r="A113" s="60"/>
      <c r="B113" s="81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</row>
    <row r="114" spans="1:46">
      <c r="A114" s="60"/>
      <c r="B114" s="81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</row>
    <row r="115" spans="1:46">
      <c r="A115" s="60"/>
      <c r="B115" s="81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</row>
    <row r="116" spans="1:46">
      <c r="A116" s="60"/>
      <c r="B116" s="81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</row>
    <row r="117" spans="1:46">
      <c r="A117" s="60"/>
      <c r="B117" s="81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</row>
    <row r="118" spans="1:46">
      <c r="A118" s="60"/>
      <c r="B118" s="81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</row>
    <row r="119" spans="1:46">
      <c r="A119" s="60"/>
      <c r="B119" s="81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</row>
    <row r="120" spans="1:46">
      <c r="A120" s="60"/>
      <c r="B120" s="81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</row>
    <row r="121" spans="1:46">
      <c r="A121" s="60"/>
      <c r="B121" s="81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</row>
    <row r="122" spans="1:46">
      <c r="A122" s="60"/>
      <c r="B122" s="81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</row>
    <row r="123" spans="1:46">
      <c r="A123" s="60"/>
      <c r="B123" s="81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</row>
    <row r="124" spans="1:46">
      <c r="A124" s="60"/>
      <c r="B124" s="81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2"/>
      <c r="U124" s="62"/>
      <c r="V124" s="62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</row>
    <row r="125" spans="1:46">
      <c r="A125" s="60"/>
      <c r="B125" s="81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</row>
    <row r="126" spans="1:46">
      <c r="A126" s="60"/>
      <c r="B126" s="81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</row>
    <row r="127" spans="1:46">
      <c r="A127" s="60"/>
      <c r="B127" s="81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</row>
    <row r="128" spans="1:46">
      <c r="A128" s="60"/>
      <c r="B128" s="81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</row>
    <row r="129" spans="1:46">
      <c r="A129" s="60"/>
      <c r="B129" s="81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</row>
    <row r="130" spans="1:46">
      <c r="A130" s="60"/>
      <c r="B130" s="81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</row>
    <row r="131" spans="1:46">
      <c r="A131" s="60"/>
      <c r="B131" s="81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</row>
    <row r="132" spans="1:46">
      <c r="A132" s="60"/>
      <c r="B132" s="81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</row>
    <row r="133" spans="1:46">
      <c r="A133" s="60"/>
      <c r="B133" s="81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</row>
    <row r="134" spans="1:46">
      <c r="A134" s="60"/>
      <c r="B134" s="81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</row>
    <row r="135" spans="1:46">
      <c r="A135" s="60"/>
      <c r="B135" s="81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</row>
    <row r="136" spans="1:46">
      <c r="A136" s="60"/>
      <c r="B136" s="81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</row>
    <row r="137" spans="1:46">
      <c r="A137" s="60"/>
      <c r="B137" s="81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</row>
    <row r="138" spans="1:46">
      <c r="A138" s="60"/>
      <c r="B138" s="81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157" t="s">
        <v>257</v>
      </c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</row>
    <row r="139" spans="1:46">
      <c r="A139" s="60"/>
      <c r="B139" s="81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</row>
    <row r="140" spans="1:46">
      <c r="A140" s="60"/>
      <c r="B140" s="81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</row>
    <row r="141" spans="1:46">
      <c r="A141" s="60"/>
      <c r="B141" s="81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</row>
    <row r="142" spans="1:46">
      <c r="A142" s="60"/>
      <c r="B142" s="81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</row>
    <row r="143" spans="1:46">
      <c r="A143" s="60"/>
      <c r="B143" s="81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</row>
    <row r="144" spans="1:46">
      <c r="A144" s="60"/>
      <c r="B144" s="81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</row>
    <row r="145" spans="1:46">
      <c r="A145" s="60"/>
      <c r="B145" s="81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</row>
    <row r="146" spans="1:46">
      <c r="A146" s="60"/>
      <c r="B146" s="81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</row>
    <row r="147" spans="1:46">
      <c r="A147" s="60"/>
      <c r="B147" s="81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</row>
    <row r="148" spans="1:46">
      <c r="A148" s="60"/>
      <c r="B148" s="81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</row>
    <row r="149" spans="1:46">
      <c r="A149" s="60"/>
      <c r="B149" s="81"/>
      <c r="C149" s="60"/>
      <c r="D149" s="60"/>
      <c r="E149" s="60"/>
      <c r="I149" s="60"/>
      <c r="J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</row>
  </sheetData>
  <pageMargins left="0.7" right="0.7" top="0.75" bottom="0.75" header="0.3" footer="0.3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4B084"/>
    <pageSetUpPr autoPageBreaks="0"/>
  </sheetPr>
  <dimension ref="A1:BG149"/>
  <sheetViews>
    <sheetView showGridLines="0" zoomScale="99" zoomScaleNormal="85" workbookViewId="0">
      <pane xSplit="4" ySplit="3" topLeftCell="N56" activePane="bottomRight" state="frozen"/>
      <selection pane="topRight"/>
      <selection pane="bottomLeft" activeCell="E16" sqref="E16"/>
      <selection pane="bottomRight" activeCell="B75" sqref="B75"/>
    </sheetView>
  </sheetViews>
  <sheetFormatPr defaultRowHeight="14.5"/>
  <cols>
    <col min="1" max="1" width="40" style="15" bestFit="1" customWidth="1"/>
    <col min="2" max="2" width="4.453125" style="54" customWidth="1"/>
    <col min="3" max="3" width="27.6328125" style="49" customWidth="1"/>
    <col min="4" max="4" width="14" style="54" bestFit="1" customWidth="1"/>
    <col min="5" max="5" width="15.6328125" style="4" bestFit="1" customWidth="1"/>
    <col min="6" max="8" width="10.7265625" style="59" customWidth="1"/>
    <col min="9" max="10" width="13.6328125" style="4" bestFit="1" customWidth="1"/>
    <col min="11" max="11" width="10.7265625" style="218" customWidth="1"/>
    <col min="12" max="12" width="13.6328125" style="4" bestFit="1" customWidth="1"/>
    <col min="13" max="15" width="14.26953125" style="4" bestFit="1" customWidth="1"/>
    <col min="16" max="16" width="17.6328125" style="4" bestFit="1" customWidth="1"/>
    <col min="17" max="19" width="15.26953125" style="4" bestFit="1" customWidth="1"/>
    <col min="20" max="20" width="15.26953125" bestFit="1" customWidth="1"/>
    <col min="21" max="21" width="16.54296875" bestFit="1" customWidth="1"/>
    <col min="22" max="22" width="15.26953125" bestFit="1" customWidth="1"/>
    <col min="23" max="23" width="16" bestFit="1" customWidth="1"/>
    <col min="24" max="24" width="10.453125" customWidth="1"/>
    <col min="25" max="25" width="34" bestFit="1" customWidth="1"/>
    <col min="26" max="26" width="14.26953125" bestFit="1" customWidth="1"/>
    <col min="27" max="27" width="33.6328125" bestFit="1" customWidth="1"/>
    <col min="28" max="28" width="21.26953125" bestFit="1" customWidth="1"/>
    <col min="29" max="29" width="16.54296875" bestFit="1" customWidth="1"/>
    <col min="30" max="30" width="27.26953125" bestFit="1" customWidth="1"/>
    <col min="31" max="31" width="10.6328125" customWidth="1"/>
    <col min="32" max="32" width="11.453125" customWidth="1"/>
    <col min="33" max="33" width="12.54296875" bestFit="1" customWidth="1"/>
    <col min="34" max="34" width="9.26953125" bestFit="1" customWidth="1"/>
    <col min="35" max="35" width="12.6328125" style="1" bestFit="1" customWidth="1"/>
    <col min="42" max="42" width="9.54296875" bestFit="1" customWidth="1"/>
  </cols>
  <sheetData>
    <row r="1" spans="1:59" s="3" customFormat="1" ht="18.399999999999999" customHeight="1">
      <c r="A1" s="164"/>
      <c r="B1" s="61"/>
      <c r="C1" s="62"/>
      <c r="D1" s="61"/>
      <c r="E1" s="165"/>
      <c r="F1" s="60"/>
      <c r="G1" s="60"/>
      <c r="H1" s="60"/>
      <c r="I1" s="165"/>
      <c r="J1" s="165"/>
      <c r="K1" s="60"/>
      <c r="L1" s="165"/>
      <c r="M1" s="165"/>
      <c r="N1" s="165"/>
      <c r="O1" s="165"/>
      <c r="P1" s="165"/>
      <c r="Q1" s="165"/>
      <c r="R1" s="165"/>
      <c r="S1" s="165"/>
      <c r="T1" s="165"/>
      <c r="U1" s="156"/>
      <c r="V1" s="156"/>
      <c r="W1" s="60"/>
      <c r="X1" s="60"/>
      <c r="Y1" s="60"/>
      <c r="Z1" s="60"/>
      <c r="AA1" s="60"/>
      <c r="AB1" s="60"/>
      <c r="AC1" s="60"/>
      <c r="AD1" s="60"/>
      <c r="AE1" s="104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</row>
    <row r="2" spans="1:59" s="229" customFormat="1">
      <c r="A2" s="225" t="s">
        <v>0</v>
      </c>
      <c r="B2" s="226"/>
      <c r="C2" s="226"/>
      <c r="D2" s="226"/>
      <c r="E2" s="227">
        <v>45657</v>
      </c>
      <c r="F2" s="227">
        <v>45747</v>
      </c>
      <c r="G2" s="227">
        <v>45838</v>
      </c>
      <c r="H2" s="227">
        <v>45930</v>
      </c>
      <c r="I2" s="227">
        <v>46022</v>
      </c>
      <c r="J2" s="227">
        <v>46112</v>
      </c>
      <c r="K2" s="227">
        <v>46203</v>
      </c>
      <c r="L2" s="227">
        <v>45747</v>
      </c>
      <c r="M2" s="227">
        <v>45838</v>
      </c>
      <c r="N2" s="227">
        <v>45930</v>
      </c>
      <c r="O2" s="227">
        <v>46022</v>
      </c>
      <c r="P2" s="227">
        <v>46112</v>
      </c>
      <c r="Q2" s="227">
        <v>46203</v>
      </c>
      <c r="R2" s="227">
        <v>46295</v>
      </c>
      <c r="S2" s="227">
        <v>46387</v>
      </c>
      <c r="T2" s="227"/>
      <c r="U2" s="227"/>
      <c r="V2" s="227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  <c r="BD2" s="228"/>
      <c r="BE2" s="228"/>
      <c r="BF2" s="228"/>
      <c r="BG2" s="228"/>
    </row>
    <row r="3" spans="1:59" s="232" customFormat="1">
      <c r="A3" s="68"/>
      <c r="B3" s="230"/>
      <c r="C3" s="230"/>
      <c r="D3" s="230"/>
      <c r="E3" s="231" t="s">
        <v>56</v>
      </c>
      <c r="F3" s="68"/>
      <c r="G3" s="68"/>
      <c r="H3" s="68"/>
      <c r="I3" s="68"/>
      <c r="J3" s="68"/>
      <c r="K3" s="231"/>
      <c r="L3" s="231" t="s">
        <v>42</v>
      </c>
      <c r="M3" s="68"/>
      <c r="N3" s="68"/>
      <c r="O3" s="68"/>
      <c r="P3" s="68"/>
      <c r="Q3" s="68"/>
      <c r="R3" s="68"/>
      <c r="S3" s="68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</row>
    <row r="4" spans="1:59" ht="14.65" customHeight="1">
      <c r="A4" s="60"/>
      <c r="B4" s="70" t="s">
        <v>42</v>
      </c>
      <c r="C4" s="71" t="s">
        <v>43</v>
      </c>
      <c r="D4" s="70" t="s">
        <v>3</v>
      </c>
      <c r="E4" s="166"/>
      <c r="F4" s="60"/>
      <c r="G4" s="60"/>
      <c r="H4" s="60"/>
      <c r="I4" s="166"/>
      <c r="J4" s="166"/>
      <c r="K4" s="60"/>
      <c r="L4" s="166"/>
      <c r="M4" s="166"/>
      <c r="N4" s="166"/>
      <c r="O4" s="166"/>
      <c r="P4" s="166"/>
      <c r="Q4" s="166"/>
      <c r="R4" s="166"/>
      <c r="S4" s="166"/>
      <c r="T4" s="167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</row>
    <row r="5" spans="1:59" ht="15" customHeight="1">
      <c r="A5" s="168" t="s">
        <v>165</v>
      </c>
      <c r="B5" s="75"/>
      <c r="C5" s="77"/>
      <c r="D5" s="75"/>
      <c r="E5" s="164"/>
      <c r="F5" s="60"/>
      <c r="G5" s="60"/>
      <c r="H5" s="60"/>
      <c r="I5" s="164"/>
      <c r="J5" s="164"/>
      <c r="K5" s="60"/>
      <c r="L5" s="164"/>
      <c r="M5" s="164"/>
      <c r="N5" s="164"/>
      <c r="O5" s="169"/>
      <c r="P5" s="164"/>
      <c r="Q5" s="164"/>
      <c r="R5" s="164"/>
      <c r="S5" s="164"/>
      <c r="T5" s="164"/>
      <c r="U5" s="60"/>
      <c r="V5" s="84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</row>
    <row r="6" spans="1:59">
      <c r="A6" s="93" t="s">
        <v>258</v>
      </c>
      <c r="B6" s="73" t="s">
        <v>25</v>
      </c>
      <c r="C6" s="74" t="s">
        <v>259</v>
      </c>
      <c r="D6" s="298" t="s">
        <v>169</v>
      </c>
      <c r="E6" s="126"/>
      <c r="F6" s="60"/>
      <c r="G6" s="60"/>
      <c r="H6" s="60"/>
      <c r="I6" s="171">
        <v>0</v>
      </c>
      <c r="J6" s="171">
        <v>0</v>
      </c>
      <c r="K6" s="60"/>
      <c r="L6" s="171"/>
      <c r="M6" s="171"/>
      <c r="N6" s="171"/>
      <c r="O6" s="171">
        <v>0</v>
      </c>
      <c r="P6" s="171">
        <v>0</v>
      </c>
      <c r="Q6" s="171">
        <v>0</v>
      </c>
      <c r="R6" s="171">
        <v>0</v>
      </c>
      <c r="S6" s="171">
        <v>0</v>
      </c>
      <c r="T6" s="72"/>
      <c r="U6" s="60"/>
      <c r="V6" s="173"/>
      <c r="W6" s="60"/>
      <c r="X6" s="60"/>
      <c r="Y6" s="126"/>
      <c r="Z6" s="126"/>
      <c r="AA6" s="126"/>
      <c r="AB6" s="126"/>
      <c r="AC6" s="126"/>
      <c r="AD6" s="126"/>
      <c r="AE6" s="126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</row>
    <row r="7" spans="1:59">
      <c r="A7" s="93" t="s">
        <v>260</v>
      </c>
      <c r="B7" s="73" t="s">
        <v>25</v>
      </c>
      <c r="C7" s="74" t="s">
        <v>261</v>
      </c>
      <c r="D7" s="298" t="s">
        <v>169</v>
      </c>
      <c r="E7" s="126"/>
      <c r="F7" s="60"/>
      <c r="G7" s="60"/>
      <c r="H7" s="60"/>
      <c r="I7" s="171">
        <v>0</v>
      </c>
      <c r="J7" s="171">
        <v>0</v>
      </c>
      <c r="K7" s="60"/>
      <c r="L7" s="171"/>
      <c r="M7" s="171"/>
      <c r="N7" s="171"/>
      <c r="O7" s="171">
        <v>0</v>
      </c>
      <c r="P7" s="171">
        <v>0</v>
      </c>
      <c r="Q7" s="171">
        <v>0</v>
      </c>
      <c r="R7" s="171">
        <v>0</v>
      </c>
      <c r="S7" s="171">
        <v>0</v>
      </c>
      <c r="T7" s="60"/>
      <c r="U7" s="62"/>
      <c r="V7" s="174"/>
      <c r="W7" s="60"/>
      <c r="X7" s="60"/>
      <c r="Y7" s="126"/>
      <c r="Z7" s="118"/>
      <c r="AA7" s="118"/>
      <c r="AB7" s="118"/>
      <c r="AC7" s="118"/>
      <c r="AD7" s="118"/>
      <c r="AE7" s="126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</row>
    <row r="8" spans="1:59">
      <c r="A8" s="93" t="s">
        <v>262</v>
      </c>
      <c r="B8" s="73" t="s">
        <v>25</v>
      </c>
      <c r="C8" s="74" t="s">
        <v>263</v>
      </c>
      <c r="D8" s="298" t="s">
        <v>169</v>
      </c>
      <c r="E8" s="126"/>
      <c r="F8" s="60"/>
      <c r="G8" s="60"/>
      <c r="H8" s="60"/>
      <c r="I8" s="171"/>
      <c r="J8" s="171"/>
      <c r="K8" s="60"/>
      <c r="L8" s="171"/>
      <c r="M8" s="171"/>
      <c r="N8" s="171">
        <f>520000</f>
        <v>520000</v>
      </c>
      <c r="O8" s="171"/>
      <c r="P8" s="171"/>
      <c r="Q8" s="171">
        <v>0</v>
      </c>
      <c r="R8" s="171"/>
      <c r="S8" s="171">
        <v>0</v>
      </c>
      <c r="T8" s="60"/>
      <c r="U8" s="62"/>
      <c r="V8" s="175"/>
      <c r="W8" s="60"/>
      <c r="X8" s="60"/>
      <c r="Y8" s="126"/>
      <c r="Z8" s="126"/>
      <c r="AA8" s="126"/>
      <c r="AB8" s="126"/>
      <c r="AC8" s="126"/>
      <c r="AD8" s="126"/>
      <c r="AE8" s="126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</row>
    <row r="9" spans="1:59">
      <c r="A9" s="93" t="s">
        <v>264</v>
      </c>
      <c r="B9" s="72" t="s">
        <v>25</v>
      </c>
      <c r="C9" s="72" t="s">
        <v>259</v>
      </c>
      <c r="D9" s="72" t="s">
        <v>174</v>
      </c>
      <c r="E9" s="126"/>
      <c r="F9" s="60"/>
      <c r="G9" s="60"/>
      <c r="H9" s="60"/>
      <c r="I9" s="171">
        <v>0</v>
      </c>
      <c r="J9" s="171">
        <v>0</v>
      </c>
      <c r="K9" s="60"/>
      <c r="L9" s="171"/>
      <c r="M9" s="171"/>
      <c r="N9" s="171"/>
      <c r="O9" s="171">
        <v>0</v>
      </c>
      <c r="P9" s="171">
        <v>0</v>
      </c>
      <c r="Q9" s="171">
        <v>0</v>
      </c>
      <c r="R9" s="171">
        <v>0</v>
      </c>
      <c r="S9" s="171">
        <v>0</v>
      </c>
      <c r="T9" s="60"/>
      <c r="U9" s="62"/>
      <c r="V9" s="176"/>
      <c r="W9" s="60"/>
      <c r="X9" s="60"/>
      <c r="Y9" s="126"/>
      <c r="Z9" s="126"/>
      <c r="AA9" s="126"/>
      <c r="AB9" s="118"/>
      <c r="AC9" s="118"/>
      <c r="AD9" s="118"/>
      <c r="AE9" s="126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</row>
    <row r="10" spans="1:59">
      <c r="A10" s="93" t="s">
        <v>265</v>
      </c>
      <c r="B10" s="72" t="s">
        <v>25</v>
      </c>
      <c r="C10" s="72" t="s">
        <v>261</v>
      </c>
      <c r="D10" s="72" t="s">
        <v>174</v>
      </c>
      <c r="E10" s="126"/>
      <c r="F10" s="91"/>
      <c r="G10" s="91"/>
      <c r="H10" s="91"/>
      <c r="I10" s="171">
        <v>0</v>
      </c>
      <c r="J10" s="171">
        <v>0</v>
      </c>
      <c r="K10" s="91"/>
      <c r="L10" s="171"/>
      <c r="M10" s="171"/>
      <c r="N10" s="171"/>
      <c r="O10" s="171">
        <v>0</v>
      </c>
      <c r="P10" s="171">
        <v>0</v>
      </c>
      <c r="Q10" s="171">
        <v>0</v>
      </c>
      <c r="R10" s="171">
        <v>0</v>
      </c>
      <c r="S10" s="171">
        <v>0</v>
      </c>
      <c r="T10" s="60"/>
      <c r="U10" s="62"/>
      <c r="V10" s="176"/>
      <c r="W10" s="60"/>
      <c r="X10" s="60"/>
      <c r="Y10" s="126"/>
      <c r="Z10" s="126"/>
      <c r="AA10" s="126"/>
      <c r="AB10" s="118"/>
      <c r="AC10" s="118"/>
      <c r="AD10" s="118"/>
      <c r="AE10" s="126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</row>
    <row r="11" spans="1:59">
      <c r="A11" s="93" t="s">
        <v>266</v>
      </c>
      <c r="B11" s="72" t="s">
        <v>25</v>
      </c>
      <c r="C11" s="72" t="s">
        <v>259</v>
      </c>
      <c r="D11" s="72" t="s">
        <v>177</v>
      </c>
      <c r="E11" s="126"/>
      <c r="F11" s="60"/>
      <c r="G11" s="60"/>
      <c r="H11" s="60"/>
      <c r="I11" s="171">
        <v>50000</v>
      </c>
      <c r="J11" s="171">
        <v>0</v>
      </c>
      <c r="K11" s="60"/>
      <c r="L11" s="171"/>
      <c r="M11" s="171"/>
      <c r="N11" s="171"/>
      <c r="O11" s="171">
        <v>50000</v>
      </c>
      <c r="P11" s="171">
        <v>0</v>
      </c>
      <c r="Q11" s="171">
        <v>0</v>
      </c>
      <c r="R11" s="171">
        <v>0</v>
      </c>
      <c r="S11" s="171">
        <v>0</v>
      </c>
      <c r="T11" s="60"/>
      <c r="U11" s="62"/>
      <c r="V11" s="177"/>
      <c r="W11" s="60"/>
      <c r="X11" s="60"/>
      <c r="Y11" s="126"/>
      <c r="Z11" s="126"/>
      <c r="AA11" s="126"/>
      <c r="AB11" s="126"/>
      <c r="AC11" s="126"/>
      <c r="AD11" s="126"/>
      <c r="AE11" s="126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</row>
    <row r="12" spans="1:59">
      <c r="A12" s="93" t="s">
        <v>267</v>
      </c>
      <c r="B12" s="72" t="s">
        <v>25</v>
      </c>
      <c r="C12" s="72" t="s">
        <v>261</v>
      </c>
      <c r="D12" s="72" t="s">
        <v>177</v>
      </c>
      <c r="E12" s="170">
        <v>812800</v>
      </c>
      <c r="F12" s="95"/>
      <c r="G12" s="95"/>
      <c r="H12" s="95"/>
      <c r="I12" s="171">
        <v>340000</v>
      </c>
      <c r="J12" s="171">
        <v>549375</v>
      </c>
      <c r="K12" s="95"/>
      <c r="L12" s="171">
        <v>280000</v>
      </c>
      <c r="M12" s="171">
        <v>280000</v>
      </c>
      <c r="N12" s="171">
        <v>280000</v>
      </c>
      <c r="O12" s="171">
        <v>340000</v>
      </c>
      <c r="P12" s="171">
        <f>2930000/16*3</f>
        <v>549375</v>
      </c>
      <c r="Q12" s="171">
        <f>2930000/16*3</f>
        <v>549375</v>
      </c>
      <c r="R12" s="171">
        <f>2930000/16*3</f>
        <v>549375</v>
      </c>
      <c r="S12" s="171">
        <f>2930000/16*3</f>
        <v>549375</v>
      </c>
      <c r="T12" s="149"/>
      <c r="U12" s="62"/>
      <c r="V12" s="177"/>
      <c r="W12" s="110"/>
      <c r="X12" s="110"/>
      <c r="Y12" s="110"/>
      <c r="Z12" s="110"/>
      <c r="AA12" s="110"/>
      <c r="AB12" s="110"/>
      <c r="AC12" s="110"/>
      <c r="AD12" s="110"/>
      <c r="AE12" s="11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</row>
    <row r="13" spans="1:59">
      <c r="A13" s="93" t="s">
        <v>268</v>
      </c>
      <c r="B13" s="72" t="s">
        <v>25</v>
      </c>
      <c r="C13" s="72" t="s">
        <v>263</v>
      </c>
      <c r="D13" s="72" t="s">
        <v>177</v>
      </c>
      <c r="E13" s="126"/>
      <c r="F13" s="95"/>
      <c r="G13" s="95"/>
      <c r="H13" s="95"/>
      <c r="I13" s="171">
        <v>250000</v>
      </c>
      <c r="J13" s="171">
        <v>0</v>
      </c>
      <c r="K13" s="95"/>
      <c r="L13" s="171"/>
      <c r="M13" s="171"/>
      <c r="N13" s="171"/>
      <c r="O13" s="171">
        <v>250000</v>
      </c>
      <c r="P13" s="171">
        <v>0</v>
      </c>
      <c r="Q13" s="171">
        <v>0</v>
      </c>
      <c r="R13" s="171">
        <v>0</v>
      </c>
      <c r="S13" s="171">
        <v>0</v>
      </c>
      <c r="T13" s="126"/>
      <c r="U13" s="62"/>
      <c r="V13" s="177"/>
      <c r="W13" s="110"/>
      <c r="X13" s="110"/>
      <c r="Y13" s="110"/>
      <c r="Z13" s="110"/>
      <c r="AA13" s="110"/>
      <c r="AB13" s="110"/>
      <c r="AC13" s="110"/>
      <c r="AD13" s="110"/>
      <c r="AE13" s="11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</row>
    <row r="14" spans="1:59">
      <c r="A14" s="93" t="s">
        <v>269</v>
      </c>
      <c r="B14" s="72" t="s">
        <v>25</v>
      </c>
      <c r="C14" s="72" t="s">
        <v>259</v>
      </c>
      <c r="D14" s="72" t="s">
        <v>182</v>
      </c>
      <c r="E14" s="118"/>
      <c r="F14" s="60"/>
      <c r="G14" s="60"/>
      <c r="H14" s="60"/>
      <c r="I14" s="171">
        <v>375000</v>
      </c>
      <c r="J14" s="171">
        <v>487500</v>
      </c>
      <c r="K14" s="60"/>
      <c r="L14" s="171"/>
      <c r="M14" s="171"/>
      <c r="N14" s="171">
        <f>750000/2</f>
        <v>375000</v>
      </c>
      <c r="O14" s="136">
        <f>750000/2</f>
        <v>375000</v>
      </c>
      <c r="P14" s="136">
        <f>(4500000*0.6-SUM($N$14:$O$14))/4</f>
        <v>487500</v>
      </c>
      <c r="Q14" s="136">
        <f>(4500000*0.6-SUM($N$14:$O$14))/4</f>
        <v>487500</v>
      </c>
      <c r="R14" s="136">
        <f>(4500000*0.6-SUM($N$14:$O$14))/4</f>
        <v>487500</v>
      </c>
      <c r="S14" s="136">
        <f>(4500000*0.6-SUM($N$14:$O$14))/4</f>
        <v>487500</v>
      </c>
      <c r="T14" s="60"/>
      <c r="U14" s="156"/>
      <c r="V14" s="156"/>
      <c r="W14" s="60"/>
      <c r="X14" s="60"/>
      <c r="Y14" s="60"/>
      <c r="Z14" s="110"/>
      <c r="AA14" s="110"/>
      <c r="AB14" s="110"/>
      <c r="AC14" s="110"/>
      <c r="AD14" s="110"/>
      <c r="AE14" s="11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</row>
    <row r="15" spans="1:59">
      <c r="A15" s="93" t="s">
        <v>270</v>
      </c>
      <c r="B15" s="72" t="s">
        <v>25</v>
      </c>
      <c r="C15" s="72" t="s">
        <v>261</v>
      </c>
      <c r="D15" s="72" t="s">
        <v>182</v>
      </c>
      <c r="E15" s="118"/>
      <c r="F15" s="60"/>
      <c r="G15" s="60"/>
      <c r="H15" s="60"/>
      <c r="I15" s="171">
        <v>500000</v>
      </c>
      <c r="J15" s="171">
        <v>433333.33333333331</v>
      </c>
      <c r="K15" s="60"/>
      <c r="L15" s="171"/>
      <c r="M15" s="171"/>
      <c r="N15" s="171">
        <f>1000000/2</f>
        <v>500000</v>
      </c>
      <c r="O15" s="136">
        <f>1000000/2</f>
        <v>500000</v>
      </c>
      <c r="P15" s="136">
        <f>5200000/3/4</f>
        <v>433333.33333333331</v>
      </c>
      <c r="Q15" s="136">
        <f>5200000/3/4</f>
        <v>433333.33333333331</v>
      </c>
      <c r="R15" s="136">
        <f>5200000/3/4</f>
        <v>433333.33333333331</v>
      </c>
      <c r="S15" s="136">
        <f>5200000/3/4</f>
        <v>433333.33333333331</v>
      </c>
      <c r="T15" s="118"/>
      <c r="U15" s="179"/>
      <c r="V15" s="156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</row>
    <row r="16" spans="1:59">
      <c r="A16" s="93" t="s">
        <v>271</v>
      </c>
      <c r="B16" s="72" t="s">
        <v>25</v>
      </c>
      <c r="C16" s="72" t="s">
        <v>263</v>
      </c>
      <c r="D16" s="72" t="s">
        <v>182</v>
      </c>
      <c r="E16" s="118"/>
      <c r="F16" s="60"/>
      <c r="G16" s="60"/>
      <c r="H16" s="60"/>
      <c r="I16" s="171">
        <v>0</v>
      </c>
      <c r="J16" s="171">
        <v>0</v>
      </c>
      <c r="K16" s="60"/>
      <c r="L16" s="171">
        <v>0</v>
      </c>
      <c r="M16" s="171">
        <v>0</v>
      </c>
      <c r="N16" s="171">
        <v>0</v>
      </c>
      <c r="O16" s="136">
        <v>0</v>
      </c>
      <c r="P16" s="136">
        <v>0</v>
      </c>
      <c r="Q16" s="136">
        <v>0</v>
      </c>
      <c r="R16" s="136">
        <v>0</v>
      </c>
      <c r="S16" s="136">
        <v>0</v>
      </c>
      <c r="T16" s="60"/>
      <c r="U16" s="179"/>
      <c r="V16" s="156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</row>
    <row r="17" spans="1:50">
      <c r="A17" s="93" t="s">
        <v>272</v>
      </c>
      <c r="B17" s="72" t="s">
        <v>25</v>
      </c>
      <c r="C17" s="72" t="s">
        <v>273</v>
      </c>
      <c r="D17" s="72" t="s">
        <v>182</v>
      </c>
      <c r="E17" s="126"/>
      <c r="F17" s="99"/>
      <c r="G17" s="99"/>
      <c r="H17" s="99"/>
      <c r="I17" s="171"/>
      <c r="J17" s="171">
        <v>0</v>
      </c>
      <c r="K17" s="99"/>
      <c r="L17" s="171"/>
      <c r="M17" s="171"/>
      <c r="N17" s="171"/>
      <c r="O17" s="136"/>
      <c r="P17" s="136">
        <v>0</v>
      </c>
      <c r="Q17" s="136">
        <v>0</v>
      </c>
      <c r="R17" s="136">
        <v>0</v>
      </c>
      <c r="S17" s="136">
        <v>0</v>
      </c>
      <c r="T17" s="60"/>
      <c r="U17" s="156"/>
      <c r="V17" s="156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</row>
    <row r="18" spans="1:50">
      <c r="A18" s="93" t="s">
        <v>274</v>
      </c>
      <c r="B18" s="72" t="s">
        <v>25</v>
      </c>
      <c r="C18" s="72" t="s">
        <v>275</v>
      </c>
      <c r="D18" s="72" t="s">
        <v>182</v>
      </c>
      <c r="E18" s="126"/>
      <c r="F18" s="99"/>
      <c r="G18" s="99"/>
      <c r="H18" s="99"/>
      <c r="I18" s="171"/>
      <c r="J18" s="171"/>
      <c r="K18" s="99"/>
      <c r="L18" s="171"/>
      <c r="M18" s="171">
        <v>1000000</v>
      </c>
      <c r="N18" s="171"/>
      <c r="O18" s="136"/>
      <c r="P18" s="136"/>
      <c r="Q18" s="136"/>
      <c r="R18" s="136"/>
      <c r="S18" s="136"/>
      <c r="T18" s="60"/>
      <c r="U18" s="156"/>
      <c r="V18" s="156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</row>
    <row r="19" spans="1:50" s="4" customFormat="1">
      <c r="A19" s="294" t="s">
        <v>185</v>
      </c>
      <c r="B19" s="159"/>
      <c r="C19" s="157"/>
      <c r="D19" s="159"/>
      <c r="E19" s="126"/>
      <c r="F19" s="91"/>
      <c r="G19" s="91"/>
      <c r="H19" s="91"/>
      <c r="I19" s="171">
        <v>0</v>
      </c>
      <c r="J19" s="171">
        <v>0</v>
      </c>
      <c r="K19" s="91"/>
      <c r="L19" s="171">
        <v>0</v>
      </c>
      <c r="M19" s="171">
        <v>0</v>
      </c>
      <c r="N19" s="171">
        <v>0</v>
      </c>
      <c r="O19" s="136">
        <v>0</v>
      </c>
      <c r="P19" s="136">
        <v>0</v>
      </c>
      <c r="Q19" s="136">
        <v>0</v>
      </c>
      <c r="R19" s="136">
        <v>0</v>
      </c>
      <c r="S19" s="136">
        <v>0</v>
      </c>
      <c r="T19" s="60"/>
      <c r="U19" s="156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</row>
    <row r="20" spans="1:50">
      <c r="A20" s="93" t="s">
        <v>276</v>
      </c>
      <c r="B20" s="72" t="s">
        <v>25</v>
      </c>
      <c r="C20" s="72" t="s">
        <v>275</v>
      </c>
      <c r="D20" s="72" t="s">
        <v>180</v>
      </c>
      <c r="E20" s="126"/>
      <c r="F20" s="60"/>
      <c r="G20" s="60"/>
      <c r="H20" s="60"/>
      <c r="I20" s="171">
        <v>0</v>
      </c>
      <c r="J20" s="171">
        <v>0</v>
      </c>
      <c r="K20" s="60"/>
      <c r="L20" s="171">
        <v>0</v>
      </c>
      <c r="M20" s="171">
        <v>1250000</v>
      </c>
      <c r="N20" s="171">
        <v>0</v>
      </c>
      <c r="O20" s="136">
        <v>0</v>
      </c>
      <c r="P20" s="136">
        <v>0</v>
      </c>
      <c r="Q20" s="136">
        <v>0</v>
      </c>
      <c r="R20" s="136">
        <v>0</v>
      </c>
      <c r="S20" s="136">
        <v>0</v>
      </c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</row>
    <row r="21" spans="1:50">
      <c r="A21" s="294" t="s">
        <v>185</v>
      </c>
      <c r="B21" s="72"/>
      <c r="C21" s="72"/>
      <c r="D21" s="72"/>
      <c r="E21" s="126"/>
      <c r="F21" s="104"/>
      <c r="G21" s="104"/>
      <c r="H21" s="104"/>
      <c r="I21" s="171">
        <v>0</v>
      </c>
      <c r="J21" s="171">
        <v>0</v>
      </c>
      <c r="K21" s="104"/>
      <c r="L21" s="171">
        <v>0</v>
      </c>
      <c r="M21" s="171">
        <v>0</v>
      </c>
      <c r="N21" s="171">
        <v>0</v>
      </c>
      <c r="O21" s="171">
        <v>0</v>
      </c>
      <c r="P21" s="171">
        <v>0</v>
      </c>
      <c r="Q21" s="171">
        <v>0</v>
      </c>
      <c r="R21" s="171">
        <v>0</v>
      </c>
      <c r="S21" s="171">
        <v>0</v>
      </c>
      <c r="T21" s="60"/>
      <c r="U21" s="156"/>
      <c r="V21" s="156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</row>
    <row r="22" spans="1:50">
      <c r="A22" s="93" t="s">
        <v>277</v>
      </c>
      <c r="B22" s="72" t="s">
        <v>25</v>
      </c>
      <c r="C22" s="72" t="s">
        <v>278</v>
      </c>
      <c r="D22" s="72" t="s">
        <v>180</v>
      </c>
      <c r="E22" s="126"/>
      <c r="F22" s="91"/>
      <c r="G22" s="91"/>
      <c r="H22" s="91"/>
      <c r="I22" s="171">
        <v>0</v>
      </c>
      <c r="J22" s="171">
        <v>0</v>
      </c>
      <c r="K22" s="91"/>
      <c r="L22" s="171"/>
      <c r="M22" s="171"/>
      <c r="N22" s="171"/>
      <c r="O22" s="171">
        <v>0</v>
      </c>
      <c r="P22" s="171">
        <v>0</v>
      </c>
      <c r="Q22" s="171">
        <v>0</v>
      </c>
      <c r="R22" s="171">
        <v>0</v>
      </c>
      <c r="S22" s="171">
        <v>2500000</v>
      </c>
      <c r="T22" s="149"/>
      <c r="U22" s="156"/>
      <c r="V22" s="156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</row>
    <row r="23" spans="1:50">
      <c r="A23" s="294" t="s">
        <v>279</v>
      </c>
      <c r="B23" s="72" t="s">
        <v>25</v>
      </c>
      <c r="C23" s="72" t="s">
        <v>261</v>
      </c>
      <c r="D23" s="72" t="s">
        <v>184</v>
      </c>
      <c r="E23" s="126"/>
      <c r="F23" s="91"/>
      <c r="G23" s="91"/>
      <c r="H23" s="91"/>
      <c r="I23" s="171"/>
      <c r="J23" s="171"/>
      <c r="K23" s="91"/>
      <c r="L23" s="171"/>
      <c r="M23" s="171"/>
      <c r="N23" s="171"/>
      <c r="O23" s="171"/>
      <c r="P23" s="171"/>
      <c r="Q23" s="171"/>
      <c r="R23" s="171"/>
      <c r="S23" s="171">
        <f>500000+1600000</f>
        <v>2100000</v>
      </c>
      <c r="T23" s="149"/>
      <c r="U23" s="183"/>
      <c r="V23" s="156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</row>
    <row r="24" spans="1:50" ht="15" customHeight="1">
      <c r="A24" s="93" t="s">
        <v>186</v>
      </c>
      <c r="B24" s="72" t="s">
        <v>25</v>
      </c>
      <c r="C24" s="72" t="s">
        <v>261</v>
      </c>
      <c r="D24" s="72" t="s">
        <v>187</v>
      </c>
      <c r="E24" s="126"/>
      <c r="F24" s="91"/>
      <c r="G24" s="91"/>
      <c r="H24" s="91"/>
      <c r="I24" s="171"/>
      <c r="J24" s="171"/>
      <c r="K24" s="91"/>
      <c r="L24" s="171"/>
      <c r="M24" s="171"/>
      <c r="N24" s="171"/>
      <c r="O24" s="171"/>
      <c r="P24" s="171"/>
      <c r="Q24" s="171"/>
      <c r="R24" s="171">
        <v>0</v>
      </c>
      <c r="S24" s="171">
        <v>0</v>
      </c>
      <c r="T24" s="149"/>
      <c r="U24" s="183"/>
      <c r="V24" s="156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</row>
    <row r="25" spans="1:50">
      <c r="A25" s="178" t="s">
        <v>188</v>
      </c>
      <c r="B25" s="72" t="s">
        <v>79</v>
      </c>
      <c r="C25" s="72" t="s">
        <v>189</v>
      </c>
      <c r="D25" s="60"/>
      <c r="E25" s="126"/>
      <c r="F25" s="91"/>
      <c r="G25" s="91"/>
      <c r="H25" s="91"/>
      <c r="I25" s="126">
        <v>1515000</v>
      </c>
      <c r="J25" s="126">
        <v>1470208.333333333</v>
      </c>
      <c r="K25" s="91"/>
      <c r="L25" s="126">
        <f t="shared" ref="L25:S25" si="0">SUM(L6:L24)</f>
        <v>280000</v>
      </c>
      <c r="M25" s="126">
        <f t="shared" si="0"/>
        <v>2530000</v>
      </c>
      <c r="N25" s="126">
        <f t="shared" si="0"/>
        <v>1675000</v>
      </c>
      <c r="O25" s="126">
        <f t="shared" si="0"/>
        <v>1515000</v>
      </c>
      <c r="P25" s="126">
        <f t="shared" si="0"/>
        <v>1470208.3333333333</v>
      </c>
      <c r="Q25" s="126">
        <f t="shared" si="0"/>
        <v>1470208.3333333333</v>
      </c>
      <c r="R25" s="126">
        <f t="shared" si="0"/>
        <v>1470208.3333333333</v>
      </c>
      <c r="S25" s="126">
        <f t="shared" si="0"/>
        <v>6070208.333333333</v>
      </c>
      <c r="T25" s="126"/>
      <c r="U25" s="156"/>
      <c r="V25" s="156"/>
      <c r="W25" s="60"/>
      <c r="X25" s="104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</row>
    <row r="26" spans="1:50" ht="15" customHeight="1">
      <c r="A26" s="164"/>
      <c r="B26" s="60"/>
      <c r="C26" s="60"/>
      <c r="D26" s="60"/>
      <c r="E26" s="126"/>
      <c r="F26" s="91"/>
      <c r="G26" s="91"/>
      <c r="H26" s="91"/>
      <c r="I26" s="126"/>
      <c r="J26" s="126"/>
      <c r="K26" s="91"/>
      <c r="L26" s="126"/>
      <c r="M26" s="126"/>
      <c r="N26" s="126"/>
      <c r="O26" s="126"/>
      <c r="P26" s="126"/>
      <c r="Q26" s="126"/>
      <c r="R26" s="126"/>
      <c r="S26" s="126"/>
      <c r="T26" s="126"/>
      <c r="U26" s="156"/>
      <c r="V26" s="156"/>
      <c r="W26" s="60"/>
      <c r="X26" s="104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</row>
    <row r="27" spans="1:50">
      <c r="A27" s="168" t="s">
        <v>190</v>
      </c>
      <c r="B27" s="72" t="s">
        <v>25</v>
      </c>
      <c r="C27" s="72" t="s">
        <v>191</v>
      </c>
      <c r="D27" s="60"/>
      <c r="E27" s="126"/>
      <c r="F27" s="91"/>
      <c r="G27" s="91"/>
      <c r="H27" s="91"/>
      <c r="I27" s="171">
        <v>-745000</v>
      </c>
      <c r="J27" s="171">
        <v>-1470208</v>
      </c>
      <c r="K27" s="91"/>
      <c r="L27" s="171">
        <f>-SUM(L6:L24)</f>
        <v>-280000</v>
      </c>
      <c r="M27" s="171">
        <f>-SUM(M6:M24)</f>
        <v>-2530000</v>
      </c>
      <c r="N27" s="171">
        <v>-1155000</v>
      </c>
      <c r="O27" s="171">
        <v>-745000</v>
      </c>
      <c r="P27" s="171">
        <v>-1470208</v>
      </c>
      <c r="Q27" s="171">
        <f>-1000000+310000</f>
        <v>-690000</v>
      </c>
      <c r="R27" s="171">
        <v>-1000000</v>
      </c>
      <c r="S27" s="171">
        <v>-2100000</v>
      </c>
      <c r="T27" s="172"/>
      <c r="U27" s="156"/>
      <c r="V27" s="156"/>
      <c r="W27" s="110"/>
      <c r="X27" s="110"/>
      <c r="Y27" s="110"/>
      <c r="Z27" s="110"/>
      <c r="AA27" s="110"/>
      <c r="AB27" s="110"/>
      <c r="AC27" s="110"/>
      <c r="AD27" s="110"/>
      <c r="AE27" s="11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</row>
    <row r="28" spans="1:50" ht="15" customHeight="1">
      <c r="A28" s="100" t="s">
        <v>192</v>
      </c>
      <c r="B28" s="72" t="s">
        <v>25</v>
      </c>
      <c r="C28" s="72" t="s">
        <v>193</v>
      </c>
      <c r="D28" s="60"/>
      <c r="E28" s="126"/>
      <c r="F28" s="91"/>
      <c r="G28" s="91"/>
      <c r="H28" s="91"/>
      <c r="I28" s="171"/>
      <c r="J28" s="171">
        <v>1508647.32</v>
      </c>
      <c r="K28" s="91"/>
      <c r="L28" s="171"/>
      <c r="M28" s="171"/>
      <c r="N28" s="171"/>
      <c r="O28" s="171"/>
      <c r="P28" s="171">
        <v>1508647.32</v>
      </c>
      <c r="Q28" s="171">
        <v>1177500</v>
      </c>
      <c r="R28" s="171">
        <v>1177500</v>
      </c>
      <c r="S28" s="171">
        <v>1177500</v>
      </c>
      <c r="T28" s="60"/>
      <c r="U28" s="156"/>
      <c r="V28" s="156"/>
      <c r="W28" s="110"/>
      <c r="X28" s="110"/>
      <c r="Y28" s="110"/>
      <c r="Z28" s="110"/>
      <c r="AA28" s="110"/>
      <c r="AB28" s="110"/>
      <c r="AC28" s="110"/>
      <c r="AD28" s="110"/>
      <c r="AE28" s="11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</row>
    <row r="29" spans="1:50">
      <c r="A29" s="168" t="s">
        <v>194</v>
      </c>
      <c r="B29" s="72" t="s">
        <v>79</v>
      </c>
      <c r="C29" s="72" t="s">
        <v>195</v>
      </c>
      <c r="D29" s="60"/>
      <c r="E29" s="126"/>
      <c r="F29" s="91"/>
      <c r="G29" s="91"/>
      <c r="H29" s="91"/>
      <c r="I29" s="126">
        <v>-4710000</v>
      </c>
      <c r="J29" s="126">
        <v>-4671560.68</v>
      </c>
      <c r="K29" s="91"/>
      <c r="L29" s="126">
        <f>+L27+E29+L28</f>
        <v>-280000</v>
      </c>
      <c r="M29" s="126">
        <f t="shared" ref="M29:S29" si="1">+M27+L29+M28</f>
        <v>-2810000</v>
      </c>
      <c r="N29" s="126">
        <f t="shared" si="1"/>
        <v>-3965000</v>
      </c>
      <c r="O29" s="126">
        <f t="shared" si="1"/>
        <v>-4710000</v>
      </c>
      <c r="P29" s="126">
        <f t="shared" si="1"/>
        <v>-4671560.68</v>
      </c>
      <c r="Q29" s="126">
        <f t="shared" si="1"/>
        <v>-4184060.6799999997</v>
      </c>
      <c r="R29" s="126">
        <f t="shared" si="1"/>
        <v>-4006560.6799999997</v>
      </c>
      <c r="S29" s="126">
        <f t="shared" si="1"/>
        <v>-4929060.68</v>
      </c>
      <c r="T29" s="60"/>
      <c r="U29" s="156"/>
      <c r="V29" s="156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</row>
    <row r="30" spans="1:50">
      <c r="A30" s="60"/>
      <c r="B30" s="60"/>
      <c r="C30" s="60"/>
      <c r="D30" s="60"/>
      <c r="E30" s="60"/>
      <c r="F30" s="91"/>
      <c r="G30" s="91"/>
      <c r="H30" s="91"/>
      <c r="I30" s="60"/>
      <c r="J30" s="60"/>
      <c r="K30" s="91"/>
      <c r="L30" s="60"/>
      <c r="M30" s="60"/>
      <c r="N30" s="60"/>
      <c r="O30" s="60"/>
      <c r="P30" s="60"/>
      <c r="Q30" s="60"/>
      <c r="R30" s="60"/>
      <c r="S30" s="60"/>
      <c r="T30" s="60"/>
      <c r="U30" s="156"/>
      <c r="V30" s="156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</row>
    <row r="31" spans="1:50">
      <c r="A31" s="168" t="s">
        <v>196</v>
      </c>
      <c r="B31" s="72" t="s">
        <v>79</v>
      </c>
      <c r="C31" s="72" t="s">
        <v>197</v>
      </c>
      <c r="D31" s="60"/>
      <c r="E31" s="182"/>
      <c r="F31" s="91"/>
      <c r="G31" s="91"/>
      <c r="H31" s="91"/>
      <c r="I31" s="182">
        <v>770000</v>
      </c>
      <c r="J31" s="182">
        <v>0.33333333325572312</v>
      </c>
      <c r="K31" s="91"/>
      <c r="L31" s="182">
        <f t="shared" ref="L31:S31" si="2">+L25+L27</f>
        <v>0</v>
      </c>
      <c r="M31" s="182">
        <f t="shared" si="2"/>
        <v>0</v>
      </c>
      <c r="N31" s="182">
        <f t="shared" si="2"/>
        <v>520000</v>
      </c>
      <c r="O31" s="182">
        <f t="shared" si="2"/>
        <v>770000</v>
      </c>
      <c r="P31" s="182">
        <f t="shared" si="2"/>
        <v>0.33333333325572312</v>
      </c>
      <c r="Q31" s="182">
        <f t="shared" si="2"/>
        <v>780208.33333333326</v>
      </c>
      <c r="R31" s="182">
        <f t="shared" si="2"/>
        <v>470208.33333333326</v>
      </c>
      <c r="S31" s="182">
        <f t="shared" si="2"/>
        <v>3970208.333333333</v>
      </c>
      <c r="T31" s="60"/>
      <c r="U31" s="156"/>
      <c r="V31" s="156"/>
      <c r="W31" s="60"/>
      <c r="X31" s="60"/>
      <c r="Y31" s="60"/>
      <c r="Z31" s="110"/>
      <c r="AA31" s="110"/>
      <c r="AB31" s="110"/>
      <c r="AC31" s="110"/>
      <c r="AD31" s="110"/>
      <c r="AE31" s="11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</row>
    <row r="32" spans="1:50">
      <c r="A32" s="168" t="s">
        <v>198</v>
      </c>
      <c r="B32" s="72" t="s">
        <v>79</v>
      </c>
      <c r="C32" s="72" t="s">
        <v>199</v>
      </c>
      <c r="D32" s="60"/>
      <c r="E32" s="182"/>
      <c r="F32" s="91"/>
      <c r="G32" s="91"/>
      <c r="H32" s="91"/>
      <c r="I32" s="182">
        <v>770000</v>
      </c>
      <c r="J32" s="182">
        <v>1508647.6533333331</v>
      </c>
      <c r="K32" s="91"/>
      <c r="L32" s="182">
        <f t="shared" ref="L32:S32" si="3">+L28+L31</f>
        <v>0</v>
      </c>
      <c r="M32" s="182">
        <f t="shared" si="3"/>
        <v>0</v>
      </c>
      <c r="N32" s="182">
        <f t="shared" si="3"/>
        <v>520000</v>
      </c>
      <c r="O32" s="182">
        <f t="shared" si="3"/>
        <v>770000</v>
      </c>
      <c r="P32" s="182">
        <f t="shared" si="3"/>
        <v>1508647.6533333333</v>
      </c>
      <c r="Q32" s="182">
        <f t="shared" si="3"/>
        <v>1957708.3333333333</v>
      </c>
      <c r="R32" s="182">
        <f t="shared" si="3"/>
        <v>1647708.3333333333</v>
      </c>
      <c r="S32" s="182">
        <f t="shared" si="3"/>
        <v>5147708.333333333</v>
      </c>
      <c r="T32" s="60"/>
      <c r="U32" s="156"/>
      <c r="V32" s="156"/>
      <c r="W32" s="60"/>
      <c r="X32" s="60"/>
      <c r="Y32" s="60"/>
      <c r="Z32" s="110"/>
      <c r="AA32" s="110"/>
      <c r="AB32" s="110"/>
      <c r="AC32" s="110"/>
      <c r="AD32" s="110"/>
      <c r="AE32" s="11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</row>
    <row r="33" spans="1:54">
      <c r="A33" s="60"/>
      <c r="B33" s="60"/>
      <c r="C33" s="60"/>
      <c r="D33" s="60"/>
      <c r="E33" s="126"/>
      <c r="F33" s="99"/>
      <c r="G33" s="99"/>
      <c r="H33" s="99"/>
      <c r="I33" s="126"/>
      <c r="J33" s="126"/>
      <c r="K33" s="99"/>
      <c r="L33" s="126"/>
      <c r="M33" s="126"/>
      <c r="N33" s="126"/>
      <c r="O33" s="126"/>
      <c r="P33" s="126"/>
      <c r="Q33" s="126"/>
      <c r="R33" s="126"/>
      <c r="S33" s="126"/>
      <c r="T33" s="126"/>
      <c r="U33" s="156"/>
      <c r="V33" s="156"/>
      <c r="W33" s="60"/>
      <c r="X33" s="60"/>
      <c r="Y33" s="60"/>
      <c r="Z33" s="110"/>
      <c r="AA33" s="110"/>
      <c r="AB33" s="110"/>
      <c r="AC33" s="110"/>
      <c r="AD33" s="110"/>
      <c r="AE33" s="11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</row>
    <row r="34" spans="1:54" ht="15" customHeight="1">
      <c r="A34" s="168" t="s">
        <v>200</v>
      </c>
      <c r="B34" s="60"/>
      <c r="C34" s="60"/>
      <c r="D34" s="60"/>
      <c r="E34" s="126"/>
      <c r="F34" s="91"/>
      <c r="G34" s="91"/>
      <c r="H34" s="91"/>
      <c r="I34" s="126"/>
      <c r="J34" s="126"/>
      <c r="K34" s="91"/>
      <c r="L34" s="126"/>
      <c r="M34" s="126"/>
      <c r="N34" s="60"/>
      <c r="O34" s="60"/>
      <c r="P34" s="126"/>
      <c r="Q34" s="184"/>
      <c r="R34" s="184"/>
      <c r="S34" s="184"/>
      <c r="T34" s="126"/>
      <c r="U34" s="156"/>
      <c r="V34" s="156"/>
      <c r="W34" s="110"/>
      <c r="X34" s="110"/>
      <c r="Y34" s="110"/>
      <c r="Z34" s="110"/>
      <c r="AA34" s="110"/>
      <c r="AB34" s="110"/>
      <c r="AC34" s="110"/>
      <c r="AD34" s="110"/>
      <c r="AE34" s="11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</row>
    <row r="35" spans="1:54">
      <c r="A35" s="295" t="s">
        <v>280</v>
      </c>
      <c r="B35" s="72" t="s">
        <v>25</v>
      </c>
      <c r="C35" s="72" t="s">
        <v>281</v>
      </c>
      <c r="D35" s="222" t="s">
        <v>169</v>
      </c>
      <c r="E35" s="118"/>
      <c r="F35" s="60"/>
      <c r="G35" s="60"/>
      <c r="H35" s="60"/>
      <c r="I35" s="136">
        <v>22110.5</v>
      </c>
      <c r="J35" s="136">
        <v>45000</v>
      </c>
      <c r="K35" s="60"/>
      <c r="L35" s="136">
        <f>88442/4</f>
        <v>22110.5</v>
      </c>
      <c r="M35" s="136">
        <f>88442/4</f>
        <v>22110.5</v>
      </c>
      <c r="N35" s="136">
        <f>88442/4</f>
        <v>22110.5</v>
      </c>
      <c r="O35" s="136">
        <f>88442/4</f>
        <v>22110.5</v>
      </c>
      <c r="P35" s="136">
        <f>180000/4</f>
        <v>45000</v>
      </c>
      <c r="Q35" s="136">
        <f>180000/4</f>
        <v>45000</v>
      </c>
      <c r="R35" s="136">
        <f>180000/4</f>
        <v>45000</v>
      </c>
      <c r="S35" s="136">
        <f>180000/4</f>
        <v>45000</v>
      </c>
      <c r="T35" s="135"/>
      <c r="U35" s="118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</row>
    <row r="36" spans="1:54">
      <c r="A36" s="194" t="s">
        <v>282</v>
      </c>
      <c r="B36" s="72" t="s">
        <v>25</v>
      </c>
      <c r="C36" s="222" t="s">
        <v>281</v>
      </c>
      <c r="D36" s="72" t="s">
        <v>174</v>
      </c>
      <c r="E36" s="158">
        <v>667500</v>
      </c>
      <c r="F36" s="116"/>
      <c r="G36" s="116"/>
      <c r="H36" s="116"/>
      <c r="I36" s="136">
        <v>22954.75</v>
      </c>
      <c r="J36" s="136">
        <v>60000</v>
      </c>
      <c r="K36" s="116"/>
      <c r="L36" s="136">
        <f>91819/4</f>
        <v>22954.75</v>
      </c>
      <c r="M36" s="136">
        <f>91819/4</f>
        <v>22954.75</v>
      </c>
      <c r="N36" s="136">
        <f>91819/4</f>
        <v>22954.75</v>
      </c>
      <c r="O36" s="136">
        <f>91819/4</f>
        <v>22954.75</v>
      </c>
      <c r="P36" s="136">
        <f>240000/4</f>
        <v>60000</v>
      </c>
      <c r="Q36" s="136">
        <f>240000/4</f>
        <v>60000</v>
      </c>
      <c r="R36" s="136">
        <f>240000/4</f>
        <v>60000</v>
      </c>
      <c r="S36" s="136">
        <f>240000/4</f>
        <v>60000</v>
      </c>
      <c r="T36" s="118"/>
      <c r="U36" s="118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</row>
    <row r="37" spans="1:54">
      <c r="A37" s="194" t="s">
        <v>283</v>
      </c>
      <c r="B37" s="72" t="s">
        <v>25</v>
      </c>
      <c r="C37" s="72" t="s">
        <v>281</v>
      </c>
      <c r="D37" s="72" t="s">
        <v>177</v>
      </c>
      <c r="E37" s="118"/>
      <c r="F37" s="116"/>
      <c r="G37" s="116"/>
      <c r="H37" s="116"/>
      <c r="I37" s="136">
        <v>0</v>
      </c>
      <c r="J37" s="136">
        <v>50000</v>
      </c>
      <c r="K37" s="116"/>
      <c r="L37" s="136">
        <f>200000/4*0</f>
        <v>0</v>
      </c>
      <c r="M37" s="136">
        <f>200000/4*0</f>
        <v>0</v>
      </c>
      <c r="N37" s="136">
        <f>200000/4*0</f>
        <v>0</v>
      </c>
      <c r="O37" s="136">
        <f>200000/4*0</f>
        <v>0</v>
      </c>
      <c r="P37" s="136">
        <f>200000/4</f>
        <v>50000</v>
      </c>
      <c r="Q37" s="136">
        <f>400000/4</f>
        <v>100000</v>
      </c>
      <c r="R37" s="136">
        <f>200000/4</f>
        <v>50000</v>
      </c>
      <c r="S37" s="136">
        <f>200000/4</f>
        <v>50000</v>
      </c>
      <c r="T37" s="118"/>
      <c r="U37" s="118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</row>
    <row r="38" spans="1:54">
      <c r="A38" s="194" t="s">
        <v>284</v>
      </c>
      <c r="B38" s="72" t="s">
        <v>25</v>
      </c>
      <c r="C38" s="72" t="s">
        <v>281</v>
      </c>
      <c r="D38" s="72" t="s">
        <v>182</v>
      </c>
      <c r="E38" s="118"/>
      <c r="F38" s="116"/>
      <c r="G38" s="116"/>
      <c r="H38" s="116"/>
      <c r="I38" s="136">
        <v>0</v>
      </c>
      <c r="J38" s="136">
        <v>0</v>
      </c>
      <c r="K38" s="116"/>
      <c r="L38" s="136">
        <v>0</v>
      </c>
      <c r="M38" s="136">
        <v>0</v>
      </c>
      <c r="N38" s="136">
        <v>0</v>
      </c>
      <c r="O38" s="136">
        <v>0</v>
      </c>
      <c r="P38" s="136">
        <v>0</v>
      </c>
      <c r="Q38" s="136">
        <f>180000/4</f>
        <v>45000</v>
      </c>
      <c r="R38" s="136">
        <f>180000/4</f>
        <v>45000</v>
      </c>
      <c r="S38" s="136">
        <f>+R38</f>
        <v>45000</v>
      </c>
      <c r="T38" s="118"/>
      <c r="U38" s="118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</row>
    <row r="39" spans="1:54">
      <c r="A39" s="194" t="s">
        <v>285</v>
      </c>
      <c r="B39" s="72" t="s">
        <v>25</v>
      </c>
      <c r="C39" s="72" t="s">
        <v>286</v>
      </c>
      <c r="D39" s="72" t="s">
        <v>182</v>
      </c>
      <c r="E39" s="118"/>
      <c r="F39" s="116"/>
      <c r="G39" s="116"/>
      <c r="H39" s="116"/>
      <c r="I39" s="136">
        <v>0</v>
      </c>
      <c r="J39" s="136">
        <v>0</v>
      </c>
      <c r="K39" s="116"/>
      <c r="L39" s="136">
        <v>0</v>
      </c>
      <c r="M39" s="136">
        <v>0</v>
      </c>
      <c r="N39" s="136">
        <v>0</v>
      </c>
      <c r="O39" s="136">
        <v>0</v>
      </c>
      <c r="P39" s="136">
        <v>0</v>
      </c>
      <c r="Q39" s="136">
        <v>0</v>
      </c>
      <c r="R39" s="136">
        <v>0</v>
      </c>
      <c r="S39" s="136">
        <v>0</v>
      </c>
      <c r="T39" s="118"/>
      <c r="U39" s="118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</row>
    <row r="40" spans="1:54">
      <c r="A40" s="194" t="s">
        <v>287</v>
      </c>
      <c r="B40" s="72" t="s">
        <v>25</v>
      </c>
      <c r="C40" s="72" t="s">
        <v>281</v>
      </c>
      <c r="D40" s="72" t="s">
        <v>180</v>
      </c>
      <c r="E40" s="118"/>
      <c r="F40" s="91"/>
      <c r="G40" s="91"/>
      <c r="H40" s="91"/>
      <c r="I40" s="136">
        <v>0</v>
      </c>
      <c r="J40" s="136">
        <v>27000</v>
      </c>
      <c r="K40" s="91"/>
      <c r="L40" s="136"/>
      <c r="M40" s="136">
        <f>108000/4*0</f>
        <v>0</v>
      </c>
      <c r="N40" s="136">
        <f>108000/4*0</f>
        <v>0</v>
      </c>
      <c r="O40" s="136">
        <f>108000/4*0</f>
        <v>0</v>
      </c>
      <c r="P40" s="136">
        <f>108000/4</f>
        <v>27000</v>
      </c>
      <c r="Q40" s="136">
        <f>+P40</f>
        <v>27000</v>
      </c>
      <c r="R40" s="136">
        <f>+Q40</f>
        <v>27000</v>
      </c>
      <c r="S40" s="136">
        <f>+R40</f>
        <v>27000</v>
      </c>
      <c r="T40" s="118"/>
      <c r="U40" s="118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</row>
    <row r="41" spans="1:54" s="48" customFormat="1">
      <c r="A41" s="194" t="s">
        <v>288</v>
      </c>
      <c r="B41" s="159" t="s">
        <v>25</v>
      </c>
      <c r="C41" s="157" t="s">
        <v>286</v>
      </c>
      <c r="D41" s="159" t="s">
        <v>180</v>
      </c>
      <c r="E41" s="118"/>
      <c r="F41" s="116"/>
      <c r="G41" s="116"/>
      <c r="H41" s="116"/>
      <c r="I41" s="136">
        <v>12500</v>
      </c>
      <c r="J41" s="136">
        <v>12500</v>
      </c>
      <c r="K41" s="116"/>
      <c r="L41" s="136">
        <v>0</v>
      </c>
      <c r="M41" s="136">
        <v>0</v>
      </c>
      <c r="N41" s="136">
        <v>50400</v>
      </c>
      <c r="O41" s="136">
        <v>12500</v>
      </c>
      <c r="P41" s="136">
        <v>12500</v>
      </c>
      <c r="Q41" s="136">
        <v>12500</v>
      </c>
      <c r="R41" s="136">
        <v>12500</v>
      </c>
      <c r="S41" s="136"/>
      <c r="T41" s="118"/>
      <c r="U41" s="118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</row>
    <row r="42" spans="1:54" s="48" customFormat="1">
      <c r="A42" s="194" t="s">
        <v>289</v>
      </c>
      <c r="B42" s="159" t="s">
        <v>25</v>
      </c>
      <c r="C42" s="157" t="s">
        <v>286</v>
      </c>
      <c r="D42" s="296" t="s">
        <v>169</v>
      </c>
      <c r="E42" s="118"/>
      <c r="F42" s="116"/>
      <c r="G42" s="116"/>
      <c r="H42" s="116"/>
      <c r="I42" s="136">
        <v>57077.25</v>
      </c>
      <c r="J42" s="136">
        <v>72879</v>
      </c>
      <c r="K42" s="116"/>
      <c r="L42" s="136">
        <v>57077.25</v>
      </c>
      <c r="M42" s="136">
        <v>57077.25</v>
      </c>
      <c r="N42" s="136">
        <v>57077.25</v>
      </c>
      <c r="O42" s="136">
        <v>57077.25</v>
      </c>
      <c r="P42" s="136">
        <v>72879</v>
      </c>
      <c r="Q42" s="136">
        <v>72879</v>
      </c>
      <c r="R42" s="136">
        <v>72879</v>
      </c>
      <c r="S42" s="136">
        <v>72879</v>
      </c>
      <c r="T42" s="118"/>
      <c r="U42" s="118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</row>
    <row r="43" spans="1:54" s="48" customFormat="1">
      <c r="A43" s="194" t="s">
        <v>290</v>
      </c>
      <c r="B43" s="159" t="s">
        <v>25</v>
      </c>
      <c r="C43" s="157" t="s">
        <v>286</v>
      </c>
      <c r="D43" s="159" t="s">
        <v>174</v>
      </c>
      <c r="E43" s="118"/>
      <c r="F43" s="116"/>
      <c r="G43" s="116"/>
      <c r="H43" s="116"/>
      <c r="I43" s="136">
        <v>49547.75</v>
      </c>
      <c r="J43" s="136">
        <v>63543</v>
      </c>
      <c r="K43" s="116"/>
      <c r="L43" s="136">
        <v>49547.75</v>
      </c>
      <c r="M43" s="136">
        <v>49547.75</v>
      </c>
      <c r="N43" s="136">
        <v>49547.75</v>
      </c>
      <c r="O43" s="136">
        <v>49547.75</v>
      </c>
      <c r="P43" s="136">
        <v>63543</v>
      </c>
      <c r="Q43" s="136">
        <v>63543</v>
      </c>
      <c r="R43" s="136">
        <v>63543</v>
      </c>
      <c r="S43" s="136">
        <v>63543</v>
      </c>
      <c r="T43" s="118"/>
      <c r="U43" s="118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</row>
    <row r="44" spans="1:54" s="11" customFormat="1">
      <c r="A44" s="194" t="s">
        <v>185</v>
      </c>
      <c r="B44" s="61"/>
      <c r="C44" s="62"/>
      <c r="D44" s="61"/>
      <c r="E44" s="118"/>
      <c r="F44" s="116"/>
      <c r="G44" s="116"/>
      <c r="H44" s="116"/>
      <c r="I44" s="118"/>
      <c r="J44" s="118"/>
      <c r="K44" s="116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</row>
    <row r="45" spans="1:54">
      <c r="A45" s="295" t="s">
        <v>279</v>
      </c>
      <c r="B45" s="159" t="s">
        <v>25</v>
      </c>
      <c r="C45" s="72" t="s">
        <v>281</v>
      </c>
      <c r="D45" s="296" t="s">
        <v>291</v>
      </c>
      <c r="E45" s="118"/>
      <c r="F45" s="116"/>
      <c r="G45" s="116"/>
      <c r="H45" s="116"/>
      <c r="I45" s="136"/>
      <c r="J45" s="136"/>
      <c r="K45" s="116"/>
      <c r="L45" s="136"/>
      <c r="M45" s="136"/>
      <c r="N45" s="136"/>
      <c r="O45" s="136"/>
      <c r="P45" s="136"/>
      <c r="Q45" s="136"/>
      <c r="R45" s="136"/>
      <c r="S45" s="136"/>
      <c r="T45" s="118"/>
      <c r="U45" s="118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</row>
    <row r="46" spans="1:54" s="11" customFormat="1">
      <c r="A46" s="178" t="s">
        <v>207</v>
      </c>
      <c r="B46" s="159" t="s">
        <v>79</v>
      </c>
      <c r="C46" s="157" t="s">
        <v>208</v>
      </c>
      <c r="D46" s="61"/>
      <c r="E46" s="126"/>
      <c r="F46" s="116"/>
      <c r="G46" s="116"/>
      <c r="H46" s="116"/>
      <c r="I46" s="126">
        <v>164190.25</v>
      </c>
      <c r="J46" s="126">
        <v>330922</v>
      </c>
      <c r="K46" s="116"/>
      <c r="L46" s="126">
        <f t="shared" ref="L46:S46" si="4">SUM(L35:L45)</f>
        <v>151690.25</v>
      </c>
      <c r="M46" s="126">
        <f t="shared" si="4"/>
        <v>151690.25</v>
      </c>
      <c r="N46" s="126">
        <f t="shared" si="4"/>
        <v>202090.25</v>
      </c>
      <c r="O46" s="126">
        <f t="shared" si="4"/>
        <v>164190.25</v>
      </c>
      <c r="P46" s="126">
        <f t="shared" si="4"/>
        <v>330922</v>
      </c>
      <c r="Q46" s="126">
        <f t="shared" si="4"/>
        <v>425922</v>
      </c>
      <c r="R46" s="126">
        <f t="shared" si="4"/>
        <v>375922</v>
      </c>
      <c r="S46" s="126">
        <f t="shared" si="4"/>
        <v>363422</v>
      </c>
      <c r="T46" s="126"/>
      <c r="U46" s="60"/>
      <c r="V46" s="60"/>
      <c r="W46" s="60"/>
      <c r="X46" s="60"/>
      <c r="Y46" s="60"/>
      <c r="Z46" s="60"/>
      <c r="AA46" s="60"/>
      <c r="AB46" s="118"/>
      <c r="AC46" s="118"/>
      <c r="AD46" s="118"/>
      <c r="AE46" s="118"/>
      <c r="AF46" s="118"/>
      <c r="AG46" s="118"/>
      <c r="AH46" s="118"/>
      <c r="AI46" s="60"/>
      <c r="AJ46" s="118"/>
      <c r="AK46" s="118"/>
      <c r="AL46" s="118"/>
      <c r="AM46" s="118"/>
      <c r="AN46" s="118"/>
      <c r="AO46" s="118"/>
      <c r="AP46" s="118"/>
      <c r="AQ46" s="60"/>
      <c r="AR46" s="60"/>
      <c r="AS46" s="60"/>
      <c r="AT46" s="60"/>
      <c r="AU46" s="60"/>
      <c r="AV46" s="60"/>
      <c r="AW46" s="60"/>
      <c r="AX46" s="60"/>
    </row>
    <row r="47" spans="1:54" ht="15" customHeight="1">
      <c r="A47" s="60"/>
      <c r="B47" s="60"/>
      <c r="C47" s="60"/>
      <c r="D47" s="60"/>
      <c r="E47" s="126"/>
      <c r="F47" s="116"/>
      <c r="G47" s="116"/>
      <c r="H47" s="116"/>
      <c r="I47" s="126"/>
      <c r="J47" s="126"/>
      <c r="K47" s="116"/>
      <c r="L47" s="126"/>
      <c r="M47" s="126"/>
      <c r="N47" s="126"/>
      <c r="O47" s="126"/>
      <c r="P47" s="126"/>
      <c r="Q47" s="126"/>
      <c r="R47" s="126"/>
      <c r="S47" s="126"/>
      <c r="T47" s="126"/>
      <c r="U47" s="156"/>
      <c r="V47" s="156"/>
      <c r="W47" s="60"/>
      <c r="X47" s="60"/>
      <c r="Y47" s="60"/>
      <c r="Z47" s="110"/>
      <c r="AA47" s="110"/>
      <c r="AB47" s="110"/>
      <c r="AC47" s="110"/>
      <c r="AD47" s="110"/>
      <c r="AE47" s="11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</row>
    <row r="48" spans="1:54">
      <c r="A48" s="195" t="s">
        <v>190</v>
      </c>
      <c r="B48" s="72" t="s">
        <v>25</v>
      </c>
      <c r="C48" s="72" t="s">
        <v>209</v>
      </c>
      <c r="D48" s="60"/>
      <c r="E48" s="126"/>
      <c r="F48" s="126"/>
      <c r="G48" s="126"/>
      <c r="H48" s="126"/>
      <c r="I48" s="171">
        <v>-22954.75</v>
      </c>
      <c r="J48" s="171">
        <v>-194500</v>
      </c>
      <c r="K48" s="126"/>
      <c r="L48" s="171">
        <f>-L36</f>
        <v>-22954.75</v>
      </c>
      <c r="M48" s="171">
        <f>-M36</f>
        <v>-22954.75</v>
      </c>
      <c r="N48" s="171">
        <f>-N36</f>
        <v>-22954.75</v>
      </c>
      <c r="O48" s="171">
        <f>-O36</f>
        <v>-22954.75</v>
      </c>
      <c r="P48" s="171">
        <v>-194500</v>
      </c>
      <c r="Q48" s="171"/>
      <c r="R48" s="171"/>
      <c r="S48" s="171"/>
      <c r="T48" s="157"/>
      <c r="U48" s="156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196"/>
      <c r="AG48" s="196"/>
      <c r="AH48" s="196"/>
      <c r="AI48" s="196"/>
      <c r="AJ48" s="197"/>
      <c r="AK48" s="313"/>
      <c r="AO48" s="314"/>
      <c r="AP48" s="314"/>
      <c r="AQ48" s="314"/>
      <c r="AR48" s="314"/>
      <c r="AS48" s="314"/>
      <c r="AT48" s="314"/>
      <c r="AV48" s="314"/>
      <c r="AW48" s="314"/>
      <c r="AX48" s="314"/>
      <c r="AY48" s="314"/>
      <c r="AZ48" s="314"/>
      <c r="BA48" s="314"/>
      <c r="BB48" s="314"/>
    </row>
    <row r="49" spans="1:50" ht="15" customHeight="1">
      <c r="A49" s="195" t="s">
        <v>292</v>
      </c>
      <c r="B49" s="72" t="s">
        <v>25</v>
      </c>
      <c r="C49" s="72" t="s">
        <v>211</v>
      </c>
      <c r="D49" s="60"/>
      <c r="E49" s="126"/>
      <c r="F49" s="126"/>
      <c r="G49" s="126"/>
      <c r="H49" s="126"/>
      <c r="I49" s="171"/>
      <c r="J49" s="171"/>
      <c r="K49" s="126"/>
      <c r="L49" s="171"/>
      <c r="M49" s="171"/>
      <c r="N49" s="171"/>
      <c r="O49" s="171"/>
      <c r="P49" s="171"/>
      <c r="Q49" s="171"/>
      <c r="R49" s="171">
        <v>91819</v>
      </c>
      <c r="S49" s="171">
        <v>194500</v>
      </c>
      <c r="T49" s="62"/>
      <c r="U49" s="156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196"/>
      <c r="AG49" s="196"/>
      <c r="AH49" s="196"/>
      <c r="AI49" s="196"/>
      <c r="AJ49" s="197"/>
      <c r="AK49" s="84"/>
      <c r="AL49" s="84"/>
      <c r="AM49" s="84"/>
      <c r="AN49" s="84"/>
      <c r="AO49" s="84"/>
      <c r="AP49" s="84"/>
      <c r="AQ49" s="60"/>
      <c r="AR49" s="84"/>
      <c r="AS49" s="84"/>
      <c r="AT49" s="84"/>
      <c r="AU49" s="84"/>
      <c r="AV49" s="84"/>
      <c r="AW49" s="84"/>
      <c r="AX49" s="84"/>
    </row>
    <row r="50" spans="1:50">
      <c r="A50" s="168" t="s">
        <v>212</v>
      </c>
      <c r="B50" s="72" t="s">
        <v>79</v>
      </c>
      <c r="C50" s="72" t="s">
        <v>213</v>
      </c>
      <c r="D50" s="60"/>
      <c r="E50" s="126"/>
      <c r="F50" s="126"/>
      <c r="G50" s="126"/>
      <c r="H50" s="126"/>
      <c r="I50" s="126">
        <v>-91819</v>
      </c>
      <c r="J50" s="126">
        <v>-286319</v>
      </c>
      <c r="K50" s="126"/>
      <c r="L50" s="126">
        <f>+L48+E50+L49</f>
        <v>-22954.75</v>
      </c>
      <c r="M50" s="126">
        <f t="shared" ref="M50:S50" si="5">+M48+L50+M49</f>
        <v>-45909.5</v>
      </c>
      <c r="N50" s="126">
        <f t="shared" si="5"/>
        <v>-68864.25</v>
      </c>
      <c r="O50" s="126">
        <f t="shared" si="5"/>
        <v>-91819</v>
      </c>
      <c r="P50" s="126">
        <f t="shared" si="5"/>
        <v>-286319</v>
      </c>
      <c r="Q50" s="126">
        <f t="shared" si="5"/>
        <v>-286319</v>
      </c>
      <c r="R50" s="126">
        <f t="shared" si="5"/>
        <v>-194500</v>
      </c>
      <c r="S50" s="126">
        <f t="shared" si="5"/>
        <v>0</v>
      </c>
      <c r="T50" s="126"/>
      <c r="U50" s="156"/>
      <c r="V50" s="156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</row>
    <row r="51" spans="1:50">
      <c r="A51" s="60"/>
      <c r="B51" s="60"/>
      <c r="C51" s="60"/>
      <c r="D51" s="60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56"/>
      <c r="V51" s="156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</row>
    <row r="52" spans="1:50" s="11" customFormat="1">
      <c r="A52" s="168" t="s">
        <v>214</v>
      </c>
      <c r="B52" s="159" t="s">
        <v>79</v>
      </c>
      <c r="C52" s="157" t="s">
        <v>215</v>
      </c>
      <c r="D52" s="61"/>
      <c r="E52" s="186"/>
      <c r="F52" s="126"/>
      <c r="G52" s="126"/>
      <c r="H52" s="126"/>
      <c r="I52" s="186">
        <v>141235.5</v>
      </c>
      <c r="J52" s="186">
        <v>136422</v>
      </c>
      <c r="K52" s="126"/>
      <c r="L52" s="186">
        <f t="shared" ref="L52:S52" si="6">+L46+L48</f>
        <v>128735.5</v>
      </c>
      <c r="M52" s="182">
        <f t="shared" si="6"/>
        <v>128735.5</v>
      </c>
      <c r="N52" s="182">
        <f t="shared" si="6"/>
        <v>179135.5</v>
      </c>
      <c r="O52" s="182">
        <f t="shared" si="6"/>
        <v>141235.5</v>
      </c>
      <c r="P52" s="182">
        <f t="shared" si="6"/>
        <v>136422</v>
      </c>
      <c r="Q52" s="182">
        <f t="shared" si="6"/>
        <v>425922</v>
      </c>
      <c r="R52" s="182">
        <f t="shared" si="6"/>
        <v>375922</v>
      </c>
      <c r="S52" s="182">
        <f t="shared" si="6"/>
        <v>363422</v>
      </c>
      <c r="T52" s="126"/>
      <c r="U52" s="60"/>
      <c r="V52" s="60"/>
      <c r="W52" s="60"/>
      <c r="X52" s="60"/>
      <c r="Y52" s="60"/>
      <c r="Z52" s="60"/>
      <c r="AA52" s="60"/>
      <c r="AB52" s="118"/>
      <c r="AC52" s="118"/>
      <c r="AD52" s="118"/>
      <c r="AE52" s="118"/>
      <c r="AF52" s="118"/>
      <c r="AG52" s="118"/>
      <c r="AH52" s="118"/>
      <c r="AI52" s="60"/>
      <c r="AJ52" s="118"/>
      <c r="AK52" s="118"/>
      <c r="AL52" s="118"/>
      <c r="AM52" s="118"/>
      <c r="AN52" s="118"/>
      <c r="AO52" s="118"/>
      <c r="AP52" s="118"/>
      <c r="AQ52" s="60"/>
      <c r="AR52" s="60"/>
      <c r="AS52" s="60"/>
      <c r="AT52" s="60"/>
      <c r="AU52" s="60"/>
      <c r="AV52" s="60"/>
      <c r="AW52" s="60"/>
      <c r="AX52" s="60"/>
    </row>
    <row r="53" spans="1:50" s="11" customFormat="1">
      <c r="A53" s="168" t="s">
        <v>216</v>
      </c>
      <c r="B53" s="159" t="s">
        <v>79</v>
      </c>
      <c r="C53" s="157" t="s">
        <v>217</v>
      </c>
      <c r="D53" s="61"/>
      <c r="E53" s="182"/>
      <c r="F53" s="60"/>
      <c r="G53" s="60"/>
      <c r="H53" s="60"/>
      <c r="I53" s="182">
        <v>141235.5</v>
      </c>
      <c r="J53" s="182">
        <v>136422</v>
      </c>
      <c r="K53" s="60"/>
      <c r="L53" s="182">
        <f t="shared" ref="L53:S53" si="7">+L49+L52</f>
        <v>128735.5</v>
      </c>
      <c r="M53" s="182">
        <f t="shared" si="7"/>
        <v>128735.5</v>
      </c>
      <c r="N53" s="182">
        <f t="shared" si="7"/>
        <v>179135.5</v>
      </c>
      <c r="O53" s="182">
        <f t="shared" si="7"/>
        <v>141235.5</v>
      </c>
      <c r="P53" s="182">
        <f t="shared" si="7"/>
        <v>136422</v>
      </c>
      <c r="Q53" s="182">
        <f t="shared" si="7"/>
        <v>425922</v>
      </c>
      <c r="R53" s="182">
        <f t="shared" si="7"/>
        <v>467741</v>
      </c>
      <c r="S53" s="182">
        <f t="shared" si="7"/>
        <v>557922</v>
      </c>
      <c r="T53" s="126"/>
      <c r="U53" s="60"/>
      <c r="V53" s="60"/>
      <c r="W53" s="60"/>
      <c r="X53" s="60"/>
      <c r="Y53" s="60"/>
      <c r="Z53" s="60"/>
      <c r="AA53" s="60"/>
      <c r="AB53" s="118"/>
      <c r="AC53" s="118"/>
      <c r="AD53" s="118"/>
      <c r="AE53" s="118"/>
      <c r="AF53" s="118"/>
      <c r="AG53" s="118"/>
      <c r="AH53" s="118"/>
      <c r="AI53" s="60"/>
      <c r="AJ53" s="118"/>
      <c r="AK53" s="118"/>
      <c r="AL53" s="118"/>
      <c r="AM53" s="118"/>
      <c r="AN53" s="118"/>
      <c r="AO53" s="118"/>
      <c r="AP53" s="118"/>
      <c r="AQ53" s="60"/>
      <c r="AR53" s="60"/>
      <c r="AS53" s="60"/>
      <c r="AT53" s="60"/>
      <c r="AU53" s="60"/>
      <c r="AV53" s="60"/>
      <c r="AW53" s="60"/>
      <c r="AX53" s="60"/>
    </row>
    <row r="54" spans="1:50">
      <c r="A54" s="60"/>
      <c r="B54" s="60"/>
      <c r="C54" s="60"/>
      <c r="D54" s="60"/>
      <c r="E54" s="126"/>
      <c r="F54" s="60"/>
      <c r="G54" s="60"/>
      <c r="H54" s="60"/>
      <c r="I54" s="126"/>
      <c r="J54" s="126"/>
      <c r="K54" s="60"/>
      <c r="L54" s="126"/>
      <c r="M54" s="126"/>
      <c r="N54" s="126"/>
      <c r="O54" s="126"/>
      <c r="P54" s="126"/>
      <c r="Q54" s="126"/>
      <c r="R54" s="126"/>
      <c r="S54" s="126"/>
      <c r="T54" s="60"/>
      <c r="U54" s="156"/>
      <c r="V54" s="156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</row>
    <row r="55" spans="1:50">
      <c r="A55" s="168" t="s">
        <v>218</v>
      </c>
      <c r="B55" s="60"/>
      <c r="C55" s="60"/>
      <c r="D55" s="60"/>
      <c r="E55" s="126"/>
      <c r="F55" s="60"/>
      <c r="G55" s="60"/>
      <c r="H55" s="60"/>
      <c r="I55" s="126"/>
      <c r="J55" s="126"/>
      <c r="K55" s="60"/>
      <c r="L55" s="126"/>
      <c r="M55" s="126"/>
      <c r="N55" s="126"/>
      <c r="O55" s="126"/>
      <c r="P55" s="126"/>
      <c r="Q55" s="126"/>
      <c r="R55" s="126"/>
      <c r="S55" s="126"/>
      <c r="T55" s="60"/>
      <c r="U55" s="156"/>
      <c r="V55" s="156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</row>
    <row r="56" spans="1:50">
      <c r="A56" s="168" t="s">
        <v>219</v>
      </c>
      <c r="B56" s="72" t="s">
        <v>79</v>
      </c>
      <c r="C56" s="72" t="s">
        <v>220</v>
      </c>
      <c r="D56" s="60"/>
      <c r="E56" s="187"/>
      <c r="F56" s="60"/>
      <c r="G56" s="60"/>
      <c r="H56" s="60"/>
      <c r="I56" s="187">
        <v>1.0526315789473679</v>
      </c>
      <c r="J56" s="187">
        <v>1.0526315789473679</v>
      </c>
      <c r="K56" s="60"/>
      <c r="L56" s="187">
        <f>1/(1-'c12_inputs'!$E$7)</f>
        <v>1.0526315789473684</v>
      </c>
      <c r="M56" s="187">
        <f>1/(1-'c12_inputs'!$E$7)</f>
        <v>1.0526315789473684</v>
      </c>
      <c r="N56" s="187">
        <f>1/(1-'c12_inputs'!$E$7)</f>
        <v>1.0526315789473684</v>
      </c>
      <c r="O56" s="187">
        <f>1/(1-'c12_inputs'!$E$7)</f>
        <v>1.0526315789473684</v>
      </c>
      <c r="P56" s="187">
        <f>1/(1-'c12_inputs'!$E$7)</f>
        <v>1.0526315789473684</v>
      </c>
      <c r="Q56" s="187">
        <f>1/(1-'c12_inputs'!$E$7)</f>
        <v>1.0526315789473684</v>
      </c>
      <c r="R56" s="187">
        <f>1/(1-'c12_inputs'!$E$7)</f>
        <v>1.0526315789473684</v>
      </c>
      <c r="S56" s="187">
        <f>1/(1-'c12_inputs'!$E$7)</f>
        <v>1.0526315789473684</v>
      </c>
      <c r="T56" s="126"/>
      <c r="U56" s="156"/>
      <c r="V56" s="156"/>
      <c r="W56" s="60"/>
      <c r="X56" s="60"/>
      <c r="Y56" s="60"/>
      <c r="Z56" s="110"/>
      <c r="AA56" s="110"/>
      <c r="AB56" s="110"/>
      <c r="AC56" s="110"/>
      <c r="AD56" s="110"/>
      <c r="AE56" s="11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</row>
    <row r="57" spans="1:50">
      <c r="A57" s="168" t="s">
        <v>221</v>
      </c>
      <c r="B57" s="222" t="s">
        <v>9</v>
      </c>
      <c r="C57" s="72" t="s">
        <v>222</v>
      </c>
      <c r="D57" s="60"/>
      <c r="E57" s="118"/>
      <c r="F57" s="219">
        <v>0</v>
      </c>
      <c r="G57" s="219">
        <v>0</v>
      </c>
      <c r="H57" s="219">
        <v>0</v>
      </c>
      <c r="I57" s="220">
        <v>0</v>
      </c>
      <c r="J57" s="220">
        <v>85679.999999999985</v>
      </c>
      <c r="K57" s="60"/>
      <c r="L57" s="220">
        <f t="shared" ref="L57:S57" si="8">IF(AND((F57&lt;&gt;""),(L$2&lt;46204)),(F57),L78)</f>
        <v>0</v>
      </c>
      <c r="M57" s="220">
        <f t="shared" si="8"/>
        <v>0</v>
      </c>
      <c r="N57" s="220">
        <f t="shared" si="8"/>
        <v>0</v>
      </c>
      <c r="O57" s="220">
        <f t="shared" si="8"/>
        <v>0</v>
      </c>
      <c r="P57" s="220">
        <f t="shared" si="8"/>
        <v>85679.999999999985</v>
      </c>
      <c r="Q57" s="220">
        <f t="shared" si="8"/>
        <v>85679.999999999985</v>
      </c>
      <c r="R57" s="220">
        <f t="shared" si="8"/>
        <v>85679.999999999985</v>
      </c>
      <c r="S57" s="220">
        <f t="shared" si="8"/>
        <v>116849.99999999997</v>
      </c>
      <c r="T57" s="126"/>
      <c r="U57" s="156"/>
      <c r="V57" s="156"/>
      <c r="W57" s="60"/>
      <c r="X57" s="60"/>
      <c r="Y57" s="60"/>
      <c r="Z57" s="110"/>
      <c r="AA57" s="110"/>
      <c r="AB57" s="110"/>
      <c r="AC57" s="110"/>
      <c r="AD57" s="110"/>
      <c r="AE57" s="11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</row>
    <row r="58" spans="1:50" s="11" customFormat="1">
      <c r="A58" s="178" t="s">
        <v>293</v>
      </c>
      <c r="B58" s="159" t="s">
        <v>79</v>
      </c>
      <c r="C58" s="157" t="s">
        <v>224</v>
      </c>
      <c r="D58" s="61"/>
      <c r="E58" s="126"/>
      <c r="F58" s="60"/>
      <c r="G58" s="60"/>
      <c r="H58" s="60"/>
      <c r="I58" s="126">
        <v>0</v>
      </c>
      <c r="J58" s="126">
        <v>90189.473684210505</v>
      </c>
      <c r="K58" s="60"/>
      <c r="L58" s="126">
        <f t="shared" ref="L58:S58" si="9">L57*L56</f>
        <v>0</v>
      </c>
      <c r="M58" s="126">
        <f t="shared" si="9"/>
        <v>0</v>
      </c>
      <c r="N58" s="126">
        <f t="shared" si="9"/>
        <v>0</v>
      </c>
      <c r="O58" s="126">
        <f t="shared" si="9"/>
        <v>0</v>
      </c>
      <c r="P58" s="126">
        <f t="shared" si="9"/>
        <v>90189.473684210505</v>
      </c>
      <c r="Q58" s="126">
        <f t="shared" si="9"/>
        <v>90189.473684210505</v>
      </c>
      <c r="R58" s="126">
        <f t="shared" si="9"/>
        <v>90189.473684210505</v>
      </c>
      <c r="S58" s="126">
        <f t="shared" si="9"/>
        <v>122999.99999999996</v>
      </c>
      <c r="T58" s="126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104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</row>
    <row r="59" spans="1:50" s="11" customFormat="1" ht="15" customHeight="1" thickBot="1">
      <c r="A59" s="164"/>
      <c r="B59" s="61"/>
      <c r="C59" s="62"/>
      <c r="D59" s="61"/>
      <c r="E59" s="126"/>
      <c r="F59" s="60"/>
      <c r="G59" s="60"/>
      <c r="H59" s="60"/>
      <c r="I59" s="126"/>
      <c r="J59" s="126"/>
      <c r="K59" s="60"/>
      <c r="L59" s="126"/>
      <c r="M59" s="126"/>
      <c r="N59" s="126"/>
      <c r="O59" s="126"/>
      <c r="P59" s="126"/>
      <c r="Q59" s="126"/>
      <c r="R59" s="126"/>
      <c r="S59" s="126"/>
      <c r="T59" s="126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104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</row>
    <row r="60" spans="1:50" s="52" customFormat="1" ht="15.5" customHeight="1" thickTop="1" thickBot="1">
      <c r="A60" s="195" t="s">
        <v>294</v>
      </c>
      <c r="B60" s="159" t="s">
        <v>9</v>
      </c>
      <c r="C60" s="157" t="s">
        <v>15</v>
      </c>
      <c r="D60" s="61"/>
      <c r="E60" s="188"/>
      <c r="F60" s="60"/>
      <c r="G60" s="60"/>
      <c r="H60" s="60"/>
      <c r="I60" s="189">
        <v>911235.5</v>
      </c>
      <c r="J60" s="189">
        <v>1735259.1270175439</v>
      </c>
      <c r="K60" s="60"/>
      <c r="L60" s="189">
        <f t="shared" ref="L60:S60" si="10">+L53+L32+L58</f>
        <v>128735.5</v>
      </c>
      <c r="M60" s="189">
        <f t="shared" si="10"/>
        <v>128735.5</v>
      </c>
      <c r="N60" s="189">
        <f t="shared" si="10"/>
        <v>699135.5</v>
      </c>
      <c r="O60" s="189">
        <f t="shared" si="10"/>
        <v>911235.5</v>
      </c>
      <c r="P60" s="189">
        <f t="shared" si="10"/>
        <v>1735259.1270175439</v>
      </c>
      <c r="Q60" s="189">
        <f t="shared" si="10"/>
        <v>2473819.8070175434</v>
      </c>
      <c r="R60" s="189">
        <f t="shared" si="10"/>
        <v>2205638.8070175434</v>
      </c>
      <c r="S60" s="189">
        <f t="shared" si="10"/>
        <v>5828630.333333333</v>
      </c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104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</row>
    <row r="61" spans="1:50" ht="15" customHeight="1" thickTop="1">
      <c r="A61" s="312"/>
      <c r="B61" s="60"/>
      <c r="C61" s="60"/>
      <c r="D61" s="60"/>
      <c r="E61" s="126"/>
      <c r="F61" s="60"/>
      <c r="G61" s="60"/>
      <c r="H61" s="60"/>
      <c r="I61" s="126"/>
      <c r="J61" s="126"/>
      <c r="K61" s="60"/>
      <c r="L61" s="126"/>
      <c r="M61" s="126"/>
      <c r="N61" s="126"/>
      <c r="O61" s="126"/>
      <c r="P61" s="126"/>
      <c r="Q61" s="126"/>
      <c r="R61" s="126"/>
      <c r="S61" s="126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</row>
    <row r="62" spans="1:50">
      <c r="A62" s="195" t="s">
        <v>226</v>
      </c>
      <c r="B62" s="72" t="s">
        <v>9</v>
      </c>
      <c r="C62" s="72" t="s">
        <v>227</v>
      </c>
      <c r="D62" s="60"/>
      <c r="E62" s="126"/>
      <c r="F62" s="60"/>
      <c r="G62" s="60"/>
      <c r="H62" s="60"/>
      <c r="I62" s="191">
        <v>-4801819</v>
      </c>
      <c r="J62" s="191">
        <v>-4957879.68</v>
      </c>
      <c r="K62" s="60"/>
      <c r="L62" s="191">
        <f t="shared" ref="L62:S62" si="11">+L29+L50</f>
        <v>-302954.75</v>
      </c>
      <c r="M62" s="191">
        <f t="shared" si="11"/>
        <v>-2855909.5</v>
      </c>
      <c r="N62" s="191">
        <f t="shared" si="11"/>
        <v>-4033864.25</v>
      </c>
      <c r="O62" s="191">
        <f t="shared" si="11"/>
        <v>-4801819</v>
      </c>
      <c r="P62" s="191">
        <f t="shared" si="11"/>
        <v>-4957879.68</v>
      </c>
      <c r="Q62" s="191">
        <f t="shared" si="11"/>
        <v>-4470379.68</v>
      </c>
      <c r="R62" s="191">
        <f t="shared" si="11"/>
        <v>-4201060.68</v>
      </c>
      <c r="S62" s="191">
        <f t="shared" si="11"/>
        <v>-4929060.68</v>
      </c>
      <c r="T62" s="126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</row>
    <row r="63" spans="1:50" ht="15" customHeight="1">
      <c r="A63" s="60"/>
      <c r="B63" s="60"/>
      <c r="C63" s="60"/>
      <c r="D63" s="60"/>
      <c r="E63" s="126"/>
      <c r="F63" s="60"/>
      <c r="G63" s="60"/>
      <c r="H63" s="60"/>
      <c r="I63" s="126"/>
      <c r="J63" s="126"/>
      <c r="K63" s="60"/>
      <c r="L63" s="126"/>
      <c r="M63" s="126"/>
      <c r="N63" s="126"/>
      <c r="O63" s="126"/>
      <c r="P63" s="126"/>
      <c r="Q63" s="126"/>
      <c r="R63" s="126"/>
      <c r="S63" s="126"/>
      <c r="T63" s="126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</row>
    <row r="64" spans="1:50" ht="15" customHeight="1">
      <c r="A64" s="168" t="s">
        <v>228</v>
      </c>
      <c r="B64" s="72" t="s">
        <v>79</v>
      </c>
      <c r="C64" s="72" t="s">
        <v>229</v>
      </c>
      <c r="D64" s="60"/>
      <c r="E64" s="147"/>
      <c r="F64" s="60"/>
      <c r="G64" s="60"/>
      <c r="H64" s="60"/>
      <c r="I64" s="147">
        <v>0.35</v>
      </c>
      <c r="J64" s="147">
        <v>0.35</v>
      </c>
      <c r="K64" s="60"/>
      <c r="L64" s="147">
        <f>'c12_inputs'!$E$8</f>
        <v>0.35</v>
      </c>
      <c r="M64" s="147">
        <f>'c12_inputs'!$E$8</f>
        <v>0.35</v>
      </c>
      <c r="N64" s="147">
        <f>'c12_inputs'!$E$8</f>
        <v>0.35</v>
      </c>
      <c r="O64" s="147">
        <f>'c12_inputs'!$E$8</f>
        <v>0.35</v>
      </c>
      <c r="P64" s="147">
        <f>'c12_inputs'!$E$8</f>
        <v>0.35</v>
      </c>
      <c r="Q64" s="147">
        <f>'c12_inputs'!$E$8</f>
        <v>0.35</v>
      </c>
      <c r="R64" s="147">
        <f>'c12_inputs'!$E$8</f>
        <v>0.35</v>
      </c>
      <c r="S64" s="147">
        <f>'c12_inputs'!$E$8</f>
        <v>0.35</v>
      </c>
      <c r="T64" s="126"/>
      <c r="U64" s="156"/>
      <c r="V64" s="156"/>
      <c r="W64" s="60"/>
      <c r="X64" s="60"/>
      <c r="Y64" s="60"/>
      <c r="Z64" s="110"/>
      <c r="AA64" s="110"/>
      <c r="AB64" s="110"/>
      <c r="AC64" s="110"/>
      <c r="AD64" s="110"/>
      <c r="AE64" s="11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</row>
    <row r="65" spans="1:50" s="48" customFormat="1" ht="15" customHeight="1">
      <c r="A65" s="168" t="s">
        <v>230</v>
      </c>
      <c r="B65" s="159" t="s">
        <v>25</v>
      </c>
      <c r="C65" s="157" t="s">
        <v>231</v>
      </c>
      <c r="D65" s="61"/>
      <c r="E65" s="147"/>
      <c r="F65" s="60"/>
      <c r="G65" s="60"/>
      <c r="H65" s="60"/>
      <c r="I65" s="76">
        <v>0.15</v>
      </c>
      <c r="J65" s="76">
        <v>0</v>
      </c>
      <c r="K65" s="60"/>
      <c r="L65" s="76">
        <v>0.15</v>
      </c>
      <c r="M65" s="76">
        <v>0.15</v>
      </c>
      <c r="N65" s="76">
        <v>0.15</v>
      </c>
      <c r="O65" s="76">
        <v>0.15</v>
      </c>
      <c r="P65" s="76">
        <v>0</v>
      </c>
      <c r="Q65" s="76">
        <v>0</v>
      </c>
      <c r="R65" s="76">
        <v>0</v>
      </c>
      <c r="S65" s="76">
        <v>0</v>
      </c>
      <c r="T65" s="126"/>
      <c r="U65" s="156"/>
      <c r="V65" s="156"/>
      <c r="W65" s="60"/>
      <c r="X65" s="60"/>
      <c r="Y65" s="60"/>
      <c r="Z65" s="110"/>
      <c r="AA65" s="110"/>
      <c r="AB65" s="110"/>
      <c r="AC65" s="110"/>
      <c r="AD65" s="110"/>
      <c r="AE65" s="11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</row>
    <row r="66" spans="1:50" s="48" customFormat="1" ht="15" customHeight="1">
      <c r="A66" s="168" t="s">
        <v>232</v>
      </c>
      <c r="B66" s="159" t="s">
        <v>25</v>
      </c>
      <c r="C66" s="157" t="s">
        <v>233</v>
      </c>
      <c r="D66" s="61"/>
      <c r="E66" s="147"/>
      <c r="F66" s="60"/>
      <c r="G66" s="60"/>
      <c r="H66" s="60"/>
      <c r="I66" s="76">
        <v>0.15</v>
      </c>
      <c r="J66" s="76">
        <v>0.15</v>
      </c>
      <c r="K66" s="60"/>
      <c r="L66" s="76">
        <v>0.15</v>
      </c>
      <c r="M66" s="76">
        <v>0.15</v>
      </c>
      <c r="N66" s="76">
        <v>0.15</v>
      </c>
      <c r="O66" s="76">
        <v>0.15</v>
      </c>
      <c r="P66" s="76">
        <v>0.15</v>
      </c>
      <c r="Q66" s="76">
        <v>0.15</v>
      </c>
      <c r="R66" s="76">
        <v>0.15</v>
      </c>
      <c r="S66" s="76">
        <v>0.15</v>
      </c>
      <c r="T66" s="126"/>
      <c r="U66" s="156"/>
      <c r="V66" s="156"/>
      <c r="W66" s="60"/>
      <c r="X66" s="60"/>
      <c r="Y66" s="60"/>
      <c r="Z66" s="110"/>
      <c r="AA66" s="110"/>
      <c r="AB66" s="110"/>
      <c r="AC66" s="110"/>
      <c r="AD66" s="110"/>
      <c r="AE66" s="11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</row>
    <row r="67" spans="1:50" s="11" customFormat="1">
      <c r="A67" s="168" t="s">
        <v>234</v>
      </c>
      <c r="B67" s="159" t="s">
        <v>79</v>
      </c>
      <c r="C67" s="157" t="s">
        <v>235</v>
      </c>
      <c r="D67" s="61"/>
      <c r="E67" s="192"/>
      <c r="F67" s="60"/>
      <c r="G67" s="60"/>
      <c r="H67" s="60"/>
      <c r="I67" s="192">
        <v>0.05</v>
      </c>
      <c r="J67" s="192">
        <v>0.05</v>
      </c>
      <c r="K67" s="60"/>
      <c r="L67" s="192">
        <f>'c12_inputs'!$E$7</f>
        <v>0.05</v>
      </c>
      <c r="M67" s="192">
        <f>'c12_inputs'!$E$7</f>
        <v>0.05</v>
      </c>
      <c r="N67" s="192">
        <f>'c12_inputs'!$E$7</f>
        <v>0.05</v>
      </c>
      <c r="O67" s="192">
        <f>'c12_inputs'!$E$7</f>
        <v>0.05</v>
      </c>
      <c r="P67" s="192">
        <f>'c12_inputs'!$E$7</f>
        <v>0.05</v>
      </c>
      <c r="Q67" s="192">
        <f>'c12_inputs'!$E$7</f>
        <v>0.05</v>
      </c>
      <c r="R67" s="192">
        <f>'c12_inputs'!$E$7</f>
        <v>0.05</v>
      </c>
      <c r="S67" s="192">
        <f>'c12_inputs'!$E$7</f>
        <v>0.05</v>
      </c>
      <c r="T67" s="60"/>
      <c r="U67" s="60"/>
      <c r="V67" s="60"/>
      <c r="W67" s="60"/>
      <c r="X67" s="60"/>
      <c r="Y67" s="60"/>
      <c r="Z67" s="60"/>
      <c r="AA67" s="60"/>
      <c r="AB67" s="118"/>
      <c r="AC67" s="118"/>
      <c r="AD67" s="118"/>
      <c r="AE67" s="118"/>
      <c r="AF67" s="118"/>
      <c r="AG67" s="118"/>
      <c r="AH67" s="118"/>
      <c r="AI67" s="60"/>
      <c r="AJ67" s="118"/>
      <c r="AK67" s="118"/>
      <c r="AL67" s="118"/>
      <c r="AM67" s="118"/>
      <c r="AN67" s="118"/>
      <c r="AO67" s="118"/>
      <c r="AP67" s="118"/>
      <c r="AQ67" s="60"/>
      <c r="AR67" s="60"/>
      <c r="AS67" s="60"/>
      <c r="AT67" s="60"/>
      <c r="AU67" s="60"/>
      <c r="AV67" s="60"/>
      <c r="AW67" s="60"/>
      <c r="AX67" s="60"/>
    </row>
    <row r="68" spans="1:50">
      <c r="A68" s="168" t="s">
        <v>236</v>
      </c>
      <c r="B68" s="72" t="s">
        <v>79</v>
      </c>
      <c r="C68" s="72" t="s">
        <v>237</v>
      </c>
      <c r="D68" s="60"/>
      <c r="E68" s="126"/>
      <c r="F68" s="60"/>
      <c r="G68" s="60"/>
      <c r="H68" s="60"/>
      <c r="I68" s="126">
        <v>455617.75</v>
      </c>
      <c r="J68" s="126">
        <v>802071.47666666668</v>
      </c>
      <c r="K68" s="60"/>
      <c r="L68" s="126">
        <f t="shared" ref="L68:S68" si="12">(L64+L65)*(L31+L52)+(L64+L66)*(L49+L28)</f>
        <v>64367.75</v>
      </c>
      <c r="M68" s="126">
        <f t="shared" si="12"/>
        <v>64367.75</v>
      </c>
      <c r="N68" s="126">
        <f t="shared" si="12"/>
        <v>349567.75</v>
      </c>
      <c r="O68" s="126">
        <f t="shared" si="12"/>
        <v>455617.75</v>
      </c>
      <c r="P68" s="126">
        <f t="shared" si="12"/>
        <v>802071.47666666668</v>
      </c>
      <c r="Q68" s="126">
        <f t="shared" si="12"/>
        <v>1010895.6166666667</v>
      </c>
      <c r="R68" s="126">
        <f t="shared" si="12"/>
        <v>930805.1166666667</v>
      </c>
      <c r="S68" s="126">
        <f t="shared" si="12"/>
        <v>2202770.6166666662</v>
      </c>
      <c r="T68" s="147"/>
      <c r="U68" s="156"/>
      <c r="V68" s="156"/>
      <c r="W68" s="60"/>
      <c r="X68" s="60"/>
      <c r="Y68" s="60"/>
      <c r="Z68" s="110"/>
      <c r="AA68" s="110"/>
      <c r="AB68" s="110"/>
      <c r="AC68" s="110"/>
      <c r="AD68" s="110"/>
      <c r="AE68" s="11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</row>
    <row r="69" spans="1:50" ht="15" customHeight="1" thickBot="1">
      <c r="A69" s="168" t="s">
        <v>238</v>
      </c>
      <c r="B69" s="72" t="s">
        <v>79</v>
      </c>
      <c r="C69" s="72" t="s">
        <v>239</v>
      </c>
      <c r="D69" s="60"/>
      <c r="E69" s="126"/>
      <c r="F69" s="60"/>
      <c r="G69" s="60"/>
      <c r="H69" s="60"/>
      <c r="I69" s="126">
        <v>0</v>
      </c>
      <c r="J69" s="126">
        <v>4509.4736842105258</v>
      </c>
      <c r="K69" s="60"/>
      <c r="L69" s="126">
        <f t="shared" ref="L69:S69" si="13">L67*L58</f>
        <v>0</v>
      </c>
      <c r="M69" s="126">
        <f t="shared" si="13"/>
        <v>0</v>
      </c>
      <c r="N69" s="126">
        <f t="shared" si="13"/>
        <v>0</v>
      </c>
      <c r="O69" s="126">
        <f t="shared" si="13"/>
        <v>0</v>
      </c>
      <c r="P69" s="126">
        <f t="shared" si="13"/>
        <v>4509.4736842105258</v>
      </c>
      <c r="Q69" s="126">
        <f t="shared" si="13"/>
        <v>4509.4736842105258</v>
      </c>
      <c r="R69" s="126">
        <f t="shared" si="13"/>
        <v>4509.4736842105258</v>
      </c>
      <c r="S69" s="126">
        <f t="shared" si="13"/>
        <v>6149.9999999999982</v>
      </c>
      <c r="T69" s="126"/>
      <c r="U69" s="156"/>
      <c r="V69" s="156"/>
      <c r="W69" s="60"/>
      <c r="X69" s="60"/>
      <c r="Y69" s="60"/>
      <c r="Z69" s="110"/>
      <c r="AA69" s="110"/>
      <c r="AB69" s="110"/>
      <c r="AC69" s="110"/>
      <c r="AD69" s="110"/>
      <c r="AE69" s="11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</row>
    <row r="70" spans="1:50" s="48" customFormat="1" ht="15.5" customHeight="1" thickTop="1" thickBot="1">
      <c r="A70" s="178" t="s">
        <v>295</v>
      </c>
      <c r="B70" s="159" t="s">
        <v>9</v>
      </c>
      <c r="C70" s="157" t="s">
        <v>18</v>
      </c>
      <c r="D70" s="61"/>
      <c r="E70" s="188"/>
      <c r="F70" s="60"/>
      <c r="G70" s="60"/>
      <c r="H70" s="60"/>
      <c r="I70" s="189">
        <v>455617.75</v>
      </c>
      <c r="J70" s="189">
        <v>806580.95035087725</v>
      </c>
      <c r="K70" s="60"/>
      <c r="L70" s="189">
        <f t="shared" ref="L70:S70" si="14">L69+L68</f>
        <v>64367.75</v>
      </c>
      <c r="M70" s="189">
        <f t="shared" si="14"/>
        <v>64367.75</v>
      </c>
      <c r="N70" s="189">
        <f t="shared" si="14"/>
        <v>349567.75</v>
      </c>
      <c r="O70" s="189">
        <f t="shared" si="14"/>
        <v>455617.75</v>
      </c>
      <c r="P70" s="189">
        <f t="shared" si="14"/>
        <v>806580.95035087725</v>
      </c>
      <c r="Q70" s="189">
        <f t="shared" si="14"/>
        <v>1015405.0903508773</v>
      </c>
      <c r="R70" s="189">
        <f t="shared" si="14"/>
        <v>935314.59035087726</v>
      </c>
      <c r="S70" s="189">
        <f t="shared" si="14"/>
        <v>2208920.6166666662</v>
      </c>
      <c r="T70" s="147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</row>
    <row r="71" spans="1:50" ht="15" customHeight="1" thickTop="1">
      <c r="A71" s="164"/>
      <c r="B71" s="60"/>
      <c r="C71" s="60"/>
      <c r="D71" s="60"/>
      <c r="E71" s="126"/>
      <c r="F71" s="60"/>
      <c r="G71" s="60"/>
      <c r="H71" s="60"/>
      <c r="I71" s="126"/>
      <c r="J71" s="126"/>
      <c r="K71" s="60"/>
      <c r="L71" s="126"/>
      <c r="M71" s="126"/>
      <c r="N71" s="126"/>
      <c r="O71" s="126"/>
      <c r="P71" s="126"/>
      <c r="Q71" s="126"/>
      <c r="R71" s="126"/>
      <c r="S71" s="126"/>
      <c r="T71" s="126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</row>
    <row r="72" spans="1:50" s="11" customFormat="1">
      <c r="A72" s="168" t="s">
        <v>241</v>
      </c>
      <c r="B72" s="159" t="s">
        <v>79</v>
      </c>
      <c r="C72" s="157" t="s">
        <v>242</v>
      </c>
      <c r="D72" s="61"/>
      <c r="E72" s="126"/>
      <c r="F72" s="60"/>
      <c r="G72" s="60"/>
      <c r="H72" s="60"/>
      <c r="I72" s="126">
        <v>383977.375</v>
      </c>
      <c r="J72" s="126">
        <v>582647.79999999993</v>
      </c>
      <c r="K72" s="60"/>
      <c r="L72" s="126">
        <f t="shared" ref="L72:S72" si="15">-(L64+L65)*(L27+L48)</f>
        <v>151477.375</v>
      </c>
      <c r="M72" s="126">
        <f t="shared" si="15"/>
        <v>1276477.375</v>
      </c>
      <c r="N72" s="126">
        <f t="shared" si="15"/>
        <v>588977.375</v>
      </c>
      <c r="O72" s="126">
        <f t="shared" si="15"/>
        <v>383977.375</v>
      </c>
      <c r="P72" s="126">
        <f t="shared" si="15"/>
        <v>582647.79999999993</v>
      </c>
      <c r="Q72" s="126">
        <f t="shared" si="15"/>
        <v>241499.99999999997</v>
      </c>
      <c r="R72" s="126">
        <f t="shared" si="15"/>
        <v>350000</v>
      </c>
      <c r="S72" s="126">
        <f t="shared" si="15"/>
        <v>735000</v>
      </c>
      <c r="T72" s="60"/>
      <c r="U72" s="60"/>
      <c r="V72" s="60"/>
      <c r="W72" s="60"/>
      <c r="X72" s="60"/>
      <c r="Y72" s="60"/>
      <c r="Z72" s="60"/>
      <c r="AA72" s="60"/>
      <c r="AB72" s="118"/>
      <c r="AC72" s="118"/>
      <c r="AD72" s="118"/>
      <c r="AE72" s="118"/>
      <c r="AF72" s="118"/>
      <c r="AG72" s="118"/>
      <c r="AH72" s="118"/>
      <c r="AI72" s="60"/>
      <c r="AJ72" s="118"/>
      <c r="AK72" s="118"/>
      <c r="AL72" s="118"/>
      <c r="AM72" s="118"/>
      <c r="AN72" s="118"/>
      <c r="AO72" s="118"/>
      <c r="AP72" s="118"/>
      <c r="AQ72" s="60"/>
      <c r="AR72" s="60"/>
      <c r="AS72" s="60"/>
      <c r="AT72" s="60"/>
      <c r="AU72" s="60"/>
      <c r="AV72" s="60"/>
      <c r="AW72" s="60"/>
      <c r="AX72" s="60"/>
    </row>
    <row r="73" spans="1:50" s="11" customFormat="1">
      <c r="A73" s="168" t="s">
        <v>243</v>
      </c>
      <c r="B73" s="159" t="s">
        <v>79</v>
      </c>
      <c r="C73" s="157" t="s">
        <v>244</v>
      </c>
      <c r="D73" s="61"/>
      <c r="E73" s="126"/>
      <c r="F73" s="60"/>
      <c r="G73" s="60"/>
      <c r="H73" s="60"/>
      <c r="I73" s="126">
        <v>0</v>
      </c>
      <c r="J73" s="126">
        <v>-754323.66</v>
      </c>
      <c r="K73" s="60"/>
      <c r="L73" s="126">
        <f t="shared" ref="L73:S73" si="16">-(L64+L66)*(L28+L49)</f>
        <v>0</v>
      </c>
      <c r="M73" s="126">
        <f t="shared" si="16"/>
        <v>0</v>
      </c>
      <c r="N73" s="126">
        <f t="shared" si="16"/>
        <v>0</v>
      </c>
      <c r="O73" s="126">
        <f t="shared" si="16"/>
        <v>0</v>
      </c>
      <c r="P73" s="126">
        <f t="shared" si="16"/>
        <v>-754323.66</v>
      </c>
      <c r="Q73" s="126">
        <f t="shared" si="16"/>
        <v>-588750</v>
      </c>
      <c r="R73" s="126">
        <f t="shared" si="16"/>
        <v>-634659.5</v>
      </c>
      <c r="S73" s="126">
        <f t="shared" si="16"/>
        <v>-686000</v>
      </c>
      <c r="T73" s="60"/>
      <c r="U73" s="60"/>
      <c r="V73" s="60"/>
      <c r="W73" s="60"/>
      <c r="X73" s="60"/>
      <c r="Y73" s="60"/>
      <c r="Z73" s="60"/>
      <c r="AA73" s="60"/>
      <c r="AB73" s="118"/>
      <c r="AC73" s="118"/>
      <c r="AD73" s="118"/>
      <c r="AE73" s="118"/>
      <c r="AF73" s="118"/>
      <c r="AG73" s="118"/>
      <c r="AH73" s="118"/>
      <c r="AI73" s="60"/>
      <c r="AJ73" s="118"/>
      <c r="AK73" s="118"/>
      <c r="AL73" s="118"/>
      <c r="AM73" s="118"/>
      <c r="AN73" s="118"/>
      <c r="AO73" s="118"/>
      <c r="AP73" s="118"/>
      <c r="AQ73" s="60"/>
      <c r="AR73" s="60"/>
      <c r="AS73" s="60"/>
      <c r="AT73" s="60"/>
      <c r="AU73" s="60"/>
      <c r="AV73" s="60"/>
      <c r="AW73" s="60"/>
      <c r="AX73" s="60"/>
    </row>
    <row r="74" spans="1:50">
      <c r="A74" s="168" t="s">
        <v>245</v>
      </c>
      <c r="B74" s="222" t="s">
        <v>9</v>
      </c>
      <c r="C74" s="72" t="s">
        <v>246</v>
      </c>
      <c r="D74" s="60"/>
      <c r="E74" s="126"/>
      <c r="F74" s="60"/>
      <c r="G74" s="60"/>
      <c r="H74" s="60"/>
      <c r="I74" s="171">
        <v>2400909.5</v>
      </c>
      <c r="J74" s="171">
        <v>2229233.64</v>
      </c>
      <c r="K74" s="60"/>
      <c r="L74" s="171">
        <f>SUM(L72:L73)+E74</f>
        <v>151477.375</v>
      </c>
      <c r="M74" s="171">
        <f t="shared" ref="M74:S74" si="17">SUM(M72:M73)+L74</f>
        <v>1427954.75</v>
      </c>
      <c r="N74" s="171">
        <f t="shared" si="17"/>
        <v>2016932.125</v>
      </c>
      <c r="O74" s="171">
        <f t="shared" si="17"/>
        <v>2400909.5</v>
      </c>
      <c r="P74" s="171">
        <f t="shared" si="17"/>
        <v>2229233.6399999997</v>
      </c>
      <c r="Q74" s="171">
        <f t="shared" si="17"/>
        <v>1881983.6399999997</v>
      </c>
      <c r="R74" s="171">
        <f t="shared" si="17"/>
        <v>1597324.1399999997</v>
      </c>
      <c r="S74" s="171">
        <f t="shared" si="17"/>
        <v>1646324.1399999997</v>
      </c>
      <c r="T74" s="126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</row>
    <row r="75" spans="1:50">
      <c r="A75" s="60"/>
      <c r="B75" s="60"/>
      <c r="C75" s="60"/>
      <c r="D75" s="60"/>
      <c r="E75" s="126"/>
      <c r="F75" s="60"/>
      <c r="G75" s="60"/>
      <c r="H75" s="60"/>
      <c r="I75" s="126"/>
      <c r="J75" s="126"/>
      <c r="K75" s="60"/>
      <c r="L75" s="126"/>
      <c r="M75" s="126"/>
      <c r="N75" s="126"/>
      <c r="O75" s="126"/>
      <c r="P75" s="126"/>
      <c r="Q75" s="126"/>
      <c r="R75" s="126"/>
      <c r="S75" s="126"/>
      <c r="T75" s="126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</row>
    <row r="76" spans="1:50">
      <c r="A76" s="168" t="s">
        <v>248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</row>
    <row r="77" spans="1:50" s="11" customFormat="1" ht="14.65" customHeight="1">
      <c r="A77" s="135" t="s">
        <v>249</v>
      </c>
      <c r="B77" s="159" t="s">
        <v>79</v>
      </c>
      <c r="C77" s="157" t="s">
        <v>250</v>
      </c>
      <c r="D77" s="61"/>
      <c r="E77" s="118"/>
      <c r="F77" s="60"/>
      <c r="G77" s="60"/>
      <c r="H77" s="60"/>
      <c r="I77" s="118">
        <v>1652177.5</v>
      </c>
      <c r="J77" s="118">
        <v>560159.99999999988</v>
      </c>
      <c r="K77" s="60"/>
      <c r="L77" s="118">
        <f>'.c12_d&amp;s_hr'!L45</f>
        <v>515519.99999999994</v>
      </c>
      <c r="M77" s="118">
        <f>'.c12_d&amp;s_hr'!M45</f>
        <v>515519.99999999994</v>
      </c>
      <c r="N77" s="118">
        <f>'.c12_d&amp;s_hr'!N45</f>
        <v>515519.99999999994</v>
      </c>
      <c r="O77" s="118">
        <f>'.c12_d&amp;s_hr'!O45</f>
        <v>1652177.5</v>
      </c>
      <c r="P77" s="118">
        <f>'.c12_d&amp;s_hr'!P45</f>
        <v>560159.99999999988</v>
      </c>
      <c r="Q77" s="118">
        <f>'.c12_d&amp;s_hr'!Q45</f>
        <v>520559.99999999994</v>
      </c>
      <c r="R77" s="118">
        <f>'.c12_d&amp;s_hr'!R45</f>
        <v>560159.99999999988</v>
      </c>
      <c r="S77" s="118">
        <f>'.c12_d&amp;s_hr'!S45</f>
        <v>1221223.75</v>
      </c>
      <c r="T77" s="116"/>
      <c r="U77" s="156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</row>
    <row r="78" spans="1:50" s="11" customFormat="1">
      <c r="A78" s="135" t="s">
        <v>251</v>
      </c>
      <c r="B78" s="159" t="s">
        <v>9</v>
      </c>
      <c r="C78" s="157" t="s">
        <v>252</v>
      </c>
      <c r="D78" s="61"/>
      <c r="E78" s="118"/>
      <c r="F78" s="60"/>
      <c r="G78" s="60"/>
      <c r="H78" s="60"/>
      <c r="I78" s="193">
        <v>123922.5</v>
      </c>
      <c r="J78" s="193">
        <v>85679.999999999985</v>
      </c>
      <c r="K78" s="60"/>
      <c r="L78" s="193">
        <f>'.c12_d&amp;s_hr'!L46</f>
        <v>84959.999999999985</v>
      </c>
      <c r="M78" s="193">
        <f>'.c12_d&amp;s_hr'!M46</f>
        <v>84959.999999999985</v>
      </c>
      <c r="N78" s="193">
        <f>'.c12_d&amp;s_hr'!N46</f>
        <v>84959.999999999985</v>
      </c>
      <c r="O78" s="193">
        <f>'.c12_d&amp;s_hr'!O46</f>
        <v>123922.5</v>
      </c>
      <c r="P78" s="193">
        <f>'.c12_d&amp;s_hr'!P46</f>
        <v>85679.999999999985</v>
      </c>
      <c r="Q78" s="193">
        <f>'.c12_d&amp;s_hr'!Q46</f>
        <v>85679.999999999985</v>
      </c>
      <c r="R78" s="193">
        <f>'.c12_d&amp;s_hr'!R46</f>
        <v>85679.999999999985</v>
      </c>
      <c r="S78" s="193">
        <f>'.c12_d&amp;s_hr'!S46</f>
        <v>116849.99999999997</v>
      </c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104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</row>
    <row r="79" spans="1:50" s="11" customFormat="1">
      <c r="A79" s="135" t="s">
        <v>253</v>
      </c>
      <c r="B79" s="159" t="s">
        <v>9</v>
      </c>
      <c r="C79" s="157" t="s">
        <v>254</v>
      </c>
      <c r="D79" s="61"/>
      <c r="E79" s="118"/>
      <c r="F79" s="60"/>
      <c r="G79" s="60"/>
      <c r="H79" s="60"/>
      <c r="I79" s="193">
        <v>1528255</v>
      </c>
      <c r="J79" s="193">
        <v>474480</v>
      </c>
      <c r="K79" s="60"/>
      <c r="L79" s="193">
        <f>'.c12_d&amp;s_hr'!L47</f>
        <v>430560</v>
      </c>
      <c r="M79" s="193">
        <f>'.c12_d&amp;s_hr'!M47</f>
        <v>430560</v>
      </c>
      <c r="N79" s="193">
        <f>'.c12_d&amp;s_hr'!N47</f>
        <v>430560</v>
      </c>
      <c r="O79" s="193">
        <f>'.c12_d&amp;s_hr'!O47</f>
        <v>1528255</v>
      </c>
      <c r="P79" s="193">
        <f>'.c12_d&amp;s_hr'!P47</f>
        <v>474480</v>
      </c>
      <c r="Q79" s="193">
        <f>'.c12_d&amp;s_hr'!Q47</f>
        <v>434880</v>
      </c>
      <c r="R79" s="193">
        <f>'.c12_d&amp;s_hr'!R47</f>
        <v>474480</v>
      </c>
      <c r="S79" s="193">
        <f>'.c12_d&amp;s_hr'!S47</f>
        <v>1104373.75</v>
      </c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104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</row>
    <row r="80" spans="1:50" s="11" customFormat="1">
      <c r="A80" s="135" t="s">
        <v>255</v>
      </c>
      <c r="B80" s="159" t="s">
        <v>79</v>
      </c>
      <c r="C80" s="157" t="s">
        <v>256</v>
      </c>
      <c r="D80" s="61"/>
      <c r="E80" s="118"/>
      <c r="F80" s="60"/>
      <c r="G80" s="60"/>
      <c r="H80" s="60"/>
      <c r="I80" s="118">
        <v>0</v>
      </c>
      <c r="J80" s="118">
        <v>0</v>
      </c>
      <c r="K80" s="60"/>
      <c r="L80" s="118">
        <f>'.c12_d&amp;s_hr'!L48</f>
        <v>0</v>
      </c>
      <c r="M80" s="118">
        <f>'.c12_d&amp;s_hr'!M48</f>
        <v>0</v>
      </c>
      <c r="N80" s="118">
        <f>'.c12_d&amp;s_hr'!N48</f>
        <v>0</v>
      </c>
      <c r="O80" s="118">
        <f>'.c12_d&amp;s_hr'!O48</f>
        <v>0</v>
      </c>
      <c r="P80" s="118">
        <f>'.c12_d&amp;s_hr'!P48</f>
        <v>0</v>
      </c>
      <c r="Q80" s="118">
        <f>'.c12_d&amp;s_hr'!Q48</f>
        <v>0</v>
      </c>
      <c r="R80" s="118">
        <f>'.c12_d&amp;s_hr'!R48</f>
        <v>0</v>
      </c>
      <c r="S80" s="118">
        <f>'.c12_d&amp;s_hr'!S48</f>
        <v>0</v>
      </c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104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</row>
    <row r="81" spans="1:50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</row>
    <row r="82" spans="1:50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</row>
    <row r="83" spans="1:50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</row>
    <row r="84" spans="1:50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</row>
    <row r="85" spans="1:50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</row>
    <row r="86" spans="1:50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</row>
    <row r="87" spans="1:50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</row>
    <row r="88" spans="1:50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</row>
    <row r="89" spans="1:50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</row>
    <row r="90" spans="1:5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</row>
    <row r="91" spans="1:50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</row>
    <row r="92" spans="1:50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</row>
    <row r="93" spans="1:50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</row>
    <row r="94" spans="1:50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</row>
    <row r="95" spans="1:50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</row>
    <row r="96" spans="1:50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</row>
    <row r="97" spans="1:50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</row>
    <row r="98" spans="1:50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</row>
    <row r="99" spans="1:50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</row>
    <row r="100" spans="1:5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</row>
    <row r="101" spans="1:50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</row>
    <row r="102" spans="1:50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</row>
    <row r="103" spans="1:50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</row>
    <row r="104" spans="1:50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</row>
    <row r="105" spans="1:50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2"/>
      <c r="V105" s="62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</row>
    <row r="106" spans="1:50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</row>
    <row r="107" spans="1:50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</row>
    <row r="108" spans="1:50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</row>
    <row r="109" spans="1:50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</row>
    <row r="110" spans="1:5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</row>
    <row r="111" spans="1:50">
      <c r="A111" s="60"/>
      <c r="B111" s="81"/>
      <c r="C111" s="60"/>
      <c r="D111" s="81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</row>
    <row r="112" spans="1:50">
      <c r="A112" s="60"/>
      <c r="B112" s="81"/>
      <c r="C112" s="60"/>
      <c r="D112" s="81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</row>
    <row r="113" spans="1:50">
      <c r="A113" s="60"/>
      <c r="B113" s="81"/>
      <c r="C113" s="60"/>
      <c r="D113" s="81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</row>
    <row r="114" spans="1:50">
      <c r="A114" s="60"/>
      <c r="B114" s="81"/>
      <c r="C114" s="60"/>
      <c r="D114" s="81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</row>
    <row r="115" spans="1:50">
      <c r="A115" s="60"/>
      <c r="B115" s="81"/>
      <c r="C115" s="60"/>
      <c r="D115" s="81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</row>
    <row r="116" spans="1:50">
      <c r="A116" s="60"/>
      <c r="B116" s="81"/>
      <c r="C116" s="60"/>
      <c r="D116" s="81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</row>
    <row r="117" spans="1:50">
      <c r="A117" s="60"/>
      <c r="B117" s="81"/>
      <c r="C117" s="60"/>
      <c r="D117" s="81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</row>
    <row r="118" spans="1:50">
      <c r="A118" s="60"/>
      <c r="B118" s="81"/>
      <c r="C118" s="60"/>
      <c r="D118" s="81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</row>
    <row r="119" spans="1:50" s="4" customFormat="1">
      <c r="A119" s="164"/>
      <c r="B119" s="81"/>
      <c r="C119" s="60"/>
      <c r="D119" s="81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104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</row>
    <row r="120" spans="1:50">
      <c r="A120" s="60"/>
      <c r="B120" s="81"/>
      <c r="C120" s="60"/>
      <c r="D120" s="81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</row>
    <row r="121" spans="1:50">
      <c r="A121" s="60"/>
      <c r="B121" s="81"/>
      <c r="C121" s="60"/>
      <c r="D121" s="81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</row>
    <row r="122" spans="1:50">
      <c r="A122" s="60"/>
      <c r="B122" s="81"/>
      <c r="C122" s="60"/>
      <c r="D122" s="81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</row>
    <row r="123" spans="1:50">
      <c r="A123" s="60"/>
      <c r="B123" s="81"/>
      <c r="C123" s="60"/>
      <c r="D123" s="81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</row>
    <row r="124" spans="1:50">
      <c r="A124" s="60"/>
      <c r="B124" s="81"/>
      <c r="C124" s="60"/>
      <c r="D124" s="81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2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</row>
    <row r="125" spans="1:50">
      <c r="A125" s="60"/>
      <c r="B125" s="81"/>
      <c r="C125" s="60"/>
      <c r="D125" s="81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</row>
    <row r="126" spans="1:50">
      <c r="A126" s="60"/>
      <c r="B126" s="81"/>
      <c r="C126" s="60"/>
      <c r="D126" s="81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</row>
    <row r="127" spans="1:50">
      <c r="A127" s="60"/>
      <c r="B127" s="81"/>
      <c r="C127" s="60"/>
      <c r="D127" s="81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</row>
    <row r="128" spans="1:50">
      <c r="A128" s="60"/>
      <c r="B128" s="81"/>
      <c r="C128" s="60"/>
      <c r="D128" s="81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</row>
    <row r="129" spans="1:50">
      <c r="A129" s="60"/>
      <c r="B129" s="81"/>
      <c r="C129" s="60"/>
      <c r="D129" s="81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</row>
    <row r="130" spans="1:50">
      <c r="A130" s="60"/>
      <c r="B130" s="81"/>
      <c r="C130" s="60"/>
      <c r="D130" s="81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</row>
    <row r="131" spans="1:50">
      <c r="A131" s="60"/>
      <c r="B131" s="81"/>
      <c r="C131" s="60"/>
      <c r="D131" s="81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</row>
    <row r="132" spans="1:50">
      <c r="A132" s="60"/>
      <c r="B132" s="81"/>
      <c r="C132" s="60"/>
      <c r="D132" s="81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</row>
    <row r="133" spans="1:50">
      <c r="A133" s="60"/>
      <c r="B133" s="81"/>
      <c r="C133" s="60"/>
      <c r="D133" s="81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</row>
    <row r="134" spans="1:50">
      <c r="A134" s="60"/>
      <c r="B134" s="81"/>
      <c r="C134" s="60"/>
      <c r="D134" s="81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</row>
    <row r="135" spans="1:50">
      <c r="A135" s="60"/>
      <c r="B135" s="81"/>
      <c r="C135" s="60"/>
      <c r="D135" s="81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</row>
    <row r="136" spans="1:50">
      <c r="A136" s="60"/>
      <c r="B136" s="81"/>
      <c r="C136" s="60"/>
      <c r="D136" s="81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</row>
    <row r="137" spans="1:50">
      <c r="A137" s="60"/>
      <c r="B137" s="81"/>
      <c r="C137" s="60"/>
      <c r="D137" s="81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</row>
    <row r="138" spans="1:50">
      <c r="A138" s="60"/>
      <c r="B138" s="81"/>
      <c r="C138" s="60"/>
      <c r="D138" s="81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157" t="s">
        <v>257</v>
      </c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</row>
    <row r="139" spans="1:50">
      <c r="A139" s="60"/>
      <c r="B139" s="81"/>
      <c r="C139" s="60"/>
      <c r="D139" s="81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</row>
    <row r="140" spans="1:50">
      <c r="A140" s="60"/>
      <c r="B140" s="81"/>
      <c r="C140" s="60"/>
      <c r="D140" s="81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</row>
    <row r="141" spans="1:50">
      <c r="A141" s="60"/>
      <c r="B141" s="81"/>
      <c r="C141" s="60"/>
      <c r="D141" s="81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</row>
    <row r="142" spans="1:50">
      <c r="A142" s="60"/>
      <c r="B142" s="81"/>
      <c r="C142" s="60"/>
      <c r="D142" s="81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</row>
    <row r="143" spans="1:50">
      <c r="A143" s="60"/>
      <c r="B143" s="81"/>
      <c r="C143" s="60"/>
      <c r="D143" s="81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</row>
    <row r="144" spans="1:50">
      <c r="A144" s="60"/>
      <c r="B144" s="81"/>
      <c r="C144" s="60"/>
      <c r="D144" s="81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</row>
    <row r="145" spans="1:50">
      <c r="A145" s="60"/>
      <c r="B145" s="81"/>
      <c r="C145" s="60"/>
      <c r="D145" s="81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</row>
    <row r="146" spans="1:50">
      <c r="A146" s="60"/>
      <c r="B146" s="81"/>
      <c r="C146" s="60"/>
      <c r="D146" s="81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</row>
    <row r="147" spans="1:50">
      <c r="A147" s="60"/>
      <c r="B147" s="81"/>
      <c r="C147" s="60"/>
      <c r="D147" s="81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</row>
    <row r="148" spans="1:50">
      <c r="A148" s="60"/>
      <c r="B148" s="81"/>
      <c r="C148" s="60"/>
      <c r="D148" s="81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</row>
    <row r="149" spans="1:50">
      <c r="A149" s="60"/>
      <c r="B149" s="81"/>
      <c r="C149" s="60"/>
      <c r="D149" s="81"/>
      <c r="E149" s="60"/>
      <c r="I149" s="60"/>
      <c r="J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</row>
  </sheetData>
  <mergeCells count="2">
    <mergeCell ref="AO48:AT48"/>
    <mergeCell ref="AV48:BB48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B084"/>
    <pageSetUpPr autoPageBreaks="0"/>
  </sheetPr>
  <dimension ref="A1:BG149"/>
  <sheetViews>
    <sheetView showGridLines="0" zoomScale="99" zoomScaleNormal="85" workbookViewId="0">
      <pane xSplit="4" ySplit="3" topLeftCell="R55" activePane="bottomRight" state="frozen"/>
      <selection pane="topRight"/>
      <selection pane="bottomLeft" activeCell="E16" sqref="E16"/>
      <selection pane="bottomRight" activeCell="A3" sqref="A2:XFD3"/>
    </sheetView>
  </sheetViews>
  <sheetFormatPr defaultRowHeight="14.5"/>
  <cols>
    <col min="1" max="1" width="40" style="15" bestFit="1" customWidth="1"/>
    <col min="2" max="2" width="4.453125" style="54" customWidth="1"/>
    <col min="3" max="3" width="27.6328125" style="49" bestFit="1" customWidth="1"/>
    <col min="4" max="4" width="11.81640625" style="54" bestFit="1" customWidth="1"/>
    <col min="5" max="5" width="15.6328125" style="4" bestFit="1" customWidth="1"/>
    <col min="6" max="8" width="10.7265625" style="59" customWidth="1"/>
    <col min="9" max="10" width="13.6328125" style="4" bestFit="1" customWidth="1"/>
    <col min="11" max="11" width="10.7265625" style="218" customWidth="1"/>
    <col min="12" max="12" width="13.6328125" style="4" bestFit="1" customWidth="1"/>
    <col min="13" max="15" width="14.26953125" style="4" bestFit="1" customWidth="1"/>
    <col min="16" max="16" width="17.6328125" style="4" bestFit="1" customWidth="1"/>
    <col min="17" max="19" width="15.26953125" style="4" bestFit="1" customWidth="1"/>
    <col min="20" max="20" width="15.26953125" bestFit="1" customWidth="1"/>
    <col min="21" max="21" width="16.54296875" bestFit="1" customWidth="1"/>
    <col min="22" max="22" width="15.26953125" bestFit="1" customWidth="1"/>
    <col min="23" max="23" width="16" bestFit="1" customWidth="1"/>
    <col min="24" max="24" width="10.453125" customWidth="1"/>
    <col min="25" max="25" width="34" bestFit="1" customWidth="1"/>
    <col min="26" max="26" width="14.26953125" bestFit="1" customWidth="1"/>
    <col min="27" max="27" width="33.6328125" bestFit="1" customWidth="1"/>
    <col min="28" max="28" width="21.26953125" bestFit="1" customWidth="1"/>
    <col min="29" max="29" width="16.54296875" bestFit="1" customWidth="1"/>
    <col min="30" max="30" width="27.26953125" bestFit="1" customWidth="1"/>
    <col min="31" max="31" width="10.6328125" customWidth="1"/>
    <col min="32" max="32" width="11.453125" customWidth="1"/>
    <col min="33" max="33" width="12.54296875" bestFit="1" customWidth="1"/>
    <col min="34" max="34" width="9.26953125" bestFit="1" customWidth="1"/>
    <col min="35" max="35" width="12.6328125" style="1" bestFit="1" customWidth="1"/>
    <col min="42" max="42" width="9.54296875" bestFit="1" customWidth="1"/>
  </cols>
  <sheetData>
    <row r="1" spans="1:59" s="3" customFormat="1" ht="18.399999999999999" customHeight="1">
      <c r="A1" s="164"/>
      <c r="B1" s="61"/>
      <c r="C1" s="62"/>
      <c r="D1" s="61"/>
      <c r="E1" s="165"/>
      <c r="F1" s="60"/>
      <c r="G1" s="60"/>
      <c r="H1" s="60"/>
      <c r="I1" s="165"/>
      <c r="J1" s="165"/>
      <c r="K1" s="60"/>
      <c r="L1" s="165"/>
      <c r="M1" s="165"/>
      <c r="N1" s="165"/>
      <c r="O1" s="165"/>
      <c r="P1" s="165"/>
      <c r="Q1" s="165"/>
      <c r="R1" s="165"/>
      <c r="S1" s="165"/>
      <c r="T1" s="165"/>
      <c r="U1" s="156"/>
      <c r="V1" s="156"/>
      <c r="W1" s="60"/>
      <c r="X1" s="60"/>
      <c r="Y1" s="60"/>
      <c r="Z1" s="60"/>
      <c r="AA1" s="60"/>
      <c r="AB1" s="60"/>
      <c r="AC1" s="60"/>
      <c r="AD1" s="60"/>
      <c r="AE1" s="104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</row>
    <row r="2" spans="1:59" s="229" customFormat="1">
      <c r="A2" s="225" t="s">
        <v>0</v>
      </c>
      <c r="B2" s="226"/>
      <c r="C2" s="226"/>
      <c r="D2" s="226"/>
      <c r="E2" s="227">
        <v>45657</v>
      </c>
      <c r="F2" s="227">
        <v>45747</v>
      </c>
      <c r="G2" s="227">
        <v>45838</v>
      </c>
      <c r="H2" s="227">
        <v>45930</v>
      </c>
      <c r="I2" s="227">
        <v>46022</v>
      </c>
      <c r="J2" s="227">
        <v>46112</v>
      </c>
      <c r="K2" s="227">
        <v>46203</v>
      </c>
      <c r="L2" s="227">
        <v>45747</v>
      </c>
      <c r="M2" s="227">
        <v>45838</v>
      </c>
      <c r="N2" s="227">
        <v>45930</v>
      </c>
      <c r="O2" s="227">
        <v>46022</v>
      </c>
      <c r="P2" s="227">
        <v>46112</v>
      </c>
      <c r="Q2" s="227">
        <v>46203</v>
      </c>
      <c r="R2" s="227">
        <v>46295</v>
      </c>
      <c r="S2" s="227">
        <v>46387</v>
      </c>
      <c r="T2" s="227"/>
      <c r="U2" s="227"/>
      <c r="V2" s="227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  <c r="BD2" s="228"/>
      <c r="BE2" s="228"/>
      <c r="BF2" s="228"/>
      <c r="BG2" s="228"/>
    </row>
    <row r="3" spans="1:59" s="232" customFormat="1">
      <c r="A3" s="68"/>
      <c r="B3" s="230"/>
      <c r="C3" s="230"/>
      <c r="D3" s="230"/>
      <c r="E3" s="231" t="s">
        <v>56</v>
      </c>
      <c r="F3" s="68"/>
      <c r="G3" s="68"/>
      <c r="H3" s="68"/>
      <c r="I3" s="68"/>
      <c r="J3" s="68"/>
      <c r="K3" s="231"/>
      <c r="L3" s="231" t="s">
        <v>42</v>
      </c>
      <c r="M3" s="68"/>
      <c r="N3" s="68"/>
      <c r="O3" s="68"/>
      <c r="P3" s="68"/>
      <c r="Q3" s="68"/>
      <c r="R3" s="68"/>
      <c r="S3" s="68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</row>
    <row r="4" spans="1:59" ht="14.65" customHeight="1">
      <c r="A4" s="60"/>
      <c r="B4" s="70" t="s">
        <v>42</v>
      </c>
      <c r="C4" s="71" t="s">
        <v>43</v>
      </c>
      <c r="D4" s="70" t="s">
        <v>3</v>
      </c>
      <c r="E4" s="166"/>
      <c r="F4" s="60"/>
      <c r="G4" s="60"/>
      <c r="H4" s="60"/>
      <c r="I4" s="166"/>
      <c r="J4" s="166"/>
      <c r="K4" s="60"/>
      <c r="L4" s="166"/>
      <c r="M4" s="166"/>
      <c r="N4" s="166"/>
      <c r="O4" s="166"/>
      <c r="P4" s="166"/>
      <c r="Q4" s="166"/>
      <c r="R4" s="166"/>
      <c r="S4" s="166"/>
      <c r="T4" s="167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</row>
    <row r="5" spans="1:59" ht="15" customHeight="1">
      <c r="A5" s="168" t="s">
        <v>165</v>
      </c>
      <c r="B5" s="75"/>
      <c r="C5" s="74" t="s">
        <v>166</v>
      </c>
      <c r="D5" s="75"/>
      <c r="E5" s="164"/>
      <c r="F5" s="60"/>
      <c r="G5" s="60"/>
      <c r="H5" s="60"/>
      <c r="I5" s="164"/>
      <c r="J5" s="164"/>
      <c r="K5" s="60"/>
      <c r="L5" s="164"/>
      <c r="M5" s="164"/>
      <c r="N5" s="164"/>
      <c r="O5" s="169"/>
      <c r="P5" s="164"/>
      <c r="Q5" s="164"/>
      <c r="R5" s="164"/>
      <c r="S5" s="164"/>
      <c r="T5" s="164"/>
      <c r="U5" s="60"/>
      <c r="V5" s="84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</row>
    <row r="6" spans="1:59" s="48" customFormat="1" ht="15" customHeight="1">
      <c r="A6" s="168" t="s">
        <v>185</v>
      </c>
      <c r="B6" s="75"/>
      <c r="C6" s="77"/>
      <c r="D6" s="78"/>
      <c r="E6" s="164"/>
      <c r="F6" s="60"/>
      <c r="G6" s="60"/>
      <c r="H6" s="60"/>
      <c r="I6" s="164"/>
      <c r="J6" s="164"/>
      <c r="K6" s="60"/>
      <c r="L6" s="164"/>
      <c r="M6" s="164"/>
      <c r="N6" s="164"/>
      <c r="O6" s="169"/>
      <c r="P6" s="164"/>
      <c r="Q6" s="164"/>
      <c r="R6" s="164"/>
      <c r="S6" s="164"/>
      <c r="T6" s="164"/>
      <c r="U6" s="60"/>
      <c r="V6" s="84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</row>
    <row r="7" spans="1:59" s="48" customFormat="1" ht="15" customHeight="1">
      <c r="A7" s="168" t="s">
        <v>185</v>
      </c>
      <c r="B7" s="75"/>
      <c r="C7" s="77"/>
      <c r="D7" s="78"/>
      <c r="E7" s="164"/>
      <c r="F7" s="60"/>
      <c r="G7" s="60"/>
      <c r="H7" s="60"/>
      <c r="I7" s="164"/>
      <c r="J7" s="164"/>
      <c r="K7" s="60"/>
      <c r="L7" s="164"/>
      <c r="M7" s="164"/>
      <c r="N7" s="164"/>
      <c r="O7" s="169"/>
      <c r="P7" s="164"/>
      <c r="Q7" s="164"/>
      <c r="R7" s="164"/>
      <c r="S7" s="164"/>
      <c r="T7" s="164"/>
      <c r="U7" s="60"/>
      <c r="V7" s="84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</row>
    <row r="8" spans="1:59" s="48" customFormat="1" ht="15" customHeight="1">
      <c r="A8" s="168" t="s">
        <v>185</v>
      </c>
      <c r="B8" s="75"/>
      <c r="C8" s="77"/>
      <c r="D8" s="78"/>
      <c r="E8" s="164"/>
      <c r="F8" s="60"/>
      <c r="G8" s="60"/>
      <c r="H8" s="60"/>
      <c r="I8" s="164"/>
      <c r="J8" s="164"/>
      <c r="K8" s="60"/>
      <c r="L8" s="164"/>
      <c r="M8" s="164"/>
      <c r="N8" s="164"/>
      <c r="O8" s="169"/>
      <c r="P8" s="164"/>
      <c r="Q8" s="164"/>
      <c r="R8" s="164"/>
      <c r="S8" s="164"/>
      <c r="T8" s="164"/>
      <c r="U8" s="60"/>
      <c r="V8" s="84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</row>
    <row r="9" spans="1:59" s="48" customFormat="1" ht="15" customHeight="1">
      <c r="A9" s="168" t="s">
        <v>185</v>
      </c>
      <c r="B9" s="61"/>
      <c r="C9" s="62"/>
      <c r="D9" s="61"/>
      <c r="E9" s="164"/>
      <c r="F9" s="60"/>
      <c r="G9" s="60"/>
      <c r="H9" s="60"/>
      <c r="I9" s="164"/>
      <c r="J9" s="164"/>
      <c r="K9" s="60"/>
      <c r="L9" s="164"/>
      <c r="M9" s="164"/>
      <c r="N9" s="164"/>
      <c r="O9" s="169"/>
      <c r="P9" s="164"/>
      <c r="Q9" s="164"/>
      <c r="R9" s="164"/>
      <c r="S9" s="164"/>
      <c r="T9" s="164"/>
      <c r="U9" s="60"/>
      <c r="V9" s="84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</row>
    <row r="10" spans="1:59" s="48" customFormat="1" ht="15" customHeight="1">
      <c r="A10" s="168" t="s">
        <v>185</v>
      </c>
      <c r="B10" s="61"/>
      <c r="C10" s="62"/>
      <c r="D10" s="61"/>
      <c r="E10" s="164"/>
      <c r="F10" s="91"/>
      <c r="G10" s="91"/>
      <c r="H10" s="91"/>
      <c r="I10" s="164"/>
      <c r="J10" s="164"/>
      <c r="K10" s="91"/>
      <c r="L10" s="164"/>
      <c r="M10" s="164"/>
      <c r="N10" s="164"/>
      <c r="O10" s="169"/>
      <c r="P10" s="164"/>
      <c r="Q10" s="164"/>
      <c r="R10" s="164"/>
      <c r="S10" s="164"/>
      <c r="T10" s="164"/>
      <c r="U10" s="60"/>
      <c r="V10" s="84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</row>
    <row r="11" spans="1:59" s="48" customFormat="1" ht="15" customHeight="1">
      <c r="A11" s="168" t="s">
        <v>185</v>
      </c>
      <c r="B11" s="61"/>
      <c r="C11" s="62"/>
      <c r="D11" s="61"/>
      <c r="E11" s="164"/>
      <c r="F11" s="60"/>
      <c r="G11" s="60"/>
      <c r="H11" s="60"/>
      <c r="I11" s="164"/>
      <c r="J11" s="164"/>
      <c r="K11" s="60"/>
      <c r="L11" s="164"/>
      <c r="M11" s="164"/>
      <c r="N11" s="164"/>
      <c r="O11" s="169"/>
      <c r="P11" s="164"/>
      <c r="Q11" s="164"/>
      <c r="R11" s="164"/>
      <c r="S11" s="164"/>
      <c r="T11" s="164"/>
      <c r="U11" s="60"/>
      <c r="V11" s="84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</row>
    <row r="12" spans="1:59" s="48" customFormat="1" ht="15" customHeight="1">
      <c r="A12" s="168" t="s">
        <v>185</v>
      </c>
      <c r="B12" s="61"/>
      <c r="C12" s="62"/>
      <c r="D12" s="61"/>
      <c r="E12" s="164"/>
      <c r="F12" s="95"/>
      <c r="G12" s="95"/>
      <c r="H12" s="95"/>
      <c r="I12" s="164"/>
      <c r="J12" s="164"/>
      <c r="K12" s="95"/>
      <c r="L12" s="164"/>
      <c r="M12" s="164"/>
      <c r="N12" s="164"/>
      <c r="O12" s="169"/>
      <c r="P12" s="164"/>
      <c r="Q12" s="164"/>
      <c r="R12" s="164"/>
      <c r="S12" s="164"/>
      <c r="T12" s="164"/>
      <c r="U12" s="60"/>
      <c r="V12" s="84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</row>
    <row r="13" spans="1:59" s="48" customFormat="1" ht="15" customHeight="1">
      <c r="A13" s="168" t="s">
        <v>185</v>
      </c>
      <c r="B13" s="61"/>
      <c r="C13" s="62"/>
      <c r="D13" s="61"/>
      <c r="E13" s="164"/>
      <c r="F13" s="95"/>
      <c r="G13" s="95"/>
      <c r="H13" s="95"/>
      <c r="I13" s="164"/>
      <c r="J13" s="164"/>
      <c r="K13" s="95"/>
      <c r="L13" s="164"/>
      <c r="M13" s="164"/>
      <c r="N13" s="164"/>
      <c r="O13" s="169"/>
      <c r="P13" s="164"/>
      <c r="Q13" s="164"/>
      <c r="R13" s="164"/>
      <c r="S13" s="164"/>
      <c r="T13" s="164"/>
      <c r="U13" s="60"/>
      <c r="V13" s="84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</row>
    <row r="14" spans="1:59" s="48" customFormat="1" ht="15" customHeight="1">
      <c r="A14" s="168" t="s">
        <v>185</v>
      </c>
      <c r="B14" s="61"/>
      <c r="C14" s="62"/>
      <c r="D14" s="61"/>
      <c r="E14" s="164"/>
      <c r="F14" s="60"/>
      <c r="G14" s="60"/>
      <c r="H14" s="60"/>
      <c r="I14" s="164"/>
      <c r="J14" s="164"/>
      <c r="K14" s="60"/>
      <c r="L14" s="164"/>
      <c r="M14" s="164"/>
      <c r="N14" s="164"/>
      <c r="O14" s="169"/>
      <c r="P14" s="164"/>
      <c r="Q14" s="164"/>
      <c r="R14" s="164"/>
      <c r="S14" s="164"/>
      <c r="T14" s="164"/>
      <c r="U14" s="60"/>
      <c r="V14" s="84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</row>
    <row r="15" spans="1:59" s="48" customFormat="1" ht="15" customHeight="1">
      <c r="A15" s="168" t="s">
        <v>185</v>
      </c>
      <c r="B15" s="61"/>
      <c r="C15" s="62"/>
      <c r="D15" s="61"/>
      <c r="E15" s="164"/>
      <c r="F15" s="60"/>
      <c r="G15" s="60"/>
      <c r="H15" s="60"/>
      <c r="I15" s="164"/>
      <c r="J15" s="164"/>
      <c r="K15" s="60"/>
      <c r="L15" s="164"/>
      <c r="M15" s="164"/>
      <c r="N15" s="164"/>
      <c r="O15" s="169"/>
      <c r="P15" s="164"/>
      <c r="Q15" s="164"/>
      <c r="R15" s="164"/>
      <c r="S15" s="164"/>
      <c r="T15" s="164"/>
      <c r="U15" s="60"/>
      <c r="V15" s="84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</row>
    <row r="16" spans="1:59" s="48" customFormat="1" ht="15" customHeight="1">
      <c r="A16" s="168" t="s">
        <v>185</v>
      </c>
      <c r="B16" s="61"/>
      <c r="C16" s="62"/>
      <c r="D16" s="61"/>
      <c r="E16" s="164"/>
      <c r="F16" s="60"/>
      <c r="G16" s="60"/>
      <c r="H16" s="60"/>
      <c r="I16" s="164"/>
      <c r="J16" s="164"/>
      <c r="K16" s="60"/>
      <c r="L16" s="164"/>
      <c r="M16" s="164"/>
      <c r="N16" s="164"/>
      <c r="O16" s="169"/>
      <c r="P16" s="164"/>
      <c r="Q16" s="164"/>
      <c r="R16" s="164"/>
      <c r="S16" s="164"/>
      <c r="T16" s="164"/>
      <c r="U16" s="60"/>
      <c r="V16" s="84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</row>
    <row r="17" spans="1:50" s="48" customFormat="1" ht="15" customHeight="1">
      <c r="A17" s="168" t="s">
        <v>185</v>
      </c>
      <c r="B17" s="61"/>
      <c r="C17" s="62"/>
      <c r="D17" s="61"/>
      <c r="E17" s="164"/>
      <c r="F17" s="99"/>
      <c r="G17" s="99"/>
      <c r="H17" s="99"/>
      <c r="I17" s="164"/>
      <c r="J17" s="164"/>
      <c r="K17" s="99"/>
      <c r="L17" s="164"/>
      <c r="M17" s="164"/>
      <c r="N17" s="164"/>
      <c r="O17" s="169"/>
      <c r="P17" s="164"/>
      <c r="Q17" s="164"/>
      <c r="R17" s="164"/>
      <c r="S17" s="164"/>
      <c r="T17" s="164"/>
      <c r="U17" s="60"/>
      <c r="V17" s="84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</row>
    <row r="18" spans="1:50" s="48" customFormat="1" ht="15" customHeight="1">
      <c r="A18" s="168" t="s">
        <v>185</v>
      </c>
      <c r="B18" s="61"/>
      <c r="C18" s="62"/>
      <c r="D18" s="61"/>
      <c r="E18" s="164"/>
      <c r="F18" s="99"/>
      <c r="G18" s="99"/>
      <c r="H18" s="99"/>
      <c r="I18" s="164"/>
      <c r="J18" s="164"/>
      <c r="K18" s="99"/>
      <c r="L18" s="164"/>
      <c r="M18" s="164"/>
      <c r="N18" s="164"/>
      <c r="O18" s="169"/>
      <c r="P18" s="164"/>
      <c r="Q18" s="164"/>
      <c r="R18" s="164"/>
      <c r="S18" s="164"/>
      <c r="T18" s="164"/>
      <c r="U18" s="60"/>
      <c r="V18" s="84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</row>
    <row r="19" spans="1:50" s="48" customFormat="1" ht="15" customHeight="1">
      <c r="A19" s="168" t="s">
        <v>185</v>
      </c>
      <c r="B19" s="61"/>
      <c r="C19" s="62"/>
      <c r="D19" s="61"/>
      <c r="E19" s="164"/>
      <c r="F19" s="91"/>
      <c r="G19" s="91"/>
      <c r="H19" s="91"/>
      <c r="I19" s="164"/>
      <c r="J19" s="164"/>
      <c r="K19" s="91"/>
      <c r="L19" s="164"/>
      <c r="M19" s="164"/>
      <c r="N19" s="164"/>
      <c r="O19" s="169"/>
      <c r="P19" s="164"/>
      <c r="Q19" s="164"/>
      <c r="R19" s="164"/>
      <c r="S19" s="164"/>
      <c r="T19" s="164"/>
      <c r="U19" s="60"/>
      <c r="V19" s="84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</row>
    <row r="20" spans="1:50" s="48" customFormat="1" ht="15" customHeight="1">
      <c r="A20" s="168" t="s">
        <v>185</v>
      </c>
      <c r="B20" s="61"/>
      <c r="C20" s="62"/>
      <c r="D20" s="61"/>
      <c r="E20" s="164"/>
      <c r="F20" s="60"/>
      <c r="G20" s="60"/>
      <c r="H20" s="60"/>
      <c r="I20" s="164"/>
      <c r="J20" s="164"/>
      <c r="K20" s="60"/>
      <c r="L20" s="164"/>
      <c r="M20" s="164"/>
      <c r="N20" s="164"/>
      <c r="O20" s="169"/>
      <c r="P20" s="164"/>
      <c r="Q20" s="164"/>
      <c r="R20" s="164"/>
      <c r="S20" s="164"/>
      <c r="T20" s="164"/>
      <c r="U20" s="60"/>
      <c r="V20" s="84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</row>
    <row r="21" spans="1:50" s="48" customFormat="1" ht="15" customHeight="1">
      <c r="A21" s="168" t="s">
        <v>185</v>
      </c>
      <c r="B21" s="61"/>
      <c r="C21" s="62"/>
      <c r="D21" s="61"/>
      <c r="E21" s="164"/>
      <c r="F21" s="104"/>
      <c r="G21" s="104"/>
      <c r="H21" s="104"/>
      <c r="I21" s="164"/>
      <c r="J21" s="164"/>
      <c r="K21" s="104"/>
      <c r="L21" s="164"/>
      <c r="M21" s="164"/>
      <c r="N21" s="164"/>
      <c r="O21" s="169"/>
      <c r="P21" s="164"/>
      <c r="Q21" s="164"/>
      <c r="R21" s="164"/>
      <c r="S21" s="164"/>
      <c r="T21" s="164"/>
      <c r="U21" s="60"/>
      <c r="V21" s="84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</row>
    <row r="22" spans="1:50">
      <c r="A22" s="168" t="s">
        <v>185</v>
      </c>
      <c r="B22" s="60"/>
      <c r="C22" s="60"/>
      <c r="D22" s="60"/>
      <c r="E22" s="126"/>
      <c r="F22" s="91"/>
      <c r="G22" s="91"/>
      <c r="H22" s="91"/>
      <c r="I22" s="126">
        <v>0</v>
      </c>
      <c r="J22" s="126">
        <v>0</v>
      </c>
      <c r="K22" s="91"/>
      <c r="L22" s="126">
        <v>0</v>
      </c>
      <c r="M22" s="126">
        <v>0</v>
      </c>
      <c r="N22" s="126">
        <v>0</v>
      </c>
      <c r="O22" s="126">
        <v>0</v>
      </c>
      <c r="P22" s="126">
        <v>0</v>
      </c>
      <c r="Q22" s="126">
        <v>0</v>
      </c>
      <c r="R22" s="126">
        <v>0</v>
      </c>
      <c r="S22" s="126">
        <v>0</v>
      </c>
      <c r="T22" s="172"/>
      <c r="U22" s="60"/>
      <c r="V22" s="173"/>
      <c r="W22" s="60"/>
      <c r="X22" s="60"/>
      <c r="Y22" s="126"/>
      <c r="Z22" s="126"/>
      <c r="AA22" s="126"/>
      <c r="AB22" s="126"/>
      <c r="AC22" s="126"/>
      <c r="AD22" s="126"/>
      <c r="AE22" s="126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</row>
    <row r="23" spans="1:50">
      <c r="A23" s="168" t="s">
        <v>185</v>
      </c>
      <c r="B23" s="60"/>
      <c r="C23" s="60"/>
      <c r="D23" s="60"/>
      <c r="E23" s="126"/>
      <c r="F23" s="91"/>
      <c r="G23" s="91"/>
      <c r="H23" s="91"/>
      <c r="I23" s="126">
        <v>0</v>
      </c>
      <c r="J23" s="126">
        <v>0</v>
      </c>
      <c r="K23" s="91"/>
      <c r="L23" s="126">
        <v>0</v>
      </c>
      <c r="M23" s="126">
        <v>0</v>
      </c>
      <c r="N23" s="126">
        <v>0</v>
      </c>
      <c r="O23" s="126">
        <v>0</v>
      </c>
      <c r="P23" s="126">
        <v>0</v>
      </c>
      <c r="Q23" s="126">
        <v>0</v>
      </c>
      <c r="R23" s="126">
        <v>0</v>
      </c>
      <c r="S23" s="126">
        <v>0</v>
      </c>
      <c r="T23" s="149"/>
      <c r="U23" s="183"/>
      <c r="V23" s="156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</row>
    <row r="24" spans="1:50" ht="15" customHeight="1">
      <c r="A24" s="168" t="s">
        <v>185</v>
      </c>
      <c r="B24" s="60"/>
      <c r="C24" s="60"/>
      <c r="D24" s="60"/>
      <c r="E24" s="126"/>
      <c r="F24" s="91"/>
      <c r="G24" s="91"/>
      <c r="H24" s="91"/>
      <c r="I24" s="126">
        <v>0</v>
      </c>
      <c r="J24" s="126">
        <v>0</v>
      </c>
      <c r="K24" s="91"/>
      <c r="L24" s="126">
        <v>0</v>
      </c>
      <c r="M24" s="126">
        <v>0</v>
      </c>
      <c r="N24" s="126">
        <v>0</v>
      </c>
      <c r="O24" s="126">
        <v>0</v>
      </c>
      <c r="P24" s="126">
        <v>0</v>
      </c>
      <c r="Q24" s="126">
        <v>0</v>
      </c>
      <c r="R24" s="126">
        <v>0</v>
      </c>
      <c r="S24" s="126">
        <v>0</v>
      </c>
      <c r="T24" s="149"/>
      <c r="U24" s="183"/>
      <c r="V24" s="156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</row>
    <row r="25" spans="1:50">
      <c r="A25" s="178" t="s">
        <v>188</v>
      </c>
      <c r="B25" s="72" t="s">
        <v>79</v>
      </c>
      <c r="C25" s="72" t="s">
        <v>189</v>
      </c>
      <c r="D25" s="60"/>
      <c r="E25" s="126"/>
      <c r="F25" s="91"/>
      <c r="G25" s="91"/>
      <c r="H25" s="91"/>
      <c r="I25" s="126">
        <v>0</v>
      </c>
      <c r="J25" s="126">
        <v>0</v>
      </c>
      <c r="K25" s="91"/>
      <c r="L25" s="126">
        <f t="shared" ref="L25:S25" si="0">SUM(L22:L24)</f>
        <v>0</v>
      </c>
      <c r="M25" s="126">
        <f t="shared" si="0"/>
        <v>0</v>
      </c>
      <c r="N25" s="126">
        <f t="shared" si="0"/>
        <v>0</v>
      </c>
      <c r="O25" s="126">
        <f t="shared" si="0"/>
        <v>0</v>
      </c>
      <c r="P25" s="126">
        <f t="shared" si="0"/>
        <v>0</v>
      </c>
      <c r="Q25" s="126">
        <f t="shared" si="0"/>
        <v>0</v>
      </c>
      <c r="R25" s="126">
        <f t="shared" si="0"/>
        <v>0</v>
      </c>
      <c r="S25" s="126">
        <f t="shared" si="0"/>
        <v>0</v>
      </c>
      <c r="T25" s="126"/>
      <c r="U25" s="156"/>
      <c r="V25" s="156"/>
      <c r="W25" s="60"/>
      <c r="X25" s="104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</row>
    <row r="26" spans="1:50" ht="15" customHeight="1">
      <c r="A26" s="164"/>
      <c r="B26" s="60"/>
      <c r="C26" s="60"/>
      <c r="D26" s="60"/>
      <c r="E26" s="126"/>
      <c r="F26" s="91"/>
      <c r="G26" s="91"/>
      <c r="H26" s="91"/>
      <c r="I26" s="126"/>
      <c r="J26" s="126"/>
      <c r="K26" s="91"/>
      <c r="L26" s="126"/>
      <c r="M26" s="126"/>
      <c r="N26" s="126"/>
      <c r="O26" s="126"/>
      <c r="P26" s="126"/>
      <c r="Q26" s="126"/>
      <c r="R26" s="126"/>
      <c r="S26" s="126"/>
      <c r="T26" s="126"/>
      <c r="U26" s="156"/>
      <c r="V26" s="156"/>
      <c r="W26" s="60"/>
      <c r="X26" s="104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</row>
    <row r="27" spans="1:50">
      <c r="A27" s="168" t="s">
        <v>190</v>
      </c>
      <c r="B27" s="72" t="s">
        <v>25</v>
      </c>
      <c r="C27" s="72" t="s">
        <v>191</v>
      </c>
      <c r="D27" s="60"/>
      <c r="E27" s="126"/>
      <c r="F27" s="91"/>
      <c r="G27" s="91"/>
      <c r="H27" s="91"/>
      <c r="I27" s="171">
        <v>0</v>
      </c>
      <c r="J27" s="171">
        <v>0</v>
      </c>
      <c r="K27" s="91"/>
      <c r="L27" s="171">
        <v>0</v>
      </c>
      <c r="M27" s="171">
        <v>0</v>
      </c>
      <c r="N27" s="171">
        <v>0</v>
      </c>
      <c r="O27" s="171">
        <v>0</v>
      </c>
      <c r="P27" s="171">
        <v>0</v>
      </c>
      <c r="Q27" s="171">
        <v>0</v>
      </c>
      <c r="R27" s="171">
        <v>0</v>
      </c>
      <c r="S27" s="171">
        <v>0</v>
      </c>
      <c r="T27" s="172"/>
      <c r="U27" s="156"/>
      <c r="V27" s="156"/>
      <c r="W27" s="110"/>
      <c r="X27" s="110"/>
      <c r="Y27" s="110"/>
      <c r="Z27" s="110"/>
      <c r="AA27" s="110"/>
      <c r="AB27" s="110"/>
      <c r="AC27" s="110"/>
      <c r="AD27" s="110"/>
      <c r="AE27" s="11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</row>
    <row r="28" spans="1:50" ht="15" customHeight="1">
      <c r="A28" s="100" t="s">
        <v>192</v>
      </c>
      <c r="B28" s="72" t="s">
        <v>25</v>
      </c>
      <c r="C28" s="72" t="s">
        <v>193</v>
      </c>
      <c r="D28" s="60"/>
      <c r="E28" s="126"/>
      <c r="F28" s="91"/>
      <c r="G28" s="91"/>
      <c r="H28" s="91"/>
      <c r="I28" s="171">
        <v>0</v>
      </c>
      <c r="J28" s="171">
        <v>0</v>
      </c>
      <c r="K28" s="91"/>
      <c r="L28" s="171">
        <v>0</v>
      </c>
      <c r="M28" s="171">
        <v>0</v>
      </c>
      <c r="N28" s="171">
        <v>0</v>
      </c>
      <c r="O28" s="171">
        <v>0</v>
      </c>
      <c r="P28" s="171">
        <v>0</v>
      </c>
      <c r="Q28" s="171">
        <v>0</v>
      </c>
      <c r="R28" s="171">
        <v>0</v>
      </c>
      <c r="S28" s="171">
        <v>0</v>
      </c>
      <c r="T28" s="60"/>
      <c r="U28" s="156"/>
      <c r="V28" s="156"/>
      <c r="W28" s="110"/>
      <c r="X28" s="110"/>
      <c r="Y28" s="110"/>
      <c r="Z28" s="110"/>
      <c r="AA28" s="110"/>
      <c r="AB28" s="110"/>
      <c r="AC28" s="110"/>
      <c r="AD28" s="110"/>
      <c r="AE28" s="11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</row>
    <row r="29" spans="1:50">
      <c r="A29" s="168" t="s">
        <v>194</v>
      </c>
      <c r="B29" s="72" t="s">
        <v>79</v>
      </c>
      <c r="C29" s="72" t="s">
        <v>195</v>
      </c>
      <c r="D29" s="60"/>
      <c r="E29" s="126"/>
      <c r="F29" s="91"/>
      <c r="G29" s="91"/>
      <c r="H29" s="91"/>
      <c r="I29" s="126">
        <v>0</v>
      </c>
      <c r="J29" s="126">
        <v>0</v>
      </c>
      <c r="K29" s="91"/>
      <c r="L29" s="126">
        <f>+L27+E29+L28</f>
        <v>0</v>
      </c>
      <c r="M29" s="126">
        <f t="shared" ref="M29:S29" si="1">+M27+L29+M28</f>
        <v>0</v>
      </c>
      <c r="N29" s="126">
        <f t="shared" si="1"/>
        <v>0</v>
      </c>
      <c r="O29" s="126">
        <f t="shared" si="1"/>
        <v>0</v>
      </c>
      <c r="P29" s="126">
        <f t="shared" si="1"/>
        <v>0</v>
      </c>
      <c r="Q29" s="126">
        <f t="shared" si="1"/>
        <v>0</v>
      </c>
      <c r="R29" s="126">
        <f t="shared" si="1"/>
        <v>0</v>
      </c>
      <c r="S29" s="126">
        <f t="shared" si="1"/>
        <v>0</v>
      </c>
      <c r="T29" s="60"/>
      <c r="U29" s="156"/>
      <c r="V29" s="156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</row>
    <row r="30" spans="1:50">
      <c r="A30" s="60"/>
      <c r="B30" s="60"/>
      <c r="C30" s="60"/>
      <c r="D30" s="60"/>
      <c r="E30" s="60"/>
      <c r="F30" s="91"/>
      <c r="G30" s="91"/>
      <c r="H30" s="91"/>
      <c r="I30" s="60"/>
      <c r="J30" s="60"/>
      <c r="K30" s="91"/>
      <c r="L30" s="60"/>
      <c r="M30" s="60"/>
      <c r="N30" s="60"/>
      <c r="O30" s="60"/>
      <c r="P30" s="60"/>
      <c r="Q30" s="60"/>
      <c r="R30" s="60"/>
      <c r="S30" s="60"/>
      <c r="T30" s="60"/>
      <c r="U30" s="156"/>
      <c r="V30" s="156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</row>
    <row r="31" spans="1:50">
      <c r="A31" s="168" t="s">
        <v>196</v>
      </c>
      <c r="B31" s="72" t="s">
        <v>79</v>
      </c>
      <c r="C31" s="72" t="s">
        <v>197</v>
      </c>
      <c r="D31" s="60"/>
      <c r="E31" s="182"/>
      <c r="F31" s="91"/>
      <c r="G31" s="91"/>
      <c r="H31" s="91"/>
      <c r="I31" s="182">
        <v>0</v>
      </c>
      <c r="J31" s="182">
        <v>0</v>
      </c>
      <c r="K31" s="91"/>
      <c r="L31" s="182">
        <f t="shared" ref="L31:S31" si="2">+L25+L27</f>
        <v>0</v>
      </c>
      <c r="M31" s="182">
        <f t="shared" si="2"/>
        <v>0</v>
      </c>
      <c r="N31" s="182">
        <f t="shared" si="2"/>
        <v>0</v>
      </c>
      <c r="O31" s="182">
        <f t="shared" si="2"/>
        <v>0</v>
      </c>
      <c r="P31" s="182">
        <f t="shared" si="2"/>
        <v>0</v>
      </c>
      <c r="Q31" s="182">
        <f t="shared" si="2"/>
        <v>0</v>
      </c>
      <c r="R31" s="182">
        <f t="shared" si="2"/>
        <v>0</v>
      </c>
      <c r="S31" s="182">
        <f t="shared" si="2"/>
        <v>0</v>
      </c>
      <c r="T31" s="60"/>
      <c r="U31" s="156"/>
      <c r="V31" s="156"/>
      <c r="W31" s="60"/>
      <c r="X31" s="60"/>
      <c r="Y31" s="60"/>
      <c r="Z31" s="110"/>
      <c r="AA31" s="110"/>
      <c r="AB31" s="110"/>
      <c r="AC31" s="110"/>
      <c r="AD31" s="110"/>
      <c r="AE31" s="11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</row>
    <row r="32" spans="1:50">
      <c r="A32" s="168" t="s">
        <v>198</v>
      </c>
      <c r="B32" s="72" t="s">
        <v>79</v>
      </c>
      <c r="C32" s="72" t="s">
        <v>199</v>
      </c>
      <c r="D32" s="60"/>
      <c r="E32" s="182"/>
      <c r="F32" s="91"/>
      <c r="G32" s="91"/>
      <c r="H32" s="91"/>
      <c r="I32" s="182">
        <v>0</v>
      </c>
      <c r="J32" s="182">
        <v>0</v>
      </c>
      <c r="K32" s="91"/>
      <c r="L32" s="182">
        <f t="shared" ref="L32:S32" si="3">+L28+L31</f>
        <v>0</v>
      </c>
      <c r="M32" s="182">
        <f t="shared" si="3"/>
        <v>0</v>
      </c>
      <c r="N32" s="182">
        <f t="shared" si="3"/>
        <v>0</v>
      </c>
      <c r="O32" s="182">
        <f t="shared" si="3"/>
        <v>0</v>
      </c>
      <c r="P32" s="182">
        <f t="shared" si="3"/>
        <v>0</v>
      </c>
      <c r="Q32" s="182">
        <f t="shared" si="3"/>
        <v>0</v>
      </c>
      <c r="R32" s="182">
        <f t="shared" si="3"/>
        <v>0</v>
      </c>
      <c r="S32" s="182">
        <f t="shared" si="3"/>
        <v>0</v>
      </c>
      <c r="T32" s="60"/>
      <c r="U32" s="156"/>
      <c r="V32" s="156"/>
      <c r="W32" s="60"/>
      <c r="X32" s="60"/>
      <c r="Y32" s="60"/>
      <c r="Z32" s="110"/>
      <c r="AA32" s="110"/>
      <c r="AB32" s="110"/>
      <c r="AC32" s="110"/>
      <c r="AD32" s="110"/>
      <c r="AE32" s="11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</row>
    <row r="33" spans="1:54">
      <c r="A33" s="60"/>
      <c r="B33" s="60"/>
      <c r="C33" s="60"/>
      <c r="D33" s="60"/>
      <c r="E33" s="126"/>
      <c r="F33" s="99"/>
      <c r="G33" s="99"/>
      <c r="H33" s="99"/>
      <c r="I33" s="126"/>
      <c r="J33" s="126"/>
      <c r="K33" s="99"/>
      <c r="L33" s="126"/>
      <c r="M33" s="126"/>
      <c r="N33" s="126"/>
      <c r="O33" s="126"/>
      <c r="P33" s="126"/>
      <c r="Q33" s="126"/>
      <c r="R33" s="126"/>
      <c r="S33" s="126"/>
      <c r="T33" s="126"/>
      <c r="U33" s="156"/>
      <c r="V33" s="156"/>
      <c r="W33" s="60"/>
      <c r="X33" s="60"/>
      <c r="Y33" s="60"/>
      <c r="Z33" s="110"/>
      <c r="AA33" s="110"/>
      <c r="AB33" s="110"/>
      <c r="AC33" s="110"/>
      <c r="AD33" s="110"/>
      <c r="AE33" s="11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</row>
    <row r="34" spans="1:54" ht="15" customHeight="1">
      <c r="A34" s="168" t="s">
        <v>200</v>
      </c>
      <c r="B34" s="60"/>
      <c r="C34" s="72" t="s">
        <v>296</v>
      </c>
      <c r="D34" s="60"/>
      <c r="E34" s="126"/>
      <c r="F34" s="91"/>
      <c r="G34" s="91"/>
      <c r="H34" s="91"/>
      <c r="I34" s="126"/>
      <c r="J34" s="126"/>
      <c r="K34" s="91"/>
      <c r="L34" s="126"/>
      <c r="M34" s="126"/>
      <c r="N34" s="60"/>
      <c r="O34" s="60"/>
      <c r="P34" s="126"/>
      <c r="Q34" s="184"/>
      <c r="R34" s="184"/>
      <c r="S34" s="184"/>
      <c r="T34" s="126"/>
      <c r="U34" s="156"/>
      <c r="V34" s="156"/>
      <c r="W34" s="110"/>
      <c r="X34" s="110"/>
      <c r="Y34" s="110"/>
      <c r="Z34" s="110"/>
      <c r="AA34" s="110"/>
      <c r="AB34" s="110"/>
      <c r="AC34" s="110"/>
      <c r="AD34" s="110"/>
      <c r="AE34" s="11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</row>
    <row r="35" spans="1:54">
      <c r="A35" s="194" t="s">
        <v>201</v>
      </c>
      <c r="B35" s="72" t="s">
        <v>25</v>
      </c>
      <c r="C35" s="222" t="s">
        <v>297</v>
      </c>
      <c r="D35" s="222" t="s">
        <v>169</v>
      </c>
      <c r="E35" s="126"/>
      <c r="F35" s="60"/>
      <c r="G35" s="60"/>
      <c r="H35" s="60"/>
      <c r="I35" s="171">
        <v>0</v>
      </c>
      <c r="J35" s="171">
        <v>15000</v>
      </c>
      <c r="K35" s="60"/>
      <c r="L35" s="171">
        <v>0</v>
      </c>
      <c r="M35" s="171">
        <v>0</v>
      </c>
      <c r="N35" s="171">
        <v>0</v>
      </c>
      <c r="O35" s="171">
        <v>0</v>
      </c>
      <c r="P35" s="171">
        <f t="shared" ref="P35:S36" si="4">60000/4</f>
        <v>15000</v>
      </c>
      <c r="Q35" s="171">
        <f t="shared" si="4"/>
        <v>15000</v>
      </c>
      <c r="R35" s="171">
        <f t="shared" si="4"/>
        <v>15000</v>
      </c>
      <c r="S35" s="171">
        <f t="shared" si="4"/>
        <v>15000</v>
      </c>
      <c r="T35" s="72"/>
      <c r="U35" s="156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</row>
    <row r="36" spans="1:54">
      <c r="A36" s="194" t="s">
        <v>298</v>
      </c>
      <c r="B36" s="72" t="s">
        <v>25</v>
      </c>
      <c r="C36" s="222" t="s">
        <v>297</v>
      </c>
      <c r="D36" s="72" t="s">
        <v>174</v>
      </c>
      <c r="E36" s="126"/>
      <c r="F36" s="116"/>
      <c r="G36" s="116"/>
      <c r="H36" s="116"/>
      <c r="I36" s="171">
        <v>0</v>
      </c>
      <c r="J36" s="171">
        <v>15000</v>
      </c>
      <c r="K36" s="116"/>
      <c r="L36" s="171">
        <v>0</v>
      </c>
      <c r="M36" s="171">
        <v>0</v>
      </c>
      <c r="N36" s="171">
        <v>0</v>
      </c>
      <c r="O36" s="171">
        <v>0</v>
      </c>
      <c r="P36" s="171">
        <f t="shared" si="4"/>
        <v>15000</v>
      </c>
      <c r="Q36" s="171">
        <f t="shared" si="4"/>
        <v>15000</v>
      </c>
      <c r="R36" s="171">
        <f t="shared" si="4"/>
        <v>15000</v>
      </c>
      <c r="S36" s="171">
        <f t="shared" si="4"/>
        <v>15000</v>
      </c>
      <c r="T36" s="60"/>
      <c r="U36" s="156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</row>
    <row r="37" spans="1:54">
      <c r="A37" s="194" t="s">
        <v>204</v>
      </c>
      <c r="B37" s="72" t="s">
        <v>25</v>
      </c>
      <c r="C37" s="222" t="s">
        <v>297</v>
      </c>
      <c r="D37" s="72" t="s">
        <v>177</v>
      </c>
      <c r="E37" s="126"/>
      <c r="F37" s="116"/>
      <c r="G37" s="116"/>
      <c r="H37" s="116"/>
      <c r="I37" s="171">
        <v>0</v>
      </c>
      <c r="J37" s="171">
        <v>0</v>
      </c>
      <c r="K37" s="116"/>
      <c r="L37" s="171">
        <v>0</v>
      </c>
      <c r="M37" s="171">
        <v>0</v>
      </c>
      <c r="N37" s="171">
        <v>0</v>
      </c>
      <c r="O37" s="171">
        <v>0</v>
      </c>
      <c r="P37" s="171">
        <v>0</v>
      </c>
      <c r="Q37" s="171">
        <v>0</v>
      </c>
      <c r="R37" s="171">
        <v>0</v>
      </c>
      <c r="S37" s="171">
        <v>0</v>
      </c>
      <c r="T37" s="60"/>
      <c r="U37" s="156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</row>
    <row r="38" spans="1:54">
      <c r="A38" s="194" t="s">
        <v>181</v>
      </c>
      <c r="B38" s="72" t="s">
        <v>25</v>
      </c>
      <c r="C38" s="222" t="s">
        <v>297</v>
      </c>
      <c r="D38" s="72" t="s">
        <v>182</v>
      </c>
      <c r="E38" s="126"/>
      <c r="F38" s="116"/>
      <c r="G38" s="116"/>
      <c r="H38" s="116"/>
      <c r="I38" s="171">
        <v>0</v>
      </c>
      <c r="J38" s="171">
        <v>0</v>
      </c>
      <c r="K38" s="116"/>
      <c r="L38" s="171">
        <v>0</v>
      </c>
      <c r="M38" s="171">
        <v>0</v>
      </c>
      <c r="N38" s="171">
        <v>0</v>
      </c>
      <c r="O38" s="171">
        <v>0</v>
      </c>
      <c r="P38" s="171">
        <v>0</v>
      </c>
      <c r="Q38" s="171">
        <v>0</v>
      </c>
      <c r="R38" s="171">
        <v>0</v>
      </c>
      <c r="S38" s="171">
        <v>0</v>
      </c>
      <c r="T38" s="60"/>
      <c r="U38" s="156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</row>
    <row r="39" spans="1:54">
      <c r="A39" s="194" t="s">
        <v>205</v>
      </c>
      <c r="B39" s="72" t="s">
        <v>25</v>
      </c>
      <c r="C39" s="222" t="s">
        <v>297</v>
      </c>
      <c r="D39" s="72" t="s">
        <v>180</v>
      </c>
      <c r="E39" s="126"/>
      <c r="F39" s="116"/>
      <c r="G39" s="116"/>
      <c r="H39" s="116"/>
      <c r="I39" s="171">
        <v>0</v>
      </c>
      <c r="J39" s="171">
        <v>0</v>
      </c>
      <c r="K39" s="116"/>
      <c r="L39" s="171">
        <v>0</v>
      </c>
      <c r="M39" s="171">
        <v>0</v>
      </c>
      <c r="N39" s="171">
        <v>0</v>
      </c>
      <c r="O39" s="171">
        <v>0</v>
      </c>
      <c r="P39" s="171">
        <v>0</v>
      </c>
      <c r="Q39" s="171">
        <f>+P39</f>
        <v>0</v>
      </c>
      <c r="R39" s="171">
        <f>+Q39</f>
        <v>0</v>
      </c>
      <c r="S39" s="171">
        <f>+R39</f>
        <v>0</v>
      </c>
      <c r="T39" s="60"/>
      <c r="U39" s="156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</row>
    <row r="40" spans="1:54" s="48" customFormat="1">
      <c r="A40" s="168" t="s">
        <v>185</v>
      </c>
      <c r="B40" s="61"/>
      <c r="C40" s="62"/>
      <c r="D40" s="61"/>
      <c r="E40" s="126"/>
      <c r="F40" s="91"/>
      <c r="G40" s="91"/>
      <c r="H40" s="91"/>
      <c r="I40" s="126"/>
      <c r="J40" s="126"/>
      <c r="K40" s="91"/>
      <c r="L40" s="126"/>
      <c r="M40" s="126"/>
      <c r="N40" s="126"/>
      <c r="O40" s="126"/>
      <c r="P40" s="126"/>
      <c r="Q40" s="126"/>
      <c r="R40" s="126"/>
      <c r="S40" s="126"/>
      <c r="T40" s="60"/>
      <c r="U40" s="156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</row>
    <row r="41" spans="1:54" s="48" customFormat="1">
      <c r="A41" s="168" t="s">
        <v>185</v>
      </c>
      <c r="B41" s="61"/>
      <c r="C41" s="62"/>
      <c r="D41" s="61"/>
      <c r="E41" s="126"/>
      <c r="F41" s="116"/>
      <c r="G41" s="116"/>
      <c r="H41" s="116"/>
      <c r="I41" s="126"/>
      <c r="J41" s="126"/>
      <c r="K41" s="116"/>
      <c r="L41" s="126"/>
      <c r="M41" s="126"/>
      <c r="N41" s="126"/>
      <c r="O41" s="126"/>
      <c r="P41" s="126"/>
      <c r="Q41" s="126"/>
      <c r="R41" s="126"/>
      <c r="S41" s="126"/>
      <c r="T41" s="60"/>
      <c r="U41" s="156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</row>
    <row r="42" spans="1:54" s="48" customFormat="1">
      <c r="A42" s="168" t="s">
        <v>185</v>
      </c>
      <c r="B42" s="61"/>
      <c r="C42" s="62"/>
      <c r="D42" s="61"/>
      <c r="E42" s="126"/>
      <c r="F42" s="116"/>
      <c r="G42" s="116"/>
      <c r="H42" s="116"/>
      <c r="I42" s="126"/>
      <c r="J42" s="126"/>
      <c r="K42" s="116"/>
      <c r="L42" s="126"/>
      <c r="M42" s="126"/>
      <c r="N42" s="126"/>
      <c r="O42" s="126"/>
      <c r="P42" s="126"/>
      <c r="Q42" s="126"/>
      <c r="R42" s="126"/>
      <c r="S42" s="126"/>
      <c r="T42" s="60"/>
      <c r="U42" s="156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</row>
    <row r="43" spans="1:54" s="48" customFormat="1">
      <c r="A43" s="168" t="s">
        <v>185</v>
      </c>
      <c r="B43" s="61"/>
      <c r="C43" s="62"/>
      <c r="D43" s="61"/>
      <c r="E43" s="126"/>
      <c r="F43" s="116"/>
      <c r="G43" s="116"/>
      <c r="H43" s="116"/>
      <c r="I43" s="126"/>
      <c r="J43" s="126"/>
      <c r="K43" s="116"/>
      <c r="L43" s="126"/>
      <c r="M43" s="126"/>
      <c r="N43" s="126"/>
      <c r="O43" s="126"/>
      <c r="P43" s="126"/>
      <c r="Q43" s="126"/>
      <c r="R43" s="126"/>
      <c r="S43" s="126"/>
      <c r="T43" s="60"/>
      <c r="U43" s="156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</row>
    <row r="44" spans="1:54" s="48" customFormat="1">
      <c r="A44" s="168" t="s">
        <v>185</v>
      </c>
      <c r="B44" s="61"/>
      <c r="C44" s="62"/>
      <c r="D44" s="61"/>
      <c r="E44" s="126"/>
      <c r="F44" s="116"/>
      <c r="G44" s="116"/>
      <c r="H44" s="116"/>
      <c r="I44" s="126"/>
      <c r="J44" s="126"/>
      <c r="K44" s="116"/>
      <c r="L44" s="126"/>
      <c r="M44" s="126"/>
      <c r="N44" s="126"/>
      <c r="O44" s="126"/>
      <c r="P44" s="126"/>
      <c r="Q44" s="126"/>
      <c r="R44" s="126"/>
      <c r="S44" s="126"/>
      <c r="T44" s="60"/>
      <c r="U44" s="156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</row>
    <row r="45" spans="1:54" ht="15" customHeight="1">
      <c r="A45" s="194" t="s">
        <v>183</v>
      </c>
      <c r="B45" s="72" t="s">
        <v>25</v>
      </c>
      <c r="C45" s="222" t="s">
        <v>297</v>
      </c>
      <c r="D45" s="72" t="s">
        <v>184</v>
      </c>
      <c r="E45" s="126"/>
      <c r="F45" s="116"/>
      <c r="G45" s="116"/>
      <c r="H45" s="116"/>
      <c r="I45" s="171"/>
      <c r="J45" s="171"/>
      <c r="K45" s="116"/>
      <c r="L45" s="171"/>
      <c r="M45" s="171"/>
      <c r="N45" s="171"/>
      <c r="O45" s="171"/>
      <c r="P45" s="171"/>
      <c r="Q45" s="171"/>
      <c r="R45" s="171"/>
      <c r="S45" s="171"/>
      <c r="T45" s="60"/>
      <c r="U45" s="156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</row>
    <row r="46" spans="1:54" s="11" customFormat="1">
      <c r="A46" s="178" t="s">
        <v>299</v>
      </c>
      <c r="B46" s="159" t="s">
        <v>79</v>
      </c>
      <c r="C46" s="157" t="s">
        <v>208</v>
      </c>
      <c r="D46" s="61"/>
      <c r="E46" s="126"/>
      <c r="F46" s="116"/>
      <c r="G46" s="116"/>
      <c r="H46" s="116"/>
      <c r="I46" s="126">
        <v>0</v>
      </c>
      <c r="J46" s="126">
        <v>30000</v>
      </c>
      <c r="K46" s="116"/>
      <c r="L46" s="126">
        <f t="shared" ref="L46:S46" si="5">SUM(L35:L45)</f>
        <v>0</v>
      </c>
      <c r="M46" s="126">
        <f t="shared" si="5"/>
        <v>0</v>
      </c>
      <c r="N46" s="126">
        <f t="shared" si="5"/>
        <v>0</v>
      </c>
      <c r="O46" s="126">
        <f t="shared" si="5"/>
        <v>0</v>
      </c>
      <c r="P46" s="126">
        <f t="shared" si="5"/>
        <v>30000</v>
      </c>
      <c r="Q46" s="126">
        <f t="shared" si="5"/>
        <v>30000</v>
      </c>
      <c r="R46" s="126">
        <f t="shared" si="5"/>
        <v>30000</v>
      </c>
      <c r="S46" s="126">
        <f t="shared" si="5"/>
        <v>30000</v>
      </c>
      <c r="T46" s="126"/>
      <c r="U46" s="60"/>
      <c r="V46" s="60"/>
      <c r="W46" s="60"/>
      <c r="X46" s="60"/>
      <c r="Y46" s="60"/>
      <c r="Z46" s="60"/>
      <c r="AA46" s="60"/>
      <c r="AB46" s="118"/>
      <c r="AC46" s="118"/>
      <c r="AD46" s="118"/>
      <c r="AE46" s="118"/>
      <c r="AF46" s="118"/>
      <c r="AG46" s="118"/>
      <c r="AH46" s="118"/>
      <c r="AI46" s="60"/>
      <c r="AJ46" s="118"/>
      <c r="AK46" s="118"/>
      <c r="AL46" s="118"/>
      <c r="AM46" s="118"/>
      <c r="AN46" s="118"/>
      <c r="AO46" s="118"/>
      <c r="AP46" s="118"/>
      <c r="AQ46" s="60"/>
      <c r="AR46" s="60"/>
      <c r="AS46" s="60"/>
      <c r="AT46" s="60"/>
      <c r="AU46" s="60"/>
      <c r="AV46" s="60"/>
      <c r="AW46" s="60"/>
      <c r="AX46" s="60"/>
    </row>
    <row r="47" spans="1:54" ht="15" customHeight="1">
      <c r="A47" s="60"/>
      <c r="B47" s="60"/>
      <c r="C47" s="60"/>
      <c r="D47" s="60"/>
      <c r="E47" s="126"/>
      <c r="F47" s="116"/>
      <c r="G47" s="116"/>
      <c r="H47" s="116"/>
      <c r="I47" s="126"/>
      <c r="J47" s="126"/>
      <c r="K47" s="116"/>
      <c r="L47" s="126"/>
      <c r="M47" s="126"/>
      <c r="N47" s="126"/>
      <c r="O47" s="126"/>
      <c r="P47" s="126"/>
      <c r="Q47" s="126"/>
      <c r="R47" s="126"/>
      <c r="S47" s="126"/>
      <c r="T47" s="126"/>
      <c r="U47" s="156"/>
      <c r="V47" s="156"/>
      <c r="W47" s="60"/>
      <c r="X47" s="60"/>
      <c r="Y47" s="60"/>
      <c r="Z47" s="110"/>
      <c r="AA47" s="110"/>
      <c r="AB47" s="110"/>
      <c r="AC47" s="110"/>
      <c r="AD47" s="110"/>
      <c r="AE47" s="11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</row>
    <row r="48" spans="1:54">
      <c r="A48" s="195" t="s">
        <v>190</v>
      </c>
      <c r="B48" s="72" t="s">
        <v>25</v>
      </c>
      <c r="C48" s="72" t="s">
        <v>209</v>
      </c>
      <c r="D48" s="60"/>
      <c r="E48" s="126"/>
      <c r="F48" s="126"/>
      <c r="G48" s="126"/>
      <c r="H48" s="126"/>
      <c r="I48" s="171"/>
      <c r="J48" s="171"/>
      <c r="K48" s="126"/>
      <c r="L48" s="171">
        <f>-L36</f>
        <v>0</v>
      </c>
      <c r="M48" s="171"/>
      <c r="N48" s="171"/>
      <c r="O48" s="171"/>
      <c r="P48" s="171"/>
      <c r="Q48" s="171"/>
      <c r="R48" s="171"/>
      <c r="S48" s="171"/>
      <c r="T48" s="157"/>
      <c r="U48" s="156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196"/>
      <c r="AG48" s="196"/>
      <c r="AH48" s="196"/>
      <c r="AI48" s="196"/>
      <c r="AJ48" s="197"/>
      <c r="AK48" s="313"/>
      <c r="AO48" s="314"/>
      <c r="AP48" s="314"/>
      <c r="AQ48" s="314"/>
      <c r="AR48" s="314"/>
      <c r="AS48" s="314"/>
      <c r="AT48" s="314"/>
      <c r="AV48" s="314"/>
      <c r="AW48" s="314"/>
      <c r="AX48" s="314"/>
      <c r="AY48" s="314"/>
      <c r="AZ48" s="314"/>
      <c r="BA48" s="314"/>
      <c r="BB48" s="314"/>
    </row>
    <row r="49" spans="1:50" ht="15" customHeight="1">
      <c r="A49" s="195" t="s">
        <v>292</v>
      </c>
      <c r="B49" s="72" t="s">
        <v>25</v>
      </c>
      <c r="C49" s="72" t="s">
        <v>211</v>
      </c>
      <c r="D49" s="60"/>
      <c r="E49" s="126"/>
      <c r="F49" s="126"/>
      <c r="G49" s="126"/>
      <c r="H49" s="126"/>
      <c r="I49" s="171"/>
      <c r="J49" s="171"/>
      <c r="K49" s="126"/>
      <c r="L49" s="171"/>
      <c r="M49" s="171"/>
      <c r="N49" s="171"/>
      <c r="O49" s="171"/>
      <c r="P49" s="171"/>
      <c r="Q49" s="171"/>
      <c r="R49" s="171"/>
      <c r="S49" s="171"/>
      <c r="T49" s="62"/>
      <c r="U49" s="156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196"/>
      <c r="AG49" s="196"/>
      <c r="AH49" s="196"/>
      <c r="AI49" s="196"/>
      <c r="AJ49" s="197"/>
      <c r="AK49" s="84"/>
      <c r="AL49" s="84"/>
      <c r="AM49" s="84"/>
      <c r="AN49" s="84"/>
      <c r="AO49" s="84"/>
      <c r="AP49" s="84"/>
      <c r="AQ49" s="60"/>
      <c r="AR49" s="84"/>
      <c r="AS49" s="84"/>
      <c r="AT49" s="84"/>
      <c r="AU49" s="84"/>
      <c r="AV49" s="84"/>
      <c r="AW49" s="84"/>
      <c r="AX49" s="84"/>
    </row>
    <row r="50" spans="1:50">
      <c r="A50" s="168" t="s">
        <v>212</v>
      </c>
      <c r="B50" s="72" t="s">
        <v>79</v>
      </c>
      <c r="C50" s="72" t="s">
        <v>213</v>
      </c>
      <c r="D50" s="60"/>
      <c r="E50" s="126"/>
      <c r="F50" s="126"/>
      <c r="G50" s="126"/>
      <c r="H50" s="126"/>
      <c r="I50" s="126">
        <v>0</v>
      </c>
      <c r="J50" s="126">
        <v>0</v>
      </c>
      <c r="K50" s="126"/>
      <c r="L50" s="126">
        <f>+L48+E50+L49</f>
        <v>0</v>
      </c>
      <c r="M50" s="126">
        <f t="shared" ref="M50:S50" si="6">+M48+L50+M49</f>
        <v>0</v>
      </c>
      <c r="N50" s="126">
        <f t="shared" si="6"/>
        <v>0</v>
      </c>
      <c r="O50" s="126">
        <f t="shared" si="6"/>
        <v>0</v>
      </c>
      <c r="P50" s="126">
        <f t="shared" si="6"/>
        <v>0</v>
      </c>
      <c r="Q50" s="126">
        <f t="shared" si="6"/>
        <v>0</v>
      </c>
      <c r="R50" s="126">
        <f t="shared" si="6"/>
        <v>0</v>
      </c>
      <c r="S50" s="126">
        <f t="shared" si="6"/>
        <v>0</v>
      </c>
      <c r="T50" s="126"/>
      <c r="U50" s="156"/>
      <c r="V50" s="156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</row>
    <row r="51" spans="1:50">
      <c r="A51" s="60"/>
      <c r="B51" s="60"/>
      <c r="C51" s="60"/>
      <c r="D51" s="60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56"/>
      <c r="V51" s="156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</row>
    <row r="52" spans="1:50" s="11" customFormat="1">
      <c r="A52" s="168" t="s">
        <v>214</v>
      </c>
      <c r="B52" s="159" t="s">
        <v>79</v>
      </c>
      <c r="C52" s="157" t="s">
        <v>215</v>
      </c>
      <c r="D52" s="61"/>
      <c r="E52" s="186"/>
      <c r="F52" s="126"/>
      <c r="G52" s="126"/>
      <c r="H52" s="126"/>
      <c r="I52" s="186">
        <v>0</v>
      </c>
      <c r="J52" s="186">
        <v>30000</v>
      </c>
      <c r="K52" s="126"/>
      <c r="L52" s="186">
        <f t="shared" ref="L52:S52" si="7">+L46+L48</f>
        <v>0</v>
      </c>
      <c r="M52" s="182">
        <f t="shared" si="7"/>
        <v>0</v>
      </c>
      <c r="N52" s="182">
        <f t="shared" si="7"/>
        <v>0</v>
      </c>
      <c r="O52" s="182">
        <f t="shared" si="7"/>
        <v>0</v>
      </c>
      <c r="P52" s="182">
        <f t="shared" si="7"/>
        <v>30000</v>
      </c>
      <c r="Q52" s="182">
        <f t="shared" si="7"/>
        <v>30000</v>
      </c>
      <c r="R52" s="182">
        <f t="shared" si="7"/>
        <v>30000</v>
      </c>
      <c r="S52" s="182">
        <f t="shared" si="7"/>
        <v>30000</v>
      </c>
      <c r="T52" s="126"/>
      <c r="U52" s="60"/>
      <c r="V52" s="60"/>
      <c r="W52" s="60"/>
      <c r="X52" s="60"/>
      <c r="Y52" s="60"/>
      <c r="Z52" s="60"/>
      <c r="AA52" s="60"/>
      <c r="AB52" s="118"/>
      <c r="AC52" s="118"/>
      <c r="AD52" s="118"/>
      <c r="AE52" s="118"/>
      <c r="AF52" s="118"/>
      <c r="AG52" s="118"/>
      <c r="AH52" s="118"/>
      <c r="AI52" s="60"/>
      <c r="AJ52" s="118"/>
      <c r="AK52" s="118"/>
      <c r="AL52" s="118"/>
      <c r="AM52" s="118"/>
      <c r="AN52" s="118"/>
      <c r="AO52" s="118"/>
      <c r="AP52" s="118"/>
      <c r="AQ52" s="60"/>
      <c r="AR52" s="60"/>
      <c r="AS52" s="60"/>
      <c r="AT52" s="60"/>
      <c r="AU52" s="60"/>
      <c r="AV52" s="60"/>
      <c r="AW52" s="60"/>
      <c r="AX52" s="60"/>
    </row>
    <row r="53" spans="1:50" s="11" customFormat="1">
      <c r="A53" s="168" t="s">
        <v>216</v>
      </c>
      <c r="B53" s="159" t="s">
        <v>79</v>
      </c>
      <c r="C53" s="157" t="s">
        <v>217</v>
      </c>
      <c r="D53" s="61"/>
      <c r="E53" s="182"/>
      <c r="F53" s="60"/>
      <c r="G53" s="60"/>
      <c r="H53" s="60"/>
      <c r="I53" s="182">
        <v>0</v>
      </c>
      <c r="J53" s="182">
        <v>30000</v>
      </c>
      <c r="K53" s="60"/>
      <c r="L53" s="182">
        <f t="shared" ref="L53:S53" si="8">+L49+L52</f>
        <v>0</v>
      </c>
      <c r="M53" s="182">
        <f t="shared" si="8"/>
        <v>0</v>
      </c>
      <c r="N53" s="182">
        <f t="shared" si="8"/>
        <v>0</v>
      </c>
      <c r="O53" s="182">
        <f t="shared" si="8"/>
        <v>0</v>
      </c>
      <c r="P53" s="182">
        <f t="shared" si="8"/>
        <v>30000</v>
      </c>
      <c r="Q53" s="182">
        <f t="shared" si="8"/>
        <v>30000</v>
      </c>
      <c r="R53" s="182">
        <f t="shared" si="8"/>
        <v>30000</v>
      </c>
      <c r="S53" s="182">
        <f t="shared" si="8"/>
        <v>30000</v>
      </c>
      <c r="T53" s="126"/>
      <c r="U53" s="60"/>
      <c r="V53" s="60"/>
      <c r="W53" s="60"/>
      <c r="X53" s="60"/>
      <c r="Y53" s="60"/>
      <c r="Z53" s="60"/>
      <c r="AA53" s="60"/>
      <c r="AB53" s="118"/>
      <c r="AC53" s="118"/>
      <c r="AD53" s="118"/>
      <c r="AE53" s="118"/>
      <c r="AF53" s="118"/>
      <c r="AG53" s="118"/>
      <c r="AH53" s="118"/>
      <c r="AI53" s="60"/>
      <c r="AJ53" s="118"/>
      <c r="AK53" s="118"/>
      <c r="AL53" s="118"/>
      <c r="AM53" s="118"/>
      <c r="AN53" s="118"/>
      <c r="AO53" s="118"/>
      <c r="AP53" s="118"/>
      <c r="AQ53" s="60"/>
      <c r="AR53" s="60"/>
      <c r="AS53" s="60"/>
      <c r="AT53" s="60"/>
      <c r="AU53" s="60"/>
      <c r="AV53" s="60"/>
      <c r="AW53" s="60"/>
      <c r="AX53" s="60"/>
    </row>
    <row r="54" spans="1:50">
      <c r="A54" s="60"/>
      <c r="B54" s="60"/>
      <c r="C54" s="60"/>
      <c r="D54" s="60"/>
      <c r="E54" s="126"/>
      <c r="F54" s="60"/>
      <c r="G54" s="60"/>
      <c r="H54" s="60"/>
      <c r="I54" s="126"/>
      <c r="J54" s="126"/>
      <c r="K54" s="60"/>
      <c r="L54" s="126"/>
      <c r="M54" s="126"/>
      <c r="N54" s="126"/>
      <c r="O54" s="126"/>
      <c r="P54" s="126"/>
      <c r="Q54" s="126"/>
      <c r="R54" s="126"/>
      <c r="S54" s="126"/>
      <c r="T54" s="60"/>
      <c r="U54" s="156"/>
      <c r="V54" s="156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</row>
    <row r="55" spans="1:50">
      <c r="A55" s="168" t="s">
        <v>218</v>
      </c>
      <c r="B55" s="60"/>
      <c r="C55" s="60"/>
      <c r="D55" s="60"/>
      <c r="E55" s="126"/>
      <c r="F55" s="60"/>
      <c r="G55" s="60"/>
      <c r="H55" s="60"/>
      <c r="I55" s="126"/>
      <c r="J55" s="126"/>
      <c r="K55" s="60"/>
      <c r="L55" s="126"/>
      <c r="M55" s="126"/>
      <c r="N55" s="126"/>
      <c r="O55" s="126"/>
      <c r="P55" s="126"/>
      <c r="Q55" s="126"/>
      <c r="R55" s="126"/>
      <c r="S55" s="126"/>
      <c r="T55" s="60"/>
      <c r="U55" s="156"/>
      <c r="V55" s="156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</row>
    <row r="56" spans="1:50">
      <c r="A56" s="168" t="s">
        <v>219</v>
      </c>
      <c r="B56" s="72" t="s">
        <v>79</v>
      </c>
      <c r="C56" s="72" t="s">
        <v>220</v>
      </c>
      <c r="D56" s="60"/>
      <c r="E56" s="187"/>
      <c r="F56" s="60"/>
      <c r="G56" s="60"/>
      <c r="H56" s="60"/>
      <c r="I56" s="187">
        <v>1.0526315789473679</v>
      </c>
      <c r="J56" s="187">
        <v>1.0526315789473679</v>
      </c>
      <c r="K56" s="60"/>
      <c r="L56" s="187">
        <f>1/(1-'c12_inputs'!$E$7)</f>
        <v>1.0526315789473684</v>
      </c>
      <c r="M56" s="187">
        <f>1/(1-'c12_inputs'!$E$7)</f>
        <v>1.0526315789473684</v>
      </c>
      <c r="N56" s="187">
        <f>1/(1-'c12_inputs'!$E$7)</f>
        <v>1.0526315789473684</v>
      </c>
      <c r="O56" s="187">
        <f>1/(1-'c12_inputs'!$E$7)</f>
        <v>1.0526315789473684</v>
      </c>
      <c r="P56" s="187">
        <f>1/(1-'c12_inputs'!$E$7)</f>
        <v>1.0526315789473684</v>
      </c>
      <c r="Q56" s="187">
        <f>1/(1-'c12_inputs'!$E$7)</f>
        <v>1.0526315789473684</v>
      </c>
      <c r="R56" s="187">
        <f>1/(1-'c12_inputs'!$E$7)</f>
        <v>1.0526315789473684</v>
      </c>
      <c r="S56" s="187">
        <f>1/(1-'c12_inputs'!$E$7)</f>
        <v>1.0526315789473684</v>
      </c>
      <c r="T56" s="126"/>
      <c r="U56" s="156"/>
      <c r="V56" s="156"/>
      <c r="W56" s="60"/>
      <c r="X56" s="60"/>
      <c r="Y56" s="60"/>
      <c r="Z56" s="110"/>
      <c r="AA56" s="110"/>
      <c r="AB56" s="110"/>
      <c r="AC56" s="110"/>
      <c r="AD56" s="110"/>
      <c r="AE56" s="11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</row>
    <row r="57" spans="1:50">
      <c r="A57" s="168" t="s">
        <v>221</v>
      </c>
      <c r="B57" s="222" t="s">
        <v>9</v>
      </c>
      <c r="C57" s="72" t="s">
        <v>222</v>
      </c>
      <c r="D57" s="60"/>
      <c r="E57" s="118"/>
      <c r="F57" s="219">
        <v>0</v>
      </c>
      <c r="G57" s="219">
        <v>0</v>
      </c>
      <c r="H57" s="219">
        <v>0</v>
      </c>
      <c r="I57" s="220">
        <v>0</v>
      </c>
      <c r="J57" s="220">
        <v>118080</v>
      </c>
      <c r="K57" s="60"/>
      <c r="L57" s="220">
        <f t="shared" ref="L57:S57" si="9">IF(AND((F57&lt;&gt;""),(L$2&lt;46204)),(F57),L78)</f>
        <v>0</v>
      </c>
      <c r="M57" s="220">
        <f t="shared" si="9"/>
        <v>0</v>
      </c>
      <c r="N57" s="220">
        <f t="shared" si="9"/>
        <v>0</v>
      </c>
      <c r="O57" s="220">
        <f t="shared" si="9"/>
        <v>0</v>
      </c>
      <c r="P57" s="220">
        <f t="shared" si="9"/>
        <v>118080</v>
      </c>
      <c r="Q57" s="220">
        <f t="shared" si="9"/>
        <v>118079.99999999999</v>
      </c>
      <c r="R57" s="220">
        <f t="shared" si="9"/>
        <v>226080</v>
      </c>
      <c r="S57" s="220">
        <f t="shared" si="9"/>
        <v>314395</v>
      </c>
      <c r="T57" s="126"/>
      <c r="U57" s="156"/>
      <c r="V57" s="156"/>
      <c r="W57" s="60"/>
      <c r="X57" s="60"/>
      <c r="Y57" s="60"/>
      <c r="Z57" s="110"/>
      <c r="AA57" s="110"/>
      <c r="AB57" s="110"/>
      <c r="AC57" s="110"/>
      <c r="AD57" s="110"/>
      <c r="AE57" s="11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</row>
    <row r="58" spans="1:50" s="11" customFormat="1">
      <c r="A58" s="178" t="s">
        <v>300</v>
      </c>
      <c r="B58" s="159" t="s">
        <v>79</v>
      </c>
      <c r="C58" s="157" t="s">
        <v>224</v>
      </c>
      <c r="D58" s="61"/>
      <c r="E58" s="126"/>
      <c r="F58" s="60"/>
      <c r="G58" s="60"/>
      <c r="H58" s="60"/>
      <c r="I58" s="126">
        <v>0</v>
      </c>
      <c r="J58" s="126">
        <v>124294.73684210519</v>
      </c>
      <c r="K58" s="60"/>
      <c r="L58" s="126">
        <f t="shared" ref="L58:S58" si="10">L57*L56</f>
        <v>0</v>
      </c>
      <c r="M58" s="126">
        <f t="shared" si="10"/>
        <v>0</v>
      </c>
      <c r="N58" s="126">
        <f t="shared" si="10"/>
        <v>0</v>
      </c>
      <c r="O58" s="126">
        <f t="shared" si="10"/>
        <v>0</v>
      </c>
      <c r="P58" s="126">
        <f t="shared" si="10"/>
        <v>124294.73684210525</v>
      </c>
      <c r="Q58" s="126">
        <f t="shared" si="10"/>
        <v>124294.73684210524</v>
      </c>
      <c r="R58" s="126">
        <f t="shared" si="10"/>
        <v>237978.94736842104</v>
      </c>
      <c r="S58" s="126">
        <f t="shared" si="10"/>
        <v>330942.10526315786</v>
      </c>
      <c r="T58" s="126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104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</row>
    <row r="59" spans="1:50" s="11" customFormat="1">
      <c r="A59" s="164"/>
      <c r="B59" s="61"/>
      <c r="C59" s="62"/>
      <c r="D59" s="61"/>
      <c r="E59" s="126"/>
      <c r="F59" s="60"/>
      <c r="G59" s="60"/>
      <c r="H59" s="60"/>
      <c r="I59" s="126"/>
      <c r="J59" s="126"/>
      <c r="K59" s="60"/>
      <c r="L59" s="126"/>
      <c r="M59" s="126"/>
      <c r="N59" s="126"/>
      <c r="O59" s="126"/>
      <c r="P59" s="126"/>
      <c r="Q59" s="126"/>
      <c r="R59" s="126"/>
      <c r="S59" s="126"/>
      <c r="T59" s="126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104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</row>
    <row r="60" spans="1:50" s="11" customFormat="1">
      <c r="A60" s="178" t="s">
        <v>301</v>
      </c>
      <c r="B60" s="159" t="s">
        <v>9</v>
      </c>
      <c r="C60" s="157" t="s">
        <v>302</v>
      </c>
      <c r="D60" s="61"/>
      <c r="E60" s="126"/>
      <c r="F60" s="60"/>
      <c r="G60" s="60"/>
      <c r="H60" s="60"/>
      <c r="I60" s="191">
        <v>0</v>
      </c>
      <c r="J60" s="191">
        <v>154294.73684210519</v>
      </c>
      <c r="K60" s="60"/>
      <c r="L60" s="191">
        <f t="shared" ref="L60:S60" si="11">+L53+L32+L58</f>
        <v>0</v>
      </c>
      <c r="M60" s="191">
        <f t="shared" si="11"/>
        <v>0</v>
      </c>
      <c r="N60" s="191">
        <f t="shared" si="11"/>
        <v>0</v>
      </c>
      <c r="O60" s="191">
        <f t="shared" si="11"/>
        <v>0</v>
      </c>
      <c r="P60" s="191">
        <f t="shared" si="11"/>
        <v>154294.73684210525</v>
      </c>
      <c r="Q60" s="191">
        <f t="shared" si="11"/>
        <v>154294.73684210522</v>
      </c>
      <c r="R60" s="191">
        <f t="shared" si="11"/>
        <v>267978.94736842101</v>
      </c>
      <c r="S60" s="191">
        <f t="shared" si="11"/>
        <v>360942.10526315786</v>
      </c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104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</row>
    <row r="61" spans="1:50">
      <c r="A61" s="190"/>
      <c r="B61" s="60"/>
      <c r="C61" s="60"/>
      <c r="D61" s="60"/>
      <c r="E61" s="126"/>
      <c r="F61" s="60"/>
      <c r="G61" s="60"/>
      <c r="H61" s="60"/>
      <c r="I61" s="126"/>
      <c r="J61" s="126"/>
      <c r="K61" s="60"/>
      <c r="L61" s="126"/>
      <c r="M61" s="126"/>
      <c r="N61" s="126"/>
      <c r="O61" s="126"/>
      <c r="P61" s="126"/>
      <c r="Q61" s="126"/>
      <c r="R61" s="126"/>
      <c r="S61" s="126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</row>
    <row r="62" spans="1:50">
      <c r="A62" s="178" t="s">
        <v>226</v>
      </c>
      <c r="B62" s="72" t="s">
        <v>9</v>
      </c>
      <c r="C62" s="72" t="s">
        <v>227</v>
      </c>
      <c r="D62" s="60"/>
      <c r="E62" s="126"/>
      <c r="F62" s="60"/>
      <c r="G62" s="60"/>
      <c r="H62" s="60"/>
      <c r="I62" s="191">
        <v>0</v>
      </c>
      <c r="J62" s="191">
        <v>0</v>
      </c>
      <c r="K62" s="60"/>
      <c r="L62" s="191">
        <f t="shared" ref="L62:S62" si="12">+L29+L50</f>
        <v>0</v>
      </c>
      <c r="M62" s="191">
        <f t="shared" si="12"/>
        <v>0</v>
      </c>
      <c r="N62" s="191">
        <f t="shared" si="12"/>
        <v>0</v>
      </c>
      <c r="O62" s="191">
        <f t="shared" si="12"/>
        <v>0</v>
      </c>
      <c r="P62" s="191">
        <f t="shared" si="12"/>
        <v>0</v>
      </c>
      <c r="Q62" s="191">
        <f t="shared" si="12"/>
        <v>0</v>
      </c>
      <c r="R62" s="191">
        <f t="shared" si="12"/>
        <v>0</v>
      </c>
      <c r="S62" s="191">
        <f t="shared" si="12"/>
        <v>0</v>
      </c>
      <c r="T62" s="126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</row>
    <row r="63" spans="1:50" ht="15" customHeight="1">
      <c r="A63" s="60"/>
      <c r="B63" s="60"/>
      <c r="C63" s="60"/>
      <c r="D63" s="60"/>
      <c r="E63" s="126"/>
      <c r="F63" s="60"/>
      <c r="G63" s="60"/>
      <c r="H63" s="60"/>
      <c r="I63" s="126"/>
      <c r="J63" s="126"/>
      <c r="K63" s="60"/>
      <c r="L63" s="126"/>
      <c r="M63" s="126"/>
      <c r="N63" s="126"/>
      <c r="O63" s="126"/>
      <c r="P63" s="126"/>
      <c r="Q63" s="126"/>
      <c r="R63" s="126"/>
      <c r="S63" s="126"/>
      <c r="T63" s="126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</row>
    <row r="64" spans="1:50" ht="15" customHeight="1">
      <c r="A64" s="168" t="s">
        <v>228</v>
      </c>
      <c r="B64" s="72" t="s">
        <v>79</v>
      </c>
      <c r="C64" s="72" t="s">
        <v>229</v>
      </c>
      <c r="D64" s="60"/>
      <c r="E64" s="147"/>
      <c r="F64" s="60"/>
      <c r="G64" s="60"/>
      <c r="H64" s="60"/>
      <c r="I64" s="147">
        <v>0.35</v>
      </c>
      <c r="J64" s="147">
        <v>0.35</v>
      </c>
      <c r="K64" s="60"/>
      <c r="L64" s="147">
        <f>'c12_inputs'!$E$8</f>
        <v>0.35</v>
      </c>
      <c r="M64" s="147">
        <f>'c12_inputs'!$E$8</f>
        <v>0.35</v>
      </c>
      <c r="N64" s="147">
        <f>'c12_inputs'!$E$8</f>
        <v>0.35</v>
      </c>
      <c r="O64" s="147">
        <f>'c12_inputs'!$E$8</f>
        <v>0.35</v>
      </c>
      <c r="P64" s="147">
        <f>'c12_inputs'!$E$8</f>
        <v>0.35</v>
      </c>
      <c r="Q64" s="147">
        <f>'c12_inputs'!$E$8</f>
        <v>0.35</v>
      </c>
      <c r="R64" s="147">
        <f>'c12_inputs'!$E$8</f>
        <v>0.35</v>
      </c>
      <c r="S64" s="147">
        <f>'c12_inputs'!$E$8</f>
        <v>0.35</v>
      </c>
      <c r="T64" s="126"/>
      <c r="U64" s="156"/>
      <c r="V64" s="156"/>
      <c r="W64" s="60"/>
      <c r="X64" s="60"/>
      <c r="Y64" s="60"/>
      <c r="Z64" s="110"/>
      <c r="AA64" s="110"/>
      <c r="AB64" s="110"/>
      <c r="AC64" s="110"/>
      <c r="AD64" s="110"/>
      <c r="AE64" s="11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</row>
    <row r="65" spans="1:50" s="48" customFormat="1" ht="15" customHeight="1">
      <c r="A65" s="168" t="s">
        <v>230</v>
      </c>
      <c r="B65" s="159" t="s">
        <v>25</v>
      </c>
      <c r="C65" s="157" t="s">
        <v>231</v>
      </c>
      <c r="D65" s="61"/>
      <c r="E65" s="147"/>
      <c r="F65" s="60"/>
      <c r="G65" s="60"/>
      <c r="H65" s="60"/>
      <c r="I65" s="76">
        <v>0.15</v>
      </c>
      <c r="J65" s="76">
        <v>0</v>
      </c>
      <c r="K65" s="60"/>
      <c r="L65" s="76">
        <v>0.15</v>
      </c>
      <c r="M65" s="76">
        <v>0.15</v>
      </c>
      <c r="N65" s="76">
        <v>0.15</v>
      </c>
      <c r="O65" s="76">
        <v>0.15</v>
      </c>
      <c r="P65" s="76">
        <v>0</v>
      </c>
      <c r="Q65" s="76">
        <v>0</v>
      </c>
      <c r="R65" s="76">
        <v>0</v>
      </c>
      <c r="S65" s="76">
        <v>0</v>
      </c>
      <c r="T65" s="126"/>
      <c r="U65" s="156"/>
      <c r="V65" s="156"/>
      <c r="W65" s="60"/>
      <c r="X65" s="60"/>
      <c r="Y65" s="60"/>
      <c r="Z65" s="110"/>
      <c r="AA65" s="110"/>
      <c r="AB65" s="110"/>
      <c r="AC65" s="110"/>
      <c r="AD65" s="110"/>
      <c r="AE65" s="11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</row>
    <row r="66" spans="1:50" s="48" customFormat="1" ht="15" customHeight="1">
      <c r="A66" s="168" t="s">
        <v>232</v>
      </c>
      <c r="B66" s="159" t="s">
        <v>25</v>
      </c>
      <c r="C66" s="157" t="s">
        <v>233</v>
      </c>
      <c r="D66" s="61"/>
      <c r="E66" s="147"/>
      <c r="F66" s="60"/>
      <c r="G66" s="60"/>
      <c r="H66" s="60"/>
      <c r="I66" s="76">
        <v>0.15</v>
      </c>
      <c r="J66" s="76">
        <v>0.15</v>
      </c>
      <c r="K66" s="60"/>
      <c r="L66" s="76">
        <v>0.15</v>
      </c>
      <c r="M66" s="76">
        <v>0.15</v>
      </c>
      <c r="N66" s="76">
        <v>0.15</v>
      </c>
      <c r="O66" s="76">
        <v>0.15</v>
      </c>
      <c r="P66" s="76">
        <v>0.15</v>
      </c>
      <c r="Q66" s="76">
        <v>0.15</v>
      </c>
      <c r="R66" s="76">
        <v>0.15</v>
      </c>
      <c r="S66" s="76">
        <v>0.15</v>
      </c>
      <c r="T66" s="126"/>
      <c r="U66" s="156"/>
      <c r="V66" s="156"/>
      <c r="W66" s="60"/>
      <c r="X66" s="60"/>
      <c r="Y66" s="60"/>
      <c r="Z66" s="110"/>
      <c r="AA66" s="110"/>
      <c r="AB66" s="110"/>
      <c r="AC66" s="110"/>
      <c r="AD66" s="110"/>
      <c r="AE66" s="11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</row>
    <row r="67" spans="1:50" s="11" customFormat="1">
      <c r="A67" s="168" t="s">
        <v>234</v>
      </c>
      <c r="B67" s="159" t="s">
        <v>79</v>
      </c>
      <c r="C67" s="157" t="s">
        <v>235</v>
      </c>
      <c r="D67" s="61"/>
      <c r="E67" s="192"/>
      <c r="F67" s="60"/>
      <c r="G67" s="60"/>
      <c r="H67" s="60"/>
      <c r="I67" s="192">
        <v>0.05</v>
      </c>
      <c r="J67" s="192">
        <v>0.05</v>
      </c>
      <c r="K67" s="60"/>
      <c r="L67" s="192">
        <f>'c12_inputs'!$E$7</f>
        <v>0.05</v>
      </c>
      <c r="M67" s="192">
        <f>'c12_inputs'!$E$7</f>
        <v>0.05</v>
      </c>
      <c r="N67" s="192">
        <f>'c12_inputs'!$E$7</f>
        <v>0.05</v>
      </c>
      <c r="O67" s="192">
        <f>'c12_inputs'!$E$7</f>
        <v>0.05</v>
      </c>
      <c r="P67" s="192">
        <f>'c12_inputs'!$E$7</f>
        <v>0.05</v>
      </c>
      <c r="Q67" s="192">
        <f>'c12_inputs'!$E$7</f>
        <v>0.05</v>
      </c>
      <c r="R67" s="192">
        <f>'c12_inputs'!$E$7</f>
        <v>0.05</v>
      </c>
      <c r="S67" s="192">
        <f>'c12_inputs'!$E$7</f>
        <v>0.05</v>
      </c>
      <c r="T67" s="60"/>
      <c r="U67" s="60"/>
      <c r="V67" s="60"/>
      <c r="W67" s="60"/>
      <c r="X67" s="60"/>
      <c r="Y67" s="60"/>
      <c r="Z67" s="60"/>
      <c r="AA67" s="60"/>
      <c r="AB67" s="118"/>
      <c r="AC67" s="118"/>
      <c r="AD67" s="118"/>
      <c r="AE67" s="118"/>
      <c r="AF67" s="118"/>
      <c r="AG67" s="118"/>
      <c r="AH67" s="118"/>
      <c r="AI67" s="60"/>
      <c r="AJ67" s="118"/>
      <c r="AK67" s="118"/>
      <c r="AL67" s="118"/>
      <c r="AM67" s="118"/>
      <c r="AN67" s="118"/>
      <c r="AO67" s="118"/>
      <c r="AP67" s="118"/>
      <c r="AQ67" s="60"/>
      <c r="AR67" s="60"/>
      <c r="AS67" s="60"/>
      <c r="AT67" s="60"/>
      <c r="AU67" s="60"/>
      <c r="AV67" s="60"/>
      <c r="AW67" s="60"/>
      <c r="AX67" s="60"/>
    </row>
    <row r="68" spans="1:50">
      <c r="A68" s="168" t="s">
        <v>236</v>
      </c>
      <c r="B68" s="72" t="s">
        <v>79</v>
      </c>
      <c r="C68" s="72" t="s">
        <v>237</v>
      </c>
      <c r="D68" s="60"/>
      <c r="E68" s="126"/>
      <c r="F68" s="60"/>
      <c r="G68" s="60"/>
      <c r="H68" s="60"/>
      <c r="I68" s="126">
        <v>0</v>
      </c>
      <c r="J68" s="126">
        <v>10500</v>
      </c>
      <c r="K68" s="60"/>
      <c r="L68" s="126">
        <f t="shared" ref="L68:S68" si="13">(L64+L65)*(L32+L52)+(L64+L66)*(L49+L29)</f>
        <v>0</v>
      </c>
      <c r="M68" s="126">
        <f t="shared" si="13"/>
        <v>0</v>
      </c>
      <c r="N68" s="126">
        <f t="shared" si="13"/>
        <v>0</v>
      </c>
      <c r="O68" s="126">
        <f t="shared" si="13"/>
        <v>0</v>
      </c>
      <c r="P68" s="126">
        <f t="shared" si="13"/>
        <v>10500</v>
      </c>
      <c r="Q68" s="126">
        <f t="shared" si="13"/>
        <v>10500</v>
      </c>
      <c r="R68" s="126">
        <f t="shared" si="13"/>
        <v>10500</v>
      </c>
      <c r="S68" s="126">
        <f t="shared" si="13"/>
        <v>10500</v>
      </c>
      <c r="T68" s="147"/>
      <c r="U68" s="156"/>
      <c r="V68" s="156"/>
      <c r="W68" s="60"/>
      <c r="X68" s="60"/>
      <c r="Y68" s="60"/>
      <c r="Z68" s="110"/>
      <c r="AA68" s="110"/>
      <c r="AB68" s="110"/>
      <c r="AC68" s="110"/>
      <c r="AD68" s="110"/>
      <c r="AE68" s="11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</row>
    <row r="69" spans="1:50">
      <c r="A69" s="168" t="s">
        <v>303</v>
      </c>
      <c r="B69" s="72" t="s">
        <v>79</v>
      </c>
      <c r="C69" s="72" t="s">
        <v>239</v>
      </c>
      <c r="D69" s="60"/>
      <c r="E69" s="126"/>
      <c r="F69" s="60"/>
      <c r="G69" s="60"/>
      <c r="H69" s="60"/>
      <c r="I69" s="126">
        <v>0</v>
      </c>
      <c r="J69" s="126">
        <v>6214.7368421052624</v>
      </c>
      <c r="K69" s="60"/>
      <c r="L69" s="126">
        <f t="shared" ref="L69:S69" si="14">L58*L67</f>
        <v>0</v>
      </c>
      <c r="M69" s="126">
        <f t="shared" si="14"/>
        <v>0</v>
      </c>
      <c r="N69" s="126">
        <f t="shared" si="14"/>
        <v>0</v>
      </c>
      <c r="O69" s="126">
        <f t="shared" si="14"/>
        <v>0</v>
      </c>
      <c r="P69" s="126">
        <f t="shared" si="14"/>
        <v>6214.7368421052633</v>
      </c>
      <c r="Q69" s="126">
        <f t="shared" si="14"/>
        <v>6214.7368421052624</v>
      </c>
      <c r="R69" s="126">
        <f t="shared" si="14"/>
        <v>11898.947368421053</v>
      </c>
      <c r="S69" s="126">
        <f t="shared" si="14"/>
        <v>16547.105263157893</v>
      </c>
      <c r="T69" s="126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</row>
    <row r="70" spans="1:50">
      <c r="A70" s="178" t="s">
        <v>304</v>
      </c>
      <c r="B70" s="72" t="s">
        <v>9</v>
      </c>
      <c r="C70" s="72" t="s">
        <v>305</v>
      </c>
      <c r="D70" s="60"/>
      <c r="E70" s="126"/>
      <c r="F70" s="60"/>
      <c r="G70" s="60"/>
      <c r="H70" s="60"/>
      <c r="I70" s="191">
        <v>0</v>
      </c>
      <c r="J70" s="191">
        <v>16714.73684210526</v>
      </c>
      <c r="K70" s="60"/>
      <c r="L70" s="191">
        <f t="shared" ref="L70:S70" si="15">L69+L68</f>
        <v>0</v>
      </c>
      <c r="M70" s="191">
        <f t="shared" si="15"/>
        <v>0</v>
      </c>
      <c r="N70" s="191">
        <f t="shared" si="15"/>
        <v>0</v>
      </c>
      <c r="O70" s="191">
        <f t="shared" si="15"/>
        <v>0</v>
      </c>
      <c r="P70" s="191">
        <f t="shared" si="15"/>
        <v>16714.736842105263</v>
      </c>
      <c r="Q70" s="191">
        <f t="shared" si="15"/>
        <v>16714.736842105263</v>
      </c>
      <c r="R70" s="191">
        <f t="shared" si="15"/>
        <v>22398.947368421053</v>
      </c>
      <c r="S70" s="191">
        <f t="shared" si="15"/>
        <v>27047.105263157893</v>
      </c>
      <c r="T70" s="147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</row>
    <row r="71" spans="1:50">
      <c r="A71" s="60"/>
      <c r="B71" s="60"/>
      <c r="C71" s="60"/>
      <c r="D71" s="60"/>
      <c r="E71" s="126"/>
      <c r="F71" s="60"/>
      <c r="G71" s="60"/>
      <c r="H71" s="60"/>
      <c r="I71" s="126"/>
      <c r="J71" s="126"/>
      <c r="K71" s="60"/>
      <c r="L71" s="126"/>
      <c r="M71" s="126"/>
      <c r="N71" s="126"/>
      <c r="O71" s="126"/>
      <c r="P71" s="126"/>
      <c r="Q71" s="126"/>
      <c r="R71" s="126"/>
      <c r="S71" s="126"/>
      <c r="T71" s="126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</row>
    <row r="72" spans="1:50" s="11" customFormat="1">
      <c r="A72" s="168" t="s">
        <v>241</v>
      </c>
      <c r="B72" s="159" t="s">
        <v>79</v>
      </c>
      <c r="C72" s="157" t="s">
        <v>242</v>
      </c>
      <c r="D72" s="61"/>
      <c r="E72" s="126"/>
      <c r="F72" s="60"/>
      <c r="G72" s="60"/>
      <c r="H72" s="60"/>
      <c r="I72" s="126">
        <v>0</v>
      </c>
      <c r="J72" s="126">
        <v>0</v>
      </c>
      <c r="K72" s="60"/>
      <c r="L72" s="126">
        <f t="shared" ref="L72:S72" si="16">-(L64+L65)*(L27+L48)</f>
        <v>0</v>
      </c>
      <c r="M72" s="126">
        <f t="shared" si="16"/>
        <v>0</v>
      </c>
      <c r="N72" s="126">
        <f t="shared" si="16"/>
        <v>0</v>
      </c>
      <c r="O72" s="126">
        <f t="shared" si="16"/>
        <v>0</v>
      </c>
      <c r="P72" s="126">
        <f t="shared" si="16"/>
        <v>0</v>
      </c>
      <c r="Q72" s="126">
        <f t="shared" si="16"/>
        <v>0</v>
      </c>
      <c r="R72" s="126">
        <f t="shared" si="16"/>
        <v>0</v>
      </c>
      <c r="S72" s="126">
        <f t="shared" si="16"/>
        <v>0</v>
      </c>
      <c r="T72" s="60"/>
      <c r="U72" s="60"/>
      <c r="V72" s="60"/>
      <c r="W72" s="60"/>
      <c r="X72" s="60"/>
      <c r="Y72" s="60"/>
      <c r="Z72" s="60"/>
      <c r="AA72" s="60"/>
      <c r="AB72" s="118"/>
      <c r="AC72" s="118"/>
      <c r="AD72" s="118"/>
      <c r="AE72" s="118"/>
      <c r="AF72" s="118"/>
      <c r="AG72" s="118"/>
      <c r="AH72" s="118"/>
      <c r="AI72" s="60"/>
      <c r="AJ72" s="118"/>
      <c r="AK72" s="118"/>
      <c r="AL72" s="118"/>
      <c r="AM72" s="118"/>
      <c r="AN72" s="118"/>
      <c r="AO72" s="118"/>
      <c r="AP72" s="118"/>
      <c r="AQ72" s="60"/>
      <c r="AR72" s="60"/>
      <c r="AS72" s="60"/>
      <c r="AT72" s="60"/>
      <c r="AU72" s="60"/>
      <c r="AV72" s="60"/>
      <c r="AW72" s="60"/>
      <c r="AX72" s="60"/>
    </row>
    <row r="73" spans="1:50" s="11" customFormat="1">
      <c r="A73" s="168" t="s">
        <v>243</v>
      </c>
      <c r="B73" s="159" t="s">
        <v>79</v>
      </c>
      <c r="C73" s="157" t="s">
        <v>244</v>
      </c>
      <c r="D73" s="61"/>
      <c r="E73" s="126"/>
      <c r="F73" s="60"/>
      <c r="G73" s="60"/>
      <c r="H73" s="60"/>
      <c r="I73" s="126">
        <v>0</v>
      </c>
      <c r="J73" s="126">
        <v>0</v>
      </c>
      <c r="K73" s="60"/>
      <c r="L73" s="126">
        <f t="shared" ref="L73:S73" si="17">-(L64+L66)*(L28+L49)</f>
        <v>0</v>
      </c>
      <c r="M73" s="126">
        <f t="shared" si="17"/>
        <v>0</v>
      </c>
      <c r="N73" s="126">
        <f t="shared" si="17"/>
        <v>0</v>
      </c>
      <c r="O73" s="126">
        <f t="shared" si="17"/>
        <v>0</v>
      </c>
      <c r="P73" s="126">
        <f t="shared" si="17"/>
        <v>0</v>
      </c>
      <c r="Q73" s="126">
        <f t="shared" si="17"/>
        <v>0</v>
      </c>
      <c r="R73" s="126">
        <f t="shared" si="17"/>
        <v>0</v>
      </c>
      <c r="S73" s="126">
        <f t="shared" si="17"/>
        <v>0</v>
      </c>
      <c r="T73" s="60"/>
      <c r="U73" s="60"/>
      <c r="V73" s="60"/>
      <c r="W73" s="60"/>
      <c r="X73" s="60"/>
      <c r="Y73" s="60"/>
      <c r="Z73" s="60"/>
      <c r="AA73" s="60"/>
      <c r="AB73" s="118"/>
      <c r="AC73" s="118"/>
      <c r="AD73" s="118"/>
      <c r="AE73" s="118"/>
      <c r="AF73" s="118"/>
      <c r="AG73" s="118"/>
      <c r="AH73" s="118"/>
      <c r="AI73" s="60"/>
      <c r="AJ73" s="118"/>
      <c r="AK73" s="118"/>
      <c r="AL73" s="118"/>
      <c r="AM73" s="118"/>
      <c r="AN73" s="118"/>
      <c r="AO73" s="118"/>
      <c r="AP73" s="118"/>
      <c r="AQ73" s="60"/>
      <c r="AR73" s="60"/>
      <c r="AS73" s="60"/>
      <c r="AT73" s="60"/>
      <c r="AU73" s="60"/>
      <c r="AV73" s="60"/>
      <c r="AW73" s="60"/>
      <c r="AX73" s="60"/>
    </row>
    <row r="74" spans="1:50">
      <c r="A74" s="168" t="s">
        <v>245</v>
      </c>
      <c r="B74" s="222" t="s">
        <v>9</v>
      </c>
      <c r="C74" s="72" t="s">
        <v>246</v>
      </c>
      <c r="D74" s="60"/>
      <c r="E74" s="126"/>
      <c r="F74" s="60"/>
      <c r="G74" s="60"/>
      <c r="H74" s="60"/>
      <c r="I74" s="171">
        <v>0</v>
      </c>
      <c r="J74" s="171">
        <v>0</v>
      </c>
      <c r="K74" s="60"/>
      <c r="L74" s="171">
        <f>SUM(L72:L73)+E74</f>
        <v>0</v>
      </c>
      <c r="M74" s="171">
        <f t="shared" ref="M74:S74" si="18">SUM(M72:M73)+L74</f>
        <v>0</v>
      </c>
      <c r="N74" s="171">
        <f t="shared" si="18"/>
        <v>0</v>
      </c>
      <c r="O74" s="171">
        <f t="shared" si="18"/>
        <v>0</v>
      </c>
      <c r="P74" s="171">
        <f t="shared" si="18"/>
        <v>0</v>
      </c>
      <c r="Q74" s="171">
        <f t="shared" si="18"/>
        <v>0</v>
      </c>
      <c r="R74" s="171">
        <f t="shared" si="18"/>
        <v>0</v>
      </c>
      <c r="S74" s="171">
        <f t="shared" si="18"/>
        <v>0</v>
      </c>
      <c r="T74" s="126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</row>
    <row r="75" spans="1:50">
      <c r="A75" s="60"/>
      <c r="B75" s="60"/>
      <c r="C75" s="60"/>
      <c r="D75" s="60"/>
      <c r="E75" s="126"/>
      <c r="F75" s="60"/>
      <c r="G75" s="60"/>
      <c r="H75" s="60"/>
      <c r="I75" s="126"/>
      <c r="J75" s="126"/>
      <c r="K75" s="60"/>
      <c r="L75" s="126"/>
      <c r="M75" s="126"/>
      <c r="N75" s="126"/>
      <c r="O75" s="126"/>
      <c r="P75" s="126"/>
      <c r="Q75" s="126"/>
      <c r="R75" s="126"/>
      <c r="S75" s="126"/>
      <c r="T75" s="126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</row>
    <row r="76" spans="1:50">
      <c r="A76" s="168" t="s">
        <v>248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</row>
    <row r="77" spans="1:50" s="11" customFormat="1" ht="14.65" customHeight="1">
      <c r="A77" s="135" t="s">
        <v>249</v>
      </c>
      <c r="B77" s="159" t="s">
        <v>79</v>
      </c>
      <c r="C77" s="157" t="s">
        <v>250</v>
      </c>
      <c r="D77" s="61"/>
      <c r="E77" s="118"/>
      <c r="F77" s="60"/>
      <c r="G77" s="60"/>
      <c r="H77" s="60"/>
      <c r="I77" s="118">
        <v>602497.5</v>
      </c>
      <c r="J77" s="118">
        <v>296640</v>
      </c>
      <c r="K77" s="60"/>
      <c r="L77" s="118">
        <f>'.c12_bi&amp;f_hr'!L48</f>
        <v>250559.99999999997</v>
      </c>
      <c r="M77" s="118">
        <f>'.c12_bi&amp;f_hr'!M48</f>
        <v>250559.99999999997</v>
      </c>
      <c r="N77" s="118">
        <f>'.c12_bi&amp;f_hr'!N48</f>
        <v>336959.99999999994</v>
      </c>
      <c r="O77" s="118">
        <f>'.c12_bi&amp;f_hr'!O48</f>
        <v>602497.5</v>
      </c>
      <c r="P77" s="118">
        <f>'.c12_bi&amp;f_hr'!P48</f>
        <v>296640</v>
      </c>
      <c r="Q77" s="118">
        <f>'.c12_bi&amp;f_hr'!Q48</f>
        <v>477677.14285714284</v>
      </c>
      <c r="R77" s="118">
        <f>'.c12_bi&amp;f_hr'!R48</f>
        <v>672077.14285714284</v>
      </c>
      <c r="S77" s="118">
        <f>'.c12_bi&amp;f_hr'!S48</f>
        <v>1173394.6428571427</v>
      </c>
      <c r="T77" s="116"/>
      <c r="U77" s="156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</row>
    <row r="78" spans="1:50" s="11" customFormat="1">
      <c r="A78" s="135" t="s">
        <v>251</v>
      </c>
      <c r="B78" s="159" t="s">
        <v>9</v>
      </c>
      <c r="C78" s="157" t="s">
        <v>252</v>
      </c>
      <c r="D78" s="61"/>
      <c r="E78" s="118"/>
      <c r="F78" s="60"/>
      <c r="G78" s="60"/>
      <c r="H78" s="60"/>
      <c r="I78" s="193">
        <v>154162.5</v>
      </c>
      <c r="J78" s="193">
        <v>118080</v>
      </c>
      <c r="K78" s="60"/>
      <c r="L78" s="193">
        <f>'.c12_bi&amp;f_hr'!L49</f>
        <v>53279.999999999993</v>
      </c>
      <c r="M78" s="193">
        <f>'.c12_bi&amp;f_hr'!M49</f>
        <v>53279.999999999993</v>
      </c>
      <c r="N78" s="193">
        <f>'.c12_bi&amp;f_hr'!N49</f>
        <v>115199.99999999999</v>
      </c>
      <c r="O78" s="193">
        <f>'.c12_bi&amp;f_hr'!O49</f>
        <v>154162.5</v>
      </c>
      <c r="P78" s="193">
        <f>'.c12_bi&amp;f_hr'!P49</f>
        <v>118079.99999999999</v>
      </c>
      <c r="Q78" s="193">
        <f>'.c12_bi&amp;f_hr'!Q49</f>
        <v>118079.99999999999</v>
      </c>
      <c r="R78" s="193">
        <f>'.c12_bi&amp;f_hr'!R49</f>
        <v>226080</v>
      </c>
      <c r="S78" s="193">
        <f>'.c12_bi&amp;f_hr'!S49</f>
        <v>314395</v>
      </c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104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</row>
    <row r="79" spans="1:50" s="11" customFormat="1">
      <c r="A79" s="135" t="s">
        <v>253</v>
      </c>
      <c r="B79" s="159" t="s">
        <v>9</v>
      </c>
      <c r="C79" s="157" t="s">
        <v>254</v>
      </c>
      <c r="D79" s="61"/>
      <c r="E79" s="118"/>
      <c r="F79" s="60"/>
      <c r="G79" s="60"/>
      <c r="H79" s="60"/>
      <c r="I79" s="193">
        <v>448334.99999999988</v>
      </c>
      <c r="J79" s="193">
        <v>178560</v>
      </c>
      <c r="K79" s="60"/>
      <c r="L79" s="193">
        <f>'.c12_bi&amp;f_hr'!L50</f>
        <v>197280</v>
      </c>
      <c r="M79" s="193">
        <f>'.c12_bi&amp;f_hr'!M50</f>
        <v>197280</v>
      </c>
      <c r="N79" s="193">
        <f>'.c12_bi&amp;f_hr'!N50</f>
        <v>221759.99999999997</v>
      </c>
      <c r="O79" s="193">
        <f>'.c12_bi&amp;f_hr'!O50</f>
        <v>448334.99999999994</v>
      </c>
      <c r="P79" s="193">
        <f>'.c12_bi&amp;f_hr'!P50</f>
        <v>178559.99999999997</v>
      </c>
      <c r="Q79" s="193">
        <f>'.c12_bi&amp;f_hr'!Q50</f>
        <v>359597.14285714284</v>
      </c>
      <c r="R79" s="193">
        <f>'.c12_bi&amp;f_hr'!R50</f>
        <v>445997.14285714284</v>
      </c>
      <c r="S79" s="193">
        <f>'.c12_bi&amp;f_hr'!S50</f>
        <v>858999.64285714284</v>
      </c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104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</row>
    <row r="80" spans="1:50" s="11" customFormat="1">
      <c r="A80" s="135" t="s">
        <v>255</v>
      </c>
      <c r="B80" s="159" t="s">
        <v>79</v>
      </c>
      <c r="C80" s="157" t="s">
        <v>256</v>
      </c>
      <c r="D80" s="61"/>
      <c r="E80" s="118"/>
      <c r="F80" s="60"/>
      <c r="G80" s="60"/>
      <c r="H80" s="60"/>
      <c r="I80" s="118">
        <v>0</v>
      </c>
      <c r="J80" s="118">
        <v>0</v>
      </c>
      <c r="K80" s="60"/>
      <c r="L80" s="118">
        <f>'.c12_bi&amp;f_hr'!L51</f>
        <v>0</v>
      </c>
      <c r="M80" s="118">
        <f>'.c12_bi&amp;f_hr'!M51</f>
        <v>0</v>
      </c>
      <c r="N80" s="118">
        <f>'.c12_bi&amp;f_hr'!N51</f>
        <v>0</v>
      </c>
      <c r="O80" s="118">
        <f>'.c12_bi&amp;f_hr'!O51</f>
        <v>0</v>
      </c>
      <c r="P80" s="118">
        <f>'.c12_bi&amp;f_hr'!P51</f>
        <v>0</v>
      </c>
      <c r="Q80" s="118">
        <f>'.c12_bi&amp;f_hr'!Q51</f>
        <v>0</v>
      </c>
      <c r="R80" s="118">
        <f>'.c12_bi&amp;f_hr'!R51</f>
        <v>0</v>
      </c>
      <c r="S80" s="118">
        <f>'.c12_bi&amp;f_hr'!S51</f>
        <v>0</v>
      </c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104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</row>
    <row r="81" spans="1:50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</row>
    <row r="82" spans="1:50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</row>
    <row r="83" spans="1:50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</row>
    <row r="84" spans="1:50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</row>
    <row r="85" spans="1:50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</row>
    <row r="86" spans="1:50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</row>
    <row r="87" spans="1:50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</row>
    <row r="88" spans="1:50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</row>
    <row r="89" spans="1:50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</row>
    <row r="90" spans="1:5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</row>
    <row r="91" spans="1:50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</row>
    <row r="92" spans="1:50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</row>
    <row r="93" spans="1:50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</row>
    <row r="94" spans="1:50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</row>
    <row r="95" spans="1:50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</row>
    <row r="96" spans="1:50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</row>
    <row r="97" spans="1:50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</row>
    <row r="98" spans="1:50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</row>
    <row r="99" spans="1:50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</row>
    <row r="100" spans="1:5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</row>
    <row r="101" spans="1:50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</row>
    <row r="102" spans="1:50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</row>
    <row r="103" spans="1:50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</row>
    <row r="104" spans="1:50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</row>
    <row r="105" spans="1:50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2"/>
      <c r="V105" s="62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</row>
    <row r="106" spans="1:50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</row>
    <row r="107" spans="1:50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</row>
    <row r="108" spans="1:50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</row>
    <row r="109" spans="1:50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</row>
    <row r="110" spans="1:5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</row>
    <row r="111" spans="1:50">
      <c r="A111" s="60"/>
      <c r="B111" s="81"/>
      <c r="C111" s="60"/>
      <c r="D111" s="81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</row>
    <row r="112" spans="1:50">
      <c r="A112" s="60"/>
      <c r="B112" s="81"/>
      <c r="C112" s="60"/>
      <c r="D112" s="81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</row>
    <row r="113" spans="1:50">
      <c r="A113" s="60"/>
      <c r="B113" s="81"/>
      <c r="C113" s="60"/>
      <c r="D113" s="81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</row>
    <row r="114" spans="1:50">
      <c r="A114" s="60"/>
      <c r="B114" s="81"/>
      <c r="C114" s="60"/>
      <c r="D114" s="81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</row>
    <row r="115" spans="1:50">
      <c r="A115" s="60"/>
      <c r="B115" s="81"/>
      <c r="C115" s="60"/>
      <c r="D115" s="81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</row>
    <row r="116" spans="1:50">
      <c r="A116" s="60"/>
      <c r="B116" s="81"/>
      <c r="C116" s="60"/>
      <c r="D116" s="81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</row>
    <row r="117" spans="1:50">
      <c r="A117" s="60"/>
      <c r="B117" s="81"/>
      <c r="C117" s="60"/>
      <c r="D117" s="81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</row>
    <row r="118" spans="1:50">
      <c r="A118" s="60"/>
      <c r="B118" s="81"/>
      <c r="C118" s="60"/>
      <c r="D118" s="81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</row>
    <row r="119" spans="1:50" s="4" customFormat="1">
      <c r="A119" s="164"/>
      <c r="B119" s="81"/>
      <c r="C119" s="60"/>
      <c r="D119" s="81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104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</row>
    <row r="120" spans="1:50">
      <c r="A120" s="60"/>
      <c r="B120" s="81"/>
      <c r="C120" s="60"/>
      <c r="D120" s="81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</row>
    <row r="121" spans="1:50">
      <c r="A121" s="60"/>
      <c r="B121" s="81"/>
      <c r="C121" s="60"/>
      <c r="D121" s="81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</row>
    <row r="122" spans="1:50">
      <c r="A122" s="60"/>
      <c r="B122" s="81"/>
      <c r="C122" s="60"/>
      <c r="D122" s="81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</row>
    <row r="123" spans="1:50">
      <c r="A123" s="60"/>
      <c r="B123" s="81"/>
      <c r="C123" s="60"/>
      <c r="D123" s="81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</row>
    <row r="124" spans="1:50">
      <c r="A124" s="60"/>
      <c r="B124" s="81"/>
      <c r="C124" s="60"/>
      <c r="D124" s="81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2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</row>
    <row r="125" spans="1:50">
      <c r="A125" s="60"/>
      <c r="B125" s="81"/>
      <c r="C125" s="60"/>
      <c r="D125" s="81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</row>
    <row r="126" spans="1:50">
      <c r="A126" s="60"/>
      <c r="B126" s="81"/>
      <c r="C126" s="60"/>
      <c r="D126" s="81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</row>
    <row r="127" spans="1:50">
      <c r="A127" s="60"/>
      <c r="B127" s="81"/>
      <c r="C127" s="60"/>
      <c r="D127" s="81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</row>
    <row r="128" spans="1:50">
      <c r="A128" s="60"/>
      <c r="B128" s="81"/>
      <c r="C128" s="60"/>
      <c r="D128" s="81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</row>
    <row r="129" spans="1:50">
      <c r="A129" s="60"/>
      <c r="B129" s="81"/>
      <c r="C129" s="60"/>
      <c r="D129" s="81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</row>
    <row r="130" spans="1:50">
      <c r="A130" s="60"/>
      <c r="B130" s="81"/>
      <c r="C130" s="60"/>
      <c r="D130" s="81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</row>
    <row r="131" spans="1:50">
      <c r="A131" s="60"/>
      <c r="B131" s="81"/>
      <c r="C131" s="60"/>
      <c r="D131" s="81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</row>
    <row r="132" spans="1:50">
      <c r="A132" s="60"/>
      <c r="B132" s="81"/>
      <c r="C132" s="60"/>
      <c r="D132" s="81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</row>
    <row r="133" spans="1:50">
      <c r="A133" s="60"/>
      <c r="B133" s="81"/>
      <c r="C133" s="60"/>
      <c r="D133" s="81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</row>
    <row r="134" spans="1:50">
      <c r="A134" s="60"/>
      <c r="B134" s="81"/>
      <c r="C134" s="60"/>
      <c r="D134" s="81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</row>
    <row r="135" spans="1:50">
      <c r="A135" s="60"/>
      <c r="B135" s="81"/>
      <c r="C135" s="60"/>
      <c r="D135" s="81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</row>
    <row r="136" spans="1:50">
      <c r="A136" s="60"/>
      <c r="B136" s="81"/>
      <c r="C136" s="60"/>
      <c r="D136" s="81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</row>
    <row r="137" spans="1:50">
      <c r="A137" s="60"/>
      <c r="B137" s="81"/>
      <c r="C137" s="60"/>
      <c r="D137" s="81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</row>
    <row r="138" spans="1:50">
      <c r="A138" s="60"/>
      <c r="B138" s="81"/>
      <c r="C138" s="60"/>
      <c r="D138" s="81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157" t="s">
        <v>257</v>
      </c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</row>
    <row r="139" spans="1:50">
      <c r="A139" s="60"/>
      <c r="B139" s="81"/>
      <c r="C139" s="60"/>
      <c r="D139" s="81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</row>
    <row r="140" spans="1:50">
      <c r="A140" s="60"/>
      <c r="B140" s="81"/>
      <c r="C140" s="60"/>
      <c r="D140" s="81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</row>
    <row r="141" spans="1:50">
      <c r="A141" s="60"/>
      <c r="B141" s="81"/>
      <c r="C141" s="60"/>
      <c r="D141" s="81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</row>
    <row r="142" spans="1:50">
      <c r="A142" s="60"/>
      <c r="B142" s="81"/>
      <c r="C142" s="60"/>
      <c r="D142" s="81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</row>
    <row r="143" spans="1:50">
      <c r="A143" s="60"/>
      <c r="B143" s="81"/>
      <c r="C143" s="60"/>
      <c r="D143" s="81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</row>
    <row r="144" spans="1:50">
      <c r="A144" s="60"/>
      <c r="B144" s="81"/>
      <c r="C144" s="60"/>
      <c r="D144" s="81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</row>
    <row r="145" spans="1:50">
      <c r="A145" s="60"/>
      <c r="B145" s="81"/>
      <c r="C145" s="60"/>
      <c r="D145" s="81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</row>
    <row r="146" spans="1:50">
      <c r="A146" s="60"/>
      <c r="B146" s="81"/>
      <c r="C146" s="60"/>
      <c r="D146" s="81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</row>
    <row r="147" spans="1:50">
      <c r="A147" s="60"/>
      <c r="B147" s="81"/>
      <c r="C147" s="60"/>
      <c r="D147" s="81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</row>
    <row r="148" spans="1:50">
      <c r="A148" s="60"/>
      <c r="B148" s="81"/>
      <c r="C148" s="60"/>
      <c r="D148" s="81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</row>
    <row r="149" spans="1:50">
      <c r="A149" s="60"/>
      <c r="B149" s="81"/>
      <c r="C149" s="60"/>
      <c r="D149" s="81"/>
      <c r="E149" s="60"/>
      <c r="I149" s="60"/>
      <c r="J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</row>
  </sheetData>
  <mergeCells count="2">
    <mergeCell ref="AO48:AT48"/>
    <mergeCell ref="AV48:BB48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4B084"/>
  </sheetPr>
  <dimension ref="A1:G149"/>
  <sheetViews>
    <sheetView workbookViewId="0">
      <pane xSplit="4" ySplit="3" topLeftCell="E4" activePane="bottomRight" state="frozen"/>
      <selection pane="topRight"/>
      <selection pane="bottomLeft"/>
      <selection pane="bottomRight" activeCell="K29" sqref="K29"/>
    </sheetView>
  </sheetViews>
  <sheetFormatPr defaultRowHeight="14.5"/>
  <cols>
    <col min="1" max="1" width="13.54296875" customWidth="1"/>
    <col min="2" max="2" width="4.453125" style="54" customWidth="1"/>
    <col min="3" max="3" width="19.08984375" style="49" customWidth="1"/>
    <col min="4" max="4" width="7.6328125" style="54" customWidth="1"/>
    <col min="14" max="14" width="27.54296875" customWidth="1"/>
  </cols>
  <sheetData>
    <row r="1" spans="1:7">
      <c r="A1" s="60"/>
      <c r="B1" s="60"/>
      <c r="C1" s="60"/>
      <c r="D1" s="60"/>
      <c r="E1" s="60"/>
      <c r="F1" s="60"/>
      <c r="G1" s="60"/>
    </row>
    <row r="2" spans="1:7" ht="15" customHeight="1">
      <c r="A2" s="67"/>
      <c r="B2" s="64"/>
      <c r="C2" s="64"/>
      <c r="D2" s="64"/>
      <c r="E2" s="67"/>
      <c r="F2" s="67"/>
      <c r="G2" s="67"/>
    </row>
    <row r="3" spans="1:7" s="56" customFormat="1" ht="15" customHeight="1">
      <c r="A3" s="67"/>
      <c r="B3" s="64"/>
      <c r="C3" s="64"/>
      <c r="D3" s="64"/>
      <c r="E3" s="67"/>
      <c r="F3" s="67"/>
      <c r="G3" s="67"/>
    </row>
    <row r="4" spans="1:7" ht="18.5" customHeight="1">
      <c r="A4" s="60"/>
      <c r="B4" s="70" t="s">
        <v>42</v>
      </c>
      <c r="C4" s="71" t="s">
        <v>43</v>
      </c>
      <c r="D4" s="70" t="s">
        <v>3</v>
      </c>
      <c r="E4" s="60"/>
      <c r="F4" s="60"/>
      <c r="G4" s="60"/>
    </row>
    <row r="5" spans="1:7">
      <c r="A5" s="100" t="s">
        <v>306</v>
      </c>
      <c r="B5" s="73" t="s">
        <v>25</v>
      </c>
      <c r="C5" s="74" t="s">
        <v>307</v>
      </c>
      <c r="D5" s="73" t="s">
        <v>308</v>
      </c>
      <c r="E5" s="198">
        <v>2.171428571428571E-2</v>
      </c>
      <c r="F5" s="72" t="s">
        <v>309</v>
      </c>
      <c r="G5" s="60"/>
    </row>
    <row r="6" spans="1:7">
      <c r="A6" s="100" t="s">
        <v>310</v>
      </c>
      <c r="B6" s="73" t="s">
        <v>25</v>
      </c>
      <c r="C6" s="74" t="s">
        <v>311</v>
      </c>
      <c r="D6" s="87" t="s">
        <v>308</v>
      </c>
      <c r="E6" s="199">
        <v>3.9E-2</v>
      </c>
      <c r="F6" s="60"/>
      <c r="G6" s="60"/>
    </row>
    <row r="7" spans="1:7">
      <c r="A7" s="60"/>
      <c r="B7" s="75"/>
      <c r="C7" s="77"/>
      <c r="D7" s="78"/>
      <c r="E7" s="60"/>
      <c r="F7" s="60"/>
      <c r="G7" s="60"/>
    </row>
    <row r="8" spans="1:7">
      <c r="A8" s="100" t="s">
        <v>312</v>
      </c>
      <c r="B8" s="73" t="s">
        <v>25</v>
      </c>
      <c r="C8" s="74" t="s">
        <v>313</v>
      </c>
      <c r="D8" s="87" t="s">
        <v>145</v>
      </c>
      <c r="E8" s="198">
        <v>0.152</v>
      </c>
      <c r="F8" s="60"/>
      <c r="G8" s="60"/>
    </row>
    <row r="9" spans="1:7">
      <c r="A9" s="100" t="s">
        <v>314</v>
      </c>
      <c r="B9" s="72" t="s">
        <v>25</v>
      </c>
      <c r="C9" s="72" t="s">
        <v>311</v>
      </c>
      <c r="D9" s="72" t="s">
        <v>145</v>
      </c>
      <c r="E9" s="198">
        <v>3.9E-2</v>
      </c>
      <c r="F9" s="60"/>
      <c r="G9" s="60"/>
    </row>
    <row r="10" spans="1:7">
      <c r="A10" s="60"/>
      <c r="B10" s="60"/>
      <c r="C10" s="60"/>
      <c r="D10" s="60"/>
      <c r="E10" s="60"/>
      <c r="F10" s="60"/>
      <c r="G10" s="60"/>
    </row>
    <row r="11" spans="1:7">
      <c r="A11" s="100" t="s">
        <v>315</v>
      </c>
      <c r="B11" s="72" t="s">
        <v>25</v>
      </c>
      <c r="C11" s="72" t="s">
        <v>313</v>
      </c>
      <c r="D11" s="72" t="s">
        <v>147</v>
      </c>
      <c r="E11" s="198">
        <v>0.152</v>
      </c>
      <c r="F11" s="60"/>
      <c r="G11" s="60"/>
    </row>
    <row r="12" spans="1:7">
      <c r="A12" s="100" t="s">
        <v>316</v>
      </c>
      <c r="B12" s="72" t="s">
        <v>25</v>
      </c>
      <c r="C12" s="72" t="s">
        <v>311</v>
      </c>
      <c r="D12" s="72" t="s">
        <v>147</v>
      </c>
      <c r="E12" s="198">
        <v>3.9E-2</v>
      </c>
      <c r="F12" s="60"/>
      <c r="G12" s="60"/>
    </row>
    <row r="13" spans="1:7">
      <c r="A13" s="60"/>
      <c r="B13" s="60"/>
      <c r="C13" s="60"/>
      <c r="D13" s="60"/>
      <c r="E13" s="60"/>
      <c r="F13" s="60"/>
      <c r="G13" s="60"/>
    </row>
    <row r="14" spans="1:7">
      <c r="A14" s="60"/>
      <c r="B14" s="60"/>
      <c r="C14" s="60"/>
      <c r="D14" s="60"/>
      <c r="E14" s="60"/>
      <c r="F14" s="60"/>
      <c r="G14" s="60"/>
    </row>
    <row r="15" spans="1:7">
      <c r="A15" s="100" t="s">
        <v>317</v>
      </c>
      <c r="B15" s="72" t="s">
        <v>25</v>
      </c>
      <c r="C15" s="72" t="s">
        <v>313</v>
      </c>
      <c r="D15" s="72" t="s">
        <v>318</v>
      </c>
      <c r="E15" s="198">
        <v>0.152</v>
      </c>
      <c r="F15" s="60"/>
      <c r="G15" s="60"/>
    </row>
    <row r="16" spans="1:7">
      <c r="A16" s="100" t="s">
        <v>319</v>
      </c>
      <c r="B16" s="72" t="s">
        <v>25</v>
      </c>
      <c r="C16" s="72" t="s">
        <v>311</v>
      </c>
      <c r="D16" s="72" t="s">
        <v>318</v>
      </c>
      <c r="E16" s="198">
        <v>3.9E-2</v>
      </c>
      <c r="F16" s="60"/>
      <c r="G16" s="60"/>
    </row>
    <row r="17" spans="1:7">
      <c r="A17" s="60"/>
      <c r="B17" s="60"/>
      <c r="C17" s="60"/>
      <c r="D17" s="60"/>
      <c r="E17" s="60"/>
      <c r="F17" s="60"/>
      <c r="G17" s="60"/>
    </row>
    <row r="18" spans="1:7">
      <c r="A18" s="60"/>
      <c r="B18" s="60"/>
      <c r="C18" s="60"/>
      <c r="D18" s="60"/>
      <c r="E18" s="60"/>
      <c r="F18" s="60"/>
      <c r="G18" s="60"/>
    </row>
    <row r="19" spans="1:7">
      <c r="A19" s="60"/>
      <c r="B19" s="60"/>
      <c r="C19" s="60"/>
      <c r="D19" s="60"/>
      <c r="E19" s="60"/>
      <c r="F19" s="60"/>
      <c r="G19" s="60"/>
    </row>
    <row r="20" spans="1:7">
      <c r="A20" s="60"/>
      <c r="B20" s="60"/>
      <c r="C20" s="60"/>
      <c r="D20" s="60"/>
      <c r="E20" s="60"/>
      <c r="F20" s="60"/>
      <c r="G20" s="60"/>
    </row>
    <row r="21" spans="1:7">
      <c r="A21" s="60"/>
      <c r="B21" s="60"/>
      <c r="C21" s="60"/>
      <c r="D21" s="60"/>
      <c r="E21" s="60"/>
      <c r="F21" s="60"/>
      <c r="G21" s="60"/>
    </row>
    <row r="22" spans="1:7">
      <c r="A22" s="60"/>
      <c r="B22" s="60"/>
      <c r="C22" s="60"/>
      <c r="D22" s="60"/>
      <c r="E22" s="60"/>
      <c r="F22" s="60"/>
      <c r="G22" s="60"/>
    </row>
    <row r="23" spans="1:7">
      <c r="A23" s="60"/>
      <c r="B23" s="60"/>
      <c r="C23" s="60"/>
      <c r="D23" s="60"/>
      <c r="E23" s="60"/>
      <c r="F23" s="60"/>
      <c r="G23" s="60"/>
    </row>
    <row r="24" spans="1:7">
      <c r="A24" s="60"/>
      <c r="B24" s="60"/>
      <c r="C24" s="60"/>
      <c r="D24" s="60"/>
      <c r="E24" s="60"/>
      <c r="F24" s="60"/>
      <c r="G24" s="60"/>
    </row>
    <row r="25" spans="1:7">
      <c r="A25" s="60"/>
      <c r="B25" s="60"/>
      <c r="C25" s="60"/>
      <c r="D25" s="60"/>
      <c r="E25" s="60"/>
      <c r="F25" s="60"/>
      <c r="G25" s="60"/>
    </row>
    <row r="26" spans="1:7">
      <c r="A26" s="60"/>
      <c r="B26" s="60"/>
      <c r="C26" s="60"/>
      <c r="D26" s="60"/>
      <c r="E26" s="60"/>
      <c r="F26" s="60"/>
      <c r="G26" s="60"/>
    </row>
    <row r="27" spans="1:7">
      <c r="A27" s="60"/>
      <c r="B27" s="60"/>
      <c r="C27" s="60"/>
      <c r="D27" s="60"/>
      <c r="E27" s="60"/>
      <c r="F27" s="60"/>
      <c r="G27" s="60"/>
    </row>
    <row r="28" spans="1:7">
      <c r="A28" s="60"/>
      <c r="B28" s="60"/>
      <c r="C28" s="60"/>
      <c r="D28" s="60"/>
      <c r="E28" s="60"/>
      <c r="F28" s="60"/>
      <c r="G28" s="60"/>
    </row>
    <row r="29" spans="1:7">
      <c r="A29" s="60"/>
      <c r="B29" s="60"/>
      <c r="C29" s="60"/>
      <c r="D29" s="60"/>
      <c r="E29" s="60"/>
      <c r="F29" s="60"/>
      <c r="G29" s="60"/>
    </row>
    <row r="30" spans="1:7">
      <c r="A30" s="60"/>
      <c r="B30" s="60"/>
      <c r="C30" s="60"/>
      <c r="D30" s="60"/>
      <c r="E30" s="60"/>
      <c r="F30" s="60"/>
      <c r="G30" s="60"/>
    </row>
    <row r="31" spans="1:7">
      <c r="A31" s="60"/>
      <c r="B31" s="60"/>
      <c r="C31" s="60"/>
      <c r="D31" s="60"/>
      <c r="E31" s="60"/>
      <c r="F31" s="60"/>
      <c r="G31" s="60"/>
    </row>
    <row r="32" spans="1:7">
      <c r="A32" s="60"/>
      <c r="B32" s="60"/>
      <c r="C32" s="60"/>
      <c r="D32" s="60"/>
      <c r="E32" s="60"/>
      <c r="F32" s="60"/>
      <c r="G32" s="60"/>
    </row>
    <row r="33" spans="1:7">
      <c r="A33" s="60"/>
      <c r="B33" s="60"/>
      <c r="C33" s="60"/>
      <c r="D33" s="60"/>
      <c r="E33" s="60"/>
      <c r="F33" s="60"/>
      <c r="G33" s="60"/>
    </row>
    <row r="34" spans="1:7">
      <c r="A34" s="60"/>
      <c r="B34" s="60"/>
      <c r="C34" s="60"/>
      <c r="D34" s="60"/>
      <c r="E34" s="60"/>
      <c r="F34" s="60"/>
      <c r="G34" s="60"/>
    </row>
    <row r="35" spans="1:7">
      <c r="A35" s="60"/>
      <c r="B35" s="60"/>
      <c r="C35" s="60"/>
      <c r="D35" s="60"/>
      <c r="E35" s="60"/>
      <c r="F35" s="60"/>
      <c r="G35" s="60"/>
    </row>
    <row r="36" spans="1:7">
      <c r="A36" s="60"/>
      <c r="B36" s="60"/>
      <c r="C36" s="60"/>
      <c r="D36" s="60"/>
      <c r="E36" s="60"/>
      <c r="F36" s="60"/>
      <c r="G36" s="60"/>
    </row>
    <row r="37" spans="1:7">
      <c r="A37" s="60"/>
      <c r="B37" s="60"/>
      <c r="C37" s="60"/>
      <c r="D37" s="60"/>
      <c r="E37" s="60"/>
      <c r="F37" s="60"/>
      <c r="G37" s="60"/>
    </row>
    <row r="38" spans="1:7">
      <c r="A38" s="60"/>
      <c r="B38" s="60"/>
      <c r="C38" s="60"/>
      <c r="D38" s="60"/>
      <c r="E38" s="60"/>
      <c r="F38" s="60"/>
      <c r="G38" s="60"/>
    </row>
    <row r="39" spans="1:7">
      <c r="A39" s="60"/>
      <c r="B39" s="60"/>
      <c r="C39" s="60"/>
      <c r="D39" s="60"/>
      <c r="E39" s="60"/>
      <c r="F39" s="60"/>
      <c r="G39" s="60"/>
    </row>
    <row r="40" spans="1:7">
      <c r="A40" s="60"/>
      <c r="B40" s="60"/>
      <c r="C40" s="60"/>
      <c r="D40" s="60"/>
      <c r="E40" s="60"/>
      <c r="F40" s="60"/>
      <c r="G40" s="60"/>
    </row>
    <row r="41" spans="1:7">
      <c r="A41" s="60"/>
      <c r="B41" s="60"/>
      <c r="C41" s="60"/>
      <c r="D41" s="60"/>
      <c r="E41" s="60"/>
      <c r="F41" s="60"/>
      <c r="G41" s="60"/>
    </row>
    <row r="42" spans="1:7">
      <c r="A42" s="60"/>
      <c r="B42" s="60"/>
      <c r="C42" s="60"/>
      <c r="D42" s="60"/>
      <c r="E42" s="60"/>
      <c r="F42" s="60"/>
      <c r="G42" s="60"/>
    </row>
    <row r="43" spans="1:7">
      <c r="A43" s="60"/>
      <c r="B43" s="60"/>
      <c r="C43" s="60"/>
      <c r="D43" s="60"/>
      <c r="E43" s="60"/>
      <c r="F43" s="60"/>
      <c r="G43" s="60"/>
    </row>
    <row r="44" spans="1:7">
      <c r="A44" s="60"/>
      <c r="B44" s="60"/>
      <c r="C44" s="60"/>
      <c r="D44" s="60"/>
      <c r="E44" s="60"/>
      <c r="F44" s="60"/>
      <c r="G44" s="60"/>
    </row>
    <row r="45" spans="1:7">
      <c r="A45" s="60"/>
      <c r="B45" s="60"/>
      <c r="C45" s="60"/>
      <c r="D45" s="60"/>
      <c r="E45" s="60"/>
      <c r="F45" s="60"/>
      <c r="G45" s="60"/>
    </row>
    <row r="46" spans="1:7">
      <c r="A46" s="60"/>
      <c r="B46" s="60"/>
      <c r="C46" s="60"/>
      <c r="D46" s="60"/>
      <c r="E46" s="60"/>
      <c r="F46" s="60"/>
      <c r="G46" s="60"/>
    </row>
    <row r="47" spans="1:7">
      <c r="A47" s="60"/>
      <c r="B47" s="60"/>
      <c r="C47" s="60"/>
      <c r="D47" s="60"/>
      <c r="E47" s="60"/>
      <c r="F47" s="60"/>
      <c r="G47" s="60"/>
    </row>
    <row r="48" spans="1:7">
      <c r="A48" s="60"/>
      <c r="B48" s="60"/>
      <c r="C48" s="60"/>
      <c r="D48" s="60"/>
      <c r="E48" s="60"/>
      <c r="F48" s="60"/>
      <c r="G48" s="60"/>
    </row>
    <row r="49" spans="1:7">
      <c r="A49" s="60"/>
      <c r="B49" s="60"/>
      <c r="C49" s="60"/>
      <c r="D49" s="60"/>
      <c r="E49" s="60"/>
      <c r="F49" s="60"/>
      <c r="G49" s="60"/>
    </row>
    <row r="50" spans="1:7">
      <c r="A50" s="60"/>
      <c r="B50" s="60"/>
      <c r="C50" s="60"/>
      <c r="D50" s="60"/>
      <c r="E50" s="60"/>
      <c r="F50" s="60"/>
      <c r="G50" s="60"/>
    </row>
    <row r="51" spans="1:7">
      <c r="A51" s="60"/>
      <c r="B51" s="60"/>
      <c r="C51" s="60"/>
      <c r="D51" s="60"/>
      <c r="E51" s="60"/>
      <c r="F51" s="60"/>
      <c r="G51" s="60"/>
    </row>
    <row r="52" spans="1:7">
      <c r="A52" s="60"/>
      <c r="B52" s="60"/>
      <c r="C52" s="60"/>
      <c r="D52" s="60"/>
      <c r="E52" s="60"/>
      <c r="F52" s="60"/>
      <c r="G52" s="60"/>
    </row>
    <row r="53" spans="1:7">
      <c r="A53" s="60"/>
      <c r="B53" s="60"/>
      <c r="C53" s="60"/>
      <c r="D53" s="60"/>
      <c r="E53" s="60"/>
      <c r="F53" s="60"/>
      <c r="G53" s="60"/>
    </row>
    <row r="54" spans="1:7">
      <c r="A54" s="60"/>
      <c r="B54" s="60"/>
      <c r="C54" s="60"/>
      <c r="D54" s="60"/>
      <c r="E54" s="60"/>
      <c r="F54" s="60"/>
      <c r="G54" s="60"/>
    </row>
    <row r="55" spans="1:7">
      <c r="A55" s="60"/>
      <c r="B55" s="60"/>
      <c r="C55" s="60"/>
      <c r="D55" s="60"/>
      <c r="E55" s="60"/>
      <c r="F55" s="60"/>
      <c r="G55" s="60"/>
    </row>
    <row r="56" spans="1:7">
      <c r="A56" s="60"/>
      <c r="B56" s="60"/>
      <c r="C56" s="60"/>
      <c r="D56" s="60"/>
      <c r="E56" s="60"/>
      <c r="F56" s="60"/>
      <c r="G56" s="60"/>
    </row>
    <row r="57" spans="1:7">
      <c r="A57" s="60"/>
      <c r="B57" s="60"/>
      <c r="C57" s="60"/>
      <c r="D57" s="60"/>
      <c r="E57" s="60"/>
      <c r="F57" s="60"/>
      <c r="G57" s="60"/>
    </row>
    <row r="58" spans="1:7">
      <c r="A58" s="60"/>
      <c r="B58" s="60"/>
      <c r="C58" s="60"/>
      <c r="D58" s="60"/>
      <c r="E58" s="60"/>
      <c r="F58" s="60"/>
      <c r="G58" s="60"/>
    </row>
    <row r="59" spans="1:7">
      <c r="A59" s="60"/>
      <c r="B59" s="60"/>
      <c r="C59" s="60"/>
      <c r="D59" s="60"/>
      <c r="E59" s="60"/>
      <c r="F59" s="60"/>
      <c r="G59" s="60"/>
    </row>
    <row r="60" spans="1:7">
      <c r="A60" s="60"/>
      <c r="B60" s="60"/>
      <c r="C60" s="60"/>
      <c r="D60" s="60"/>
      <c r="E60" s="60"/>
      <c r="F60" s="60"/>
      <c r="G60" s="60"/>
    </row>
    <row r="61" spans="1:7">
      <c r="A61" s="60"/>
      <c r="B61" s="60"/>
      <c r="C61" s="60"/>
      <c r="D61" s="60"/>
      <c r="E61" s="60"/>
      <c r="F61" s="60"/>
      <c r="G61" s="60"/>
    </row>
    <row r="62" spans="1:7">
      <c r="A62" s="60"/>
      <c r="B62" s="60"/>
      <c r="C62" s="60"/>
      <c r="D62" s="60"/>
      <c r="E62" s="60"/>
      <c r="F62" s="60"/>
      <c r="G62" s="60"/>
    </row>
    <row r="63" spans="1:7">
      <c r="A63" s="60"/>
      <c r="B63" s="60"/>
      <c r="C63" s="60"/>
      <c r="D63" s="60"/>
      <c r="E63" s="60"/>
      <c r="F63" s="60"/>
      <c r="G63" s="60"/>
    </row>
    <row r="64" spans="1:7">
      <c r="A64" s="60"/>
      <c r="B64" s="60"/>
      <c r="C64" s="60"/>
      <c r="D64" s="60"/>
      <c r="E64" s="60"/>
      <c r="F64" s="60"/>
      <c r="G64" s="60"/>
    </row>
    <row r="65" spans="1:7">
      <c r="A65" s="60"/>
      <c r="B65" s="60"/>
      <c r="C65" s="60"/>
      <c r="D65" s="60"/>
      <c r="E65" s="60"/>
      <c r="F65" s="60"/>
      <c r="G65" s="60"/>
    </row>
    <row r="66" spans="1:7">
      <c r="A66" s="60"/>
      <c r="B66" s="60"/>
      <c r="C66" s="60"/>
      <c r="D66" s="60"/>
      <c r="E66" s="60"/>
      <c r="F66" s="60"/>
      <c r="G66" s="60"/>
    </row>
    <row r="67" spans="1:7">
      <c r="A67" s="60"/>
      <c r="B67" s="60"/>
      <c r="C67" s="60"/>
      <c r="D67" s="60"/>
      <c r="E67" s="60"/>
      <c r="F67" s="60"/>
      <c r="G67" s="60"/>
    </row>
    <row r="68" spans="1:7">
      <c r="A68" s="60"/>
      <c r="B68" s="60"/>
      <c r="C68" s="60"/>
      <c r="D68" s="60"/>
      <c r="E68" s="60"/>
      <c r="F68" s="60"/>
      <c r="G68" s="60"/>
    </row>
    <row r="69" spans="1:7">
      <c r="A69" s="60"/>
      <c r="B69" s="60"/>
      <c r="C69" s="60"/>
      <c r="D69" s="60"/>
      <c r="E69" s="60"/>
      <c r="F69" s="60"/>
      <c r="G69" s="60"/>
    </row>
    <row r="70" spans="1:7">
      <c r="A70" s="60"/>
      <c r="B70" s="60"/>
      <c r="C70" s="60"/>
      <c r="D70" s="60"/>
      <c r="E70" s="60"/>
      <c r="F70" s="60"/>
      <c r="G70" s="60"/>
    </row>
    <row r="71" spans="1:7">
      <c r="A71" s="60"/>
      <c r="B71" s="60"/>
      <c r="C71" s="60"/>
      <c r="D71" s="60"/>
      <c r="E71" s="60"/>
      <c r="F71" s="60"/>
      <c r="G71" s="60"/>
    </row>
    <row r="72" spans="1:7">
      <c r="A72" s="60"/>
      <c r="B72" s="60"/>
      <c r="C72" s="60"/>
      <c r="D72" s="60"/>
      <c r="E72" s="60"/>
      <c r="F72" s="60"/>
      <c r="G72" s="60"/>
    </row>
    <row r="73" spans="1:7">
      <c r="A73" s="60"/>
      <c r="B73" s="60"/>
      <c r="C73" s="60"/>
      <c r="D73" s="60"/>
      <c r="E73" s="60"/>
      <c r="F73" s="60"/>
      <c r="G73" s="60"/>
    </row>
    <row r="74" spans="1:7">
      <c r="A74" s="60"/>
      <c r="B74" s="60"/>
      <c r="C74" s="60"/>
      <c r="D74" s="60"/>
      <c r="E74" s="60"/>
      <c r="F74" s="60"/>
      <c r="G74" s="60"/>
    </row>
    <row r="75" spans="1:7">
      <c r="A75" s="60"/>
      <c r="B75" s="60"/>
      <c r="C75" s="60"/>
      <c r="D75" s="60"/>
      <c r="E75" s="60"/>
      <c r="F75" s="60"/>
      <c r="G75" s="60"/>
    </row>
    <row r="76" spans="1:7">
      <c r="A76" s="60"/>
      <c r="B76" s="60"/>
      <c r="C76" s="60"/>
      <c r="D76" s="60"/>
      <c r="E76" s="60"/>
      <c r="F76" s="60"/>
      <c r="G76" s="60"/>
    </row>
    <row r="77" spans="1:7">
      <c r="A77" s="60"/>
      <c r="B77" s="60"/>
      <c r="C77" s="60"/>
      <c r="D77" s="60"/>
      <c r="E77" s="60"/>
      <c r="F77" s="60"/>
      <c r="G77" s="60"/>
    </row>
    <row r="78" spans="1:7">
      <c r="A78" s="60"/>
      <c r="B78" s="60"/>
      <c r="C78" s="60"/>
      <c r="D78" s="60"/>
      <c r="E78" s="60"/>
      <c r="F78" s="60"/>
      <c r="G78" s="60"/>
    </row>
    <row r="79" spans="1:7">
      <c r="A79" s="60"/>
      <c r="B79" s="60"/>
      <c r="C79" s="60"/>
      <c r="D79" s="60"/>
      <c r="E79" s="60"/>
      <c r="F79" s="60"/>
      <c r="G79" s="60"/>
    </row>
    <row r="80" spans="1:7">
      <c r="A80" s="60"/>
      <c r="B80" s="60"/>
      <c r="C80" s="60"/>
      <c r="D80" s="60"/>
      <c r="E80" s="60"/>
      <c r="F80" s="60"/>
      <c r="G80" s="60"/>
    </row>
    <row r="81" spans="1:7">
      <c r="A81" s="60"/>
      <c r="B81" s="60"/>
      <c r="C81" s="60"/>
      <c r="D81" s="60"/>
      <c r="E81" s="60"/>
      <c r="F81" s="60"/>
      <c r="G81" s="60"/>
    </row>
    <row r="82" spans="1:7">
      <c r="A82" s="60"/>
      <c r="B82" s="60"/>
      <c r="C82" s="60"/>
      <c r="D82" s="60"/>
      <c r="E82" s="60"/>
      <c r="F82" s="60"/>
      <c r="G82" s="60"/>
    </row>
    <row r="83" spans="1:7">
      <c r="A83" s="60"/>
      <c r="B83" s="60"/>
      <c r="C83" s="60"/>
      <c r="D83" s="60"/>
      <c r="E83" s="60"/>
      <c r="F83" s="60"/>
      <c r="G83" s="60"/>
    </row>
    <row r="84" spans="1:7">
      <c r="A84" s="60"/>
      <c r="B84" s="60"/>
      <c r="C84" s="60"/>
      <c r="D84" s="60"/>
      <c r="E84" s="60"/>
      <c r="F84" s="60"/>
      <c r="G84" s="60"/>
    </row>
    <row r="85" spans="1:7">
      <c r="A85" s="60"/>
      <c r="B85" s="60"/>
      <c r="C85" s="60"/>
      <c r="D85" s="60"/>
      <c r="E85" s="60"/>
      <c r="F85" s="60"/>
      <c r="G85" s="60"/>
    </row>
    <row r="86" spans="1:7">
      <c r="A86" s="60"/>
      <c r="B86" s="60"/>
      <c r="C86" s="60"/>
      <c r="D86" s="60"/>
      <c r="E86" s="60"/>
      <c r="F86" s="60"/>
      <c r="G86" s="60"/>
    </row>
    <row r="87" spans="1:7">
      <c r="A87" s="60"/>
      <c r="B87" s="60"/>
      <c r="C87" s="60"/>
      <c r="D87" s="60"/>
      <c r="E87" s="60"/>
      <c r="F87" s="60"/>
      <c r="G87" s="60"/>
    </row>
    <row r="88" spans="1:7">
      <c r="A88" s="60"/>
      <c r="B88" s="60"/>
      <c r="C88" s="60"/>
      <c r="D88" s="60"/>
      <c r="E88" s="60"/>
      <c r="F88" s="60"/>
      <c r="G88" s="60"/>
    </row>
    <row r="89" spans="1:7">
      <c r="A89" s="60"/>
      <c r="B89" s="60"/>
      <c r="C89" s="60"/>
      <c r="D89" s="60"/>
      <c r="E89" s="60"/>
      <c r="F89" s="60"/>
      <c r="G89" s="60"/>
    </row>
    <row r="90" spans="1:7">
      <c r="A90" s="60"/>
      <c r="B90" s="60"/>
      <c r="C90" s="60"/>
      <c r="D90" s="60"/>
      <c r="E90" s="60"/>
      <c r="F90" s="60"/>
      <c r="G90" s="60"/>
    </row>
    <row r="91" spans="1:7">
      <c r="A91" s="60"/>
      <c r="B91" s="60"/>
      <c r="C91" s="60"/>
      <c r="D91" s="60"/>
      <c r="E91" s="60"/>
      <c r="F91" s="60"/>
      <c r="G91" s="60"/>
    </row>
    <row r="92" spans="1:7">
      <c r="A92" s="60"/>
      <c r="B92" s="60"/>
      <c r="C92" s="60"/>
      <c r="D92" s="60"/>
      <c r="E92" s="60"/>
      <c r="F92" s="60"/>
      <c r="G92" s="60"/>
    </row>
    <row r="93" spans="1:7">
      <c r="A93" s="60"/>
      <c r="B93" s="60"/>
      <c r="C93" s="60"/>
      <c r="D93" s="60"/>
      <c r="E93" s="60"/>
      <c r="F93" s="60"/>
      <c r="G93" s="60"/>
    </row>
    <row r="94" spans="1:7">
      <c r="A94" s="60"/>
      <c r="B94" s="60"/>
      <c r="C94" s="60"/>
      <c r="D94" s="60"/>
      <c r="E94" s="60"/>
      <c r="F94" s="60"/>
      <c r="G94" s="60"/>
    </row>
    <row r="95" spans="1:7">
      <c r="A95" s="60"/>
      <c r="B95" s="60"/>
      <c r="C95" s="60"/>
      <c r="D95" s="60"/>
      <c r="E95" s="60"/>
      <c r="F95" s="60"/>
      <c r="G95" s="60"/>
    </row>
    <row r="96" spans="1:7">
      <c r="A96" s="60"/>
      <c r="B96" s="60"/>
      <c r="C96" s="60"/>
      <c r="D96" s="60"/>
      <c r="E96" s="60"/>
      <c r="F96" s="60"/>
      <c r="G96" s="60"/>
    </row>
    <row r="97" spans="1:7">
      <c r="A97" s="60"/>
      <c r="B97" s="60"/>
      <c r="C97" s="60"/>
      <c r="D97" s="60"/>
      <c r="E97" s="60"/>
      <c r="F97" s="60"/>
      <c r="G97" s="60"/>
    </row>
    <row r="98" spans="1:7">
      <c r="A98" s="60"/>
      <c r="B98" s="60"/>
      <c r="C98" s="60"/>
      <c r="D98" s="60"/>
      <c r="E98" s="60"/>
      <c r="F98" s="60"/>
      <c r="G98" s="60"/>
    </row>
    <row r="99" spans="1:7">
      <c r="A99" s="60"/>
      <c r="B99" s="60"/>
      <c r="C99" s="60"/>
      <c r="D99" s="60"/>
      <c r="E99" s="60"/>
      <c r="F99" s="60"/>
      <c r="G99" s="60"/>
    </row>
    <row r="100" spans="1:7">
      <c r="A100" s="60"/>
      <c r="B100" s="60"/>
      <c r="C100" s="60"/>
      <c r="D100" s="60"/>
      <c r="E100" s="60"/>
      <c r="F100" s="60"/>
      <c r="G100" s="60"/>
    </row>
    <row r="101" spans="1:7">
      <c r="A101" s="60"/>
      <c r="B101" s="60"/>
      <c r="C101" s="60"/>
      <c r="D101" s="60"/>
      <c r="E101" s="60"/>
      <c r="F101" s="60"/>
      <c r="G101" s="60"/>
    </row>
    <row r="102" spans="1:7">
      <c r="A102" s="60"/>
      <c r="B102" s="60"/>
      <c r="C102" s="60"/>
      <c r="D102" s="60"/>
      <c r="E102" s="60"/>
      <c r="F102" s="60"/>
      <c r="G102" s="60"/>
    </row>
    <row r="103" spans="1:7">
      <c r="A103" s="60"/>
      <c r="B103" s="60"/>
      <c r="C103" s="60"/>
      <c r="D103" s="60"/>
      <c r="E103" s="60"/>
      <c r="F103" s="60"/>
      <c r="G103" s="60"/>
    </row>
    <row r="104" spans="1:7">
      <c r="A104" s="60"/>
      <c r="B104" s="60"/>
      <c r="C104" s="60"/>
      <c r="D104" s="60"/>
      <c r="E104" s="60"/>
      <c r="F104" s="60"/>
      <c r="G104" s="60"/>
    </row>
    <row r="105" spans="1:7">
      <c r="A105" s="60"/>
      <c r="B105" s="60"/>
      <c r="C105" s="60"/>
      <c r="D105" s="60"/>
      <c r="E105" s="60"/>
      <c r="F105" s="60"/>
      <c r="G105" s="60"/>
    </row>
    <row r="106" spans="1:7">
      <c r="A106" s="60"/>
      <c r="B106" s="60"/>
      <c r="C106" s="60"/>
      <c r="D106" s="60"/>
      <c r="E106" s="60"/>
      <c r="F106" s="60"/>
      <c r="G106" s="60"/>
    </row>
    <row r="107" spans="1:7">
      <c r="A107" s="60"/>
      <c r="B107" s="60"/>
      <c r="C107" s="60"/>
      <c r="D107" s="60"/>
      <c r="E107" s="60"/>
      <c r="F107" s="60"/>
      <c r="G107" s="60"/>
    </row>
    <row r="108" spans="1:7">
      <c r="A108" s="60"/>
      <c r="B108" s="60"/>
      <c r="C108" s="60"/>
      <c r="D108" s="60"/>
      <c r="E108" s="60"/>
      <c r="F108" s="60"/>
      <c r="G108" s="60"/>
    </row>
    <row r="109" spans="1:7">
      <c r="A109" s="60"/>
      <c r="B109" s="60"/>
      <c r="C109" s="60"/>
      <c r="D109" s="60"/>
      <c r="E109" s="60"/>
      <c r="F109" s="60"/>
      <c r="G109" s="60"/>
    </row>
    <row r="110" spans="1:7">
      <c r="A110" s="60"/>
      <c r="B110" s="60"/>
      <c r="C110" s="60"/>
      <c r="D110" s="60"/>
      <c r="E110" s="60"/>
      <c r="F110" s="60"/>
      <c r="G110" s="60"/>
    </row>
    <row r="111" spans="1:7">
      <c r="A111" s="60"/>
      <c r="B111" s="81"/>
      <c r="C111" s="60"/>
      <c r="D111" s="81"/>
      <c r="E111" s="60"/>
      <c r="F111" s="60"/>
      <c r="G111" s="60"/>
    </row>
    <row r="112" spans="1:7">
      <c r="A112" s="60"/>
      <c r="B112" s="81"/>
      <c r="C112" s="60"/>
      <c r="D112" s="81"/>
      <c r="E112" s="60"/>
      <c r="F112" s="60"/>
      <c r="G112" s="60"/>
    </row>
    <row r="113" spans="1:7">
      <c r="A113" s="60"/>
      <c r="B113" s="81"/>
      <c r="C113" s="60"/>
      <c r="D113" s="81"/>
      <c r="E113" s="60"/>
      <c r="F113" s="60"/>
      <c r="G113" s="60"/>
    </row>
    <row r="114" spans="1:7">
      <c r="A114" s="60"/>
      <c r="B114" s="81"/>
      <c r="C114" s="60"/>
      <c r="D114" s="81"/>
      <c r="E114" s="60"/>
      <c r="F114" s="60"/>
      <c r="G114" s="60"/>
    </row>
    <row r="115" spans="1:7">
      <c r="A115" s="60"/>
      <c r="B115" s="81"/>
      <c r="C115" s="60"/>
      <c r="D115" s="81"/>
      <c r="E115" s="60"/>
      <c r="F115" s="60"/>
      <c r="G115" s="60"/>
    </row>
    <row r="116" spans="1:7">
      <c r="A116" s="60"/>
      <c r="B116" s="81"/>
      <c r="C116" s="60"/>
      <c r="D116" s="81"/>
      <c r="E116" s="60"/>
      <c r="F116" s="60"/>
      <c r="G116" s="60"/>
    </row>
    <row r="117" spans="1:7">
      <c r="A117" s="60"/>
      <c r="B117" s="81"/>
      <c r="C117" s="60"/>
      <c r="D117" s="81"/>
      <c r="E117" s="60"/>
      <c r="F117" s="60"/>
      <c r="G117" s="60"/>
    </row>
    <row r="118" spans="1:7">
      <c r="A118" s="60"/>
      <c r="B118" s="81"/>
      <c r="C118" s="60"/>
      <c r="D118" s="81"/>
      <c r="E118" s="60"/>
      <c r="F118" s="60"/>
      <c r="G118" s="60"/>
    </row>
    <row r="119" spans="1:7">
      <c r="A119" s="60"/>
      <c r="B119" s="81"/>
      <c r="C119" s="60"/>
      <c r="D119" s="81"/>
      <c r="E119" s="60"/>
      <c r="F119" s="60"/>
      <c r="G119" s="60"/>
    </row>
    <row r="120" spans="1:7">
      <c r="A120" s="60"/>
      <c r="B120" s="81"/>
      <c r="C120" s="60"/>
      <c r="D120" s="81"/>
      <c r="E120" s="60"/>
      <c r="F120" s="60"/>
      <c r="G120" s="60"/>
    </row>
    <row r="121" spans="1:7">
      <c r="A121" s="60"/>
      <c r="B121" s="81"/>
      <c r="C121" s="60"/>
      <c r="D121" s="81"/>
      <c r="E121" s="60"/>
      <c r="F121" s="60"/>
      <c r="G121" s="60"/>
    </row>
    <row r="122" spans="1:7">
      <c r="A122" s="60"/>
      <c r="B122" s="81"/>
      <c r="C122" s="60"/>
      <c r="D122" s="81"/>
      <c r="E122" s="60"/>
      <c r="F122" s="60"/>
      <c r="G122" s="60"/>
    </row>
    <row r="123" spans="1:7">
      <c r="A123" s="60"/>
      <c r="B123" s="81"/>
      <c r="C123" s="60"/>
      <c r="D123" s="81"/>
      <c r="E123" s="60"/>
      <c r="F123" s="60"/>
      <c r="G123" s="60"/>
    </row>
    <row r="124" spans="1:7">
      <c r="A124" s="60"/>
      <c r="B124" s="81"/>
      <c r="C124" s="60"/>
      <c r="D124" s="81"/>
      <c r="E124" s="60"/>
      <c r="F124" s="60"/>
      <c r="G124" s="60"/>
    </row>
    <row r="125" spans="1:7">
      <c r="A125" s="60"/>
      <c r="B125" s="81"/>
      <c r="C125" s="60"/>
      <c r="D125" s="81"/>
      <c r="E125" s="60"/>
      <c r="F125" s="60"/>
      <c r="G125" s="60"/>
    </row>
    <row r="126" spans="1:7">
      <c r="A126" s="60"/>
      <c r="B126" s="81"/>
      <c r="C126" s="60"/>
      <c r="D126" s="81"/>
      <c r="E126" s="60"/>
      <c r="F126" s="60"/>
      <c r="G126" s="60"/>
    </row>
    <row r="127" spans="1:7">
      <c r="A127" s="60"/>
      <c r="B127" s="81"/>
      <c r="C127" s="60"/>
      <c r="D127" s="81"/>
      <c r="E127" s="60"/>
      <c r="F127" s="60"/>
      <c r="G127" s="60"/>
    </row>
    <row r="128" spans="1:7">
      <c r="A128" s="60"/>
      <c r="B128" s="81"/>
      <c r="C128" s="60"/>
      <c r="D128" s="81"/>
      <c r="E128" s="60"/>
      <c r="F128" s="60"/>
      <c r="G128" s="60"/>
    </row>
    <row r="129" spans="1:7">
      <c r="A129" s="60"/>
      <c r="B129" s="81"/>
      <c r="C129" s="60"/>
      <c r="D129" s="81"/>
      <c r="E129" s="60"/>
      <c r="F129" s="60"/>
      <c r="G129" s="60"/>
    </row>
    <row r="130" spans="1:7">
      <c r="A130" s="60"/>
      <c r="B130" s="81"/>
      <c r="C130" s="60"/>
      <c r="D130" s="81"/>
      <c r="E130" s="60"/>
      <c r="F130" s="60"/>
      <c r="G130" s="60"/>
    </row>
    <row r="131" spans="1:7">
      <c r="A131" s="60"/>
      <c r="B131" s="81"/>
      <c r="C131" s="60"/>
      <c r="D131" s="81"/>
      <c r="E131" s="60"/>
      <c r="F131" s="60"/>
      <c r="G131" s="60"/>
    </row>
    <row r="132" spans="1:7">
      <c r="A132" s="60"/>
      <c r="B132" s="81"/>
      <c r="C132" s="60"/>
      <c r="D132" s="81"/>
      <c r="E132" s="60"/>
      <c r="F132" s="60"/>
      <c r="G132" s="60"/>
    </row>
    <row r="133" spans="1:7">
      <c r="A133" s="60"/>
      <c r="B133" s="81"/>
      <c r="C133" s="60"/>
      <c r="D133" s="81"/>
      <c r="E133" s="60"/>
      <c r="F133" s="60"/>
      <c r="G133" s="60"/>
    </row>
    <row r="134" spans="1:7">
      <c r="A134" s="60"/>
      <c r="B134" s="81"/>
      <c r="C134" s="60"/>
      <c r="D134" s="81"/>
      <c r="E134" s="60"/>
      <c r="F134" s="60"/>
      <c r="G134" s="60"/>
    </row>
    <row r="135" spans="1:7">
      <c r="A135" s="60"/>
      <c r="B135" s="81"/>
      <c r="C135" s="60"/>
      <c r="D135" s="81"/>
      <c r="E135" s="60"/>
      <c r="F135" s="60"/>
      <c r="G135" s="60"/>
    </row>
    <row r="136" spans="1:7">
      <c r="A136" s="60"/>
      <c r="B136" s="81"/>
      <c r="C136" s="60"/>
      <c r="D136" s="81"/>
      <c r="E136" s="60"/>
      <c r="F136" s="60"/>
      <c r="G136" s="60"/>
    </row>
    <row r="137" spans="1:7">
      <c r="A137" s="60"/>
      <c r="B137" s="81"/>
      <c r="C137" s="60"/>
      <c r="D137" s="81"/>
      <c r="E137" s="60"/>
      <c r="F137" s="60"/>
      <c r="G137" s="60"/>
    </row>
    <row r="138" spans="1:7">
      <c r="A138" s="60"/>
      <c r="B138" s="81"/>
      <c r="C138" s="60"/>
      <c r="D138" s="81"/>
      <c r="E138" s="60"/>
      <c r="F138" s="60"/>
      <c r="G138" s="60"/>
    </row>
    <row r="139" spans="1:7">
      <c r="A139" s="60"/>
      <c r="B139" s="81"/>
      <c r="C139" s="60"/>
      <c r="D139" s="81"/>
      <c r="E139" s="60"/>
      <c r="F139" s="60"/>
      <c r="G139" s="60"/>
    </row>
    <row r="140" spans="1:7">
      <c r="A140" s="60"/>
      <c r="B140" s="81"/>
      <c r="C140" s="60"/>
      <c r="D140" s="81"/>
      <c r="E140" s="60"/>
      <c r="F140" s="60"/>
      <c r="G140" s="60"/>
    </row>
    <row r="141" spans="1:7">
      <c r="A141" s="60"/>
      <c r="B141" s="81"/>
      <c r="C141" s="60"/>
      <c r="D141" s="81"/>
      <c r="E141" s="60"/>
      <c r="F141" s="60"/>
      <c r="G141" s="60"/>
    </row>
    <row r="142" spans="1:7">
      <c r="A142" s="60"/>
      <c r="B142" s="81"/>
      <c r="C142" s="60"/>
      <c r="D142" s="81"/>
      <c r="E142" s="60"/>
      <c r="F142" s="60"/>
      <c r="G142" s="60"/>
    </row>
    <row r="143" spans="1:7">
      <c r="A143" s="60"/>
      <c r="B143" s="81"/>
      <c r="C143" s="60"/>
      <c r="D143" s="81"/>
      <c r="E143" s="60"/>
      <c r="F143" s="60"/>
      <c r="G143" s="60"/>
    </row>
    <row r="144" spans="1:7">
      <c r="A144" s="60"/>
      <c r="B144" s="81"/>
      <c r="C144" s="60"/>
      <c r="D144" s="81"/>
      <c r="E144" s="60"/>
      <c r="F144" s="60"/>
      <c r="G144" s="60"/>
    </row>
    <row r="145" spans="1:7">
      <c r="A145" s="60"/>
      <c r="B145" s="81"/>
      <c r="C145" s="60"/>
      <c r="D145" s="81"/>
      <c r="E145" s="60"/>
      <c r="F145" s="60"/>
      <c r="G145" s="60"/>
    </row>
    <row r="146" spans="1:7">
      <c r="A146" s="60"/>
      <c r="B146" s="81"/>
      <c r="C146" s="60"/>
      <c r="D146" s="81"/>
      <c r="E146" s="60"/>
      <c r="F146" s="60"/>
      <c r="G146" s="60"/>
    </row>
    <row r="147" spans="1:7">
      <c r="A147" s="60"/>
      <c r="B147" s="81"/>
      <c r="C147" s="60"/>
      <c r="D147" s="81"/>
      <c r="E147" s="60"/>
      <c r="F147" s="60"/>
      <c r="G147" s="60"/>
    </row>
    <row r="148" spans="1:7">
      <c r="A148" s="60"/>
      <c r="B148" s="81"/>
      <c r="C148" s="60"/>
      <c r="D148" s="81"/>
      <c r="E148" s="60"/>
      <c r="F148" s="60"/>
      <c r="G148" s="60"/>
    </row>
    <row r="149" spans="1:7">
      <c r="A149" s="60"/>
      <c r="B149" s="81"/>
      <c r="C149" s="60"/>
      <c r="D149" s="81"/>
      <c r="E149" s="60"/>
      <c r="F149" s="60"/>
      <c r="G149" s="60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4B084"/>
  </sheetPr>
  <dimension ref="A1:BK149"/>
  <sheetViews>
    <sheetView workbookViewId="0">
      <pane xSplit="4" ySplit="3" topLeftCell="E4" activePane="bottomRight" state="frozen"/>
      <selection pane="topRight"/>
      <selection pane="bottomLeft"/>
      <selection pane="bottomRight" activeCell="F1" sqref="F1:K1048576"/>
    </sheetView>
  </sheetViews>
  <sheetFormatPr defaultRowHeight="14.5"/>
  <cols>
    <col min="1" max="1" width="36" bestFit="1" customWidth="1"/>
    <col min="2" max="2" width="4.453125" style="54" customWidth="1"/>
    <col min="3" max="3" width="19.90625" style="49" customWidth="1"/>
    <col min="4" max="4" width="7.6328125" style="54" customWidth="1"/>
    <col min="5" max="5" width="9.1796875" bestFit="1" customWidth="1"/>
    <col min="6" max="8" width="10.7265625" style="59" customWidth="1"/>
    <col min="9" max="10" width="10.7265625" bestFit="1" customWidth="1"/>
    <col min="11" max="11" width="10.7265625" style="218" customWidth="1"/>
    <col min="12" max="15" width="10.7265625" bestFit="1" customWidth="1"/>
    <col min="16" max="16" width="11.7265625" bestFit="1" customWidth="1"/>
    <col min="17" max="23" width="10.7265625" bestFit="1" customWidth="1"/>
  </cols>
  <sheetData>
    <row r="1" spans="1:63">
      <c r="A1" s="233"/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4"/>
      <c r="Z1" s="234"/>
      <c r="AA1" s="233"/>
      <c r="AB1" s="233"/>
      <c r="AC1" s="233"/>
      <c r="AD1" s="233"/>
      <c r="AE1" s="233"/>
      <c r="AF1" s="233"/>
      <c r="AG1" s="233"/>
      <c r="AH1" s="233"/>
      <c r="AI1" s="235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</row>
    <row r="2" spans="1:63" s="229" customFormat="1">
      <c r="A2" s="236" t="s">
        <v>0</v>
      </c>
      <c r="B2" s="237"/>
      <c r="C2" s="237"/>
      <c r="D2" s="237"/>
      <c r="E2" s="238">
        <v>45657</v>
      </c>
      <c r="F2" s="238">
        <v>45747</v>
      </c>
      <c r="G2" s="238">
        <v>45838</v>
      </c>
      <c r="H2" s="238">
        <v>45930</v>
      </c>
      <c r="I2" s="238">
        <v>46022</v>
      </c>
      <c r="J2" s="238">
        <v>46112</v>
      </c>
      <c r="K2" s="238">
        <v>46203</v>
      </c>
      <c r="L2" s="238">
        <v>45747</v>
      </c>
      <c r="M2" s="238">
        <v>45838</v>
      </c>
      <c r="N2" s="238">
        <v>45930</v>
      </c>
      <c r="O2" s="238">
        <v>46022</v>
      </c>
      <c r="P2" s="238">
        <v>46112</v>
      </c>
      <c r="Q2" s="238">
        <v>46203</v>
      </c>
      <c r="R2" s="238">
        <v>46295</v>
      </c>
      <c r="S2" s="238">
        <v>46387</v>
      </c>
      <c r="T2" s="238">
        <v>46752</v>
      </c>
      <c r="U2" s="238">
        <v>47118</v>
      </c>
      <c r="V2" s="238">
        <v>47483</v>
      </c>
      <c r="W2" s="238">
        <v>47848</v>
      </c>
      <c r="X2" s="238"/>
      <c r="Y2" s="238"/>
      <c r="Z2" s="238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39"/>
      <c r="AN2" s="239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I2" s="239"/>
      <c r="BJ2" s="239"/>
      <c r="BK2" s="239"/>
    </row>
    <row r="3" spans="1:63" s="232" customFormat="1">
      <c r="A3" s="68"/>
      <c r="B3" s="230"/>
      <c r="C3" s="230"/>
      <c r="D3" s="230"/>
      <c r="E3" s="231" t="s">
        <v>56</v>
      </c>
      <c r="F3" s="68"/>
      <c r="G3" s="68"/>
      <c r="H3" s="68"/>
      <c r="I3" s="68"/>
      <c r="J3" s="68"/>
      <c r="K3" s="231"/>
      <c r="L3" s="231" t="s">
        <v>42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</row>
    <row r="4" spans="1:63" s="56" customFormat="1" ht="18.5" customHeight="1">
      <c r="A4" s="233"/>
      <c r="B4" s="240" t="s">
        <v>42</v>
      </c>
      <c r="C4" s="241" t="s">
        <v>43</v>
      </c>
      <c r="D4" s="240" t="s">
        <v>3</v>
      </c>
      <c r="E4" s="242"/>
      <c r="F4" s="233"/>
      <c r="G4" s="233"/>
      <c r="H4" s="233"/>
      <c r="I4" s="242"/>
      <c r="J4" s="242"/>
      <c r="K4" s="233"/>
      <c r="L4" s="242"/>
      <c r="M4" s="242"/>
      <c r="N4" s="242"/>
      <c r="O4" s="242"/>
      <c r="P4" s="242"/>
      <c r="Q4" s="242"/>
      <c r="R4" s="242"/>
      <c r="S4" s="242"/>
      <c r="T4" s="243"/>
      <c r="U4" s="243"/>
      <c r="V4" s="243"/>
      <c r="W4" s="243"/>
      <c r="X4" s="244"/>
      <c r="Y4" s="234"/>
      <c r="Z4" s="234"/>
      <c r="AA4" s="233"/>
      <c r="AB4" s="233"/>
      <c r="AC4" s="233"/>
      <c r="AD4" s="233"/>
      <c r="AE4" s="233"/>
      <c r="AF4" s="233"/>
      <c r="AG4" s="233"/>
      <c r="AH4" s="233"/>
      <c r="AI4" s="235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</row>
    <row r="5" spans="1:63" s="48" customFormat="1">
      <c r="A5" s="245" t="s">
        <v>320</v>
      </c>
      <c r="B5" s="246"/>
      <c r="C5" s="247"/>
      <c r="D5" s="246"/>
      <c r="E5" s="242"/>
      <c r="F5" s="233"/>
      <c r="G5" s="233"/>
      <c r="H5" s="233"/>
      <c r="I5" s="242"/>
      <c r="J5" s="242"/>
      <c r="K5" s="233"/>
      <c r="L5" s="242"/>
      <c r="M5" s="242"/>
      <c r="N5" s="242"/>
      <c r="O5" s="242"/>
      <c r="P5" s="242"/>
      <c r="Q5" s="242"/>
      <c r="R5" s="242"/>
      <c r="S5" s="242"/>
      <c r="T5" s="243"/>
      <c r="U5" s="243"/>
      <c r="V5" s="243"/>
      <c r="W5" s="243"/>
      <c r="X5" s="244"/>
      <c r="Y5" s="234"/>
      <c r="Z5" s="234"/>
      <c r="AA5" s="233"/>
      <c r="AB5" s="233"/>
      <c r="AC5" s="233"/>
      <c r="AD5" s="233"/>
      <c r="AE5" s="233"/>
      <c r="AF5" s="233"/>
      <c r="AG5" s="233"/>
      <c r="AH5" s="233"/>
      <c r="AI5" s="235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</row>
    <row r="6" spans="1:63">
      <c r="A6" s="248" t="s">
        <v>321</v>
      </c>
      <c r="B6" s="249" t="s">
        <v>25</v>
      </c>
      <c r="C6" s="250" t="s">
        <v>322</v>
      </c>
      <c r="D6" s="251" t="s">
        <v>27</v>
      </c>
      <c r="E6" s="252"/>
      <c r="F6" s="233"/>
      <c r="G6" s="233"/>
      <c r="H6" s="233"/>
      <c r="I6" s="253">
        <v>375000</v>
      </c>
      <c r="J6" s="253">
        <v>375000</v>
      </c>
      <c r="K6" s="233"/>
      <c r="L6" s="254">
        <v>375000</v>
      </c>
      <c r="M6" s="254">
        <v>375000</v>
      </c>
      <c r="N6" s="254">
        <v>375000</v>
      </c>
      <c r="O6" s="254">
        <v>375000</v>
      </c>
      <c r="P6" s="255">
        <v>375000</v>
      </c>
      <c r="Q6" s="256">
        <v>375000</v>
      </c>
      <c r="R6" s="256">
        <v>375000</v>
      </c>
      <c r="S6" s="256">
        <v>375000</v>
      </c>
      <c r="T6" s="254">
        <v>1500000</v>
      </c>
      <c r="U6" s="256">
        <v>1500000</v>
      </c>
      <c r="V6" s="256">
        <v>1500000</v>
      </c>
      <c r="W6" s="256">
        <v>1500000</v>
      </c>
      <c r="X6" s="257"/>
      <c r="Y6" s="234"/>
      <c r="Z6" s="234"/>
      <c r="AA6" s="233"/>
      <c r="AB6" s="233"/>
      <c r="AC6" s="233"/>
      <c r="AD6" s="233"/>
      <c r="AE6" s="233"/>
      <c r="AF6" s="233"/>
      <c r="AG6" s="233"/>
      <c r="AH6" s="233"/>
      <c r="AI6" s="235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233"/>
      <c r="BG6" s="233"/>
      <c r="BH6" s="233"/>
      <c r="BI6" s="233"/>
      <c r="BJ6" s="233"/>
      <c r="BK6" s="233"/>
    </row>
    <row r="7" spans="1:63">
      <c r="A7" s="248" t="s">
        <v>323</v>
      </c>
      <c r="B7" s="249" t="s">
        <v>25</v>
      </c>
      <c r="C7" s="250" t="s">
        <v>322</v>
      </c>
      <c r="D7" s="251" t="s">
        <v>324</v>
      </c>
      <c r="E7" s="233"/>
      <c r="F7" s="233"/>
      <c r="G7" s="233"/>
      <c r="H7" s="233"/>
      <c r="I7" s="253">
        <v>0</v>
      </c>
      <c r="J7" s="253">
        <v>0</v>
      </c>
      <c r="K7" s="233"/>
      <c r="L7" s="254">
        <v>0</v>
      </c>
      <c r="M7" s="254">
        <v>0</v>
      </c>
      <c r="N7" s="254">
        <v>0</v>
      </c>
      <c r="O7" s="254">
        <v>0</v>
      </c>
      <c r="P7" s="258">
        <v>0</v>
      </c>
      <c r="Q7" s="256">
        <v>0</v>
      </c>
      <c r="R7" s="256">
        <v>0</v>
      </c>
      <c r="S7" s="256">
        <v>0</v>
      </c>
      <c r="T7" s="254">
        <v>0</v>
      </c>
      <c r="U7" s="256">
        <v>0</v>
      </c>
      <c r="V7" s="256">
        <v>0</v>
      </c>
      <c r="W7" s="256">
        <v>0</v>
      </c>
      <c r="X7" s="257"/>
      <c r="Y7" s="234"/>
      <c r="Z7" s="234"/>
      <c r="AA7" s="233"/>
      <c r="AB7" s="233"/>
      <c r="AC7" s="233"/>
      <c r="AD7" s="233"/>
      <c r="AE7" s="233"/>
      <c r="AF7" s="233"/>
      <c r="AG7" s="233"/>
      <c r="AH7" s="233"/>
      <c r="AI7" s="235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33"/>
      <c r="BG7" s="233"/>
      <c r="BH7" s="233"/>
      <c r="BI7" s="233"/>
      <c r="BJ7" s="233"/>
      <c r="BK7" s="233"/>
    </row>
    <row r="8" spans="1:63">
      <c r="A8" s="248" t="s">
        <v>325</v>
      </c>
      <c r="B8" s="249" t="s">
        <v>25</v>
      </c>
      <c r="C8" s="250" t="s">
        <v>322</v>
      </c>
      <c r="D8" s="251" t="s">
        <v>326</v>
      </c>
      <c r="E8" s="233"/>
      <c r="F8" s="233"/>
      <c r="G8" s="233"/>
      <c r="H8" s="233"/>
      <c r="I8" s="253">
        <v>0</v>
      </c>
      <c r="J8" s="253">
        <v>25750</v>
      </c>
      <c r="K8" s="233"/>
      <c r="L8" s="254">
        <v>0</v>
      </c>
      <c r="M8" s="254">
        <v>0</v>
      </c>
      <c r="N8" s="254">
        <v>0</v>
      </c>
      <c r="O8" s="254">
        <v>0</v>
      </c>
      <c r="P8" s="255">
        <v>25750</v>
      </c>
      <c r="Q8" s="256">
        <v>25750</v>
      </c>
      <c r="R8" s="256">
        <v>25750</v>
      </c>
      <c r="S8" s="256">
        <v>25750</v>
      </c>
      <c r="T8" s="254">
        <v>103000</v>
      </c>
      <c r="U8" s="256">
        <v>103000</v>
      </c>
      <c r="V8" s="256">
        <v>103000</v>
      </c>
      <c r="W8" s="256">
        <v>103000</v>
      </c>
      <c r="X8" s="257"/>
      <c r="Y8" s="234"/>
      <c r="Z8" s="234"/>
      <c r="AA8" s="233"/>
      <c r="AB8" s="233"/>
      <c r="AC8" s="233"/>
      <c r="AD8" s="233"/>
      <c r="AE8" s="257"/>
      <c r="AF8" s="233"/>
      <c r="AG8" s="233"/>
      <c r="AH8" s="233"/>
      <c r="AI8" s="235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233"/>
    </row>
    <row r="9" spans="1:63">
      <c r="A9" s="248" t="s">
        <v>327</v>
      </c>
      <c r="B9" s="259" t="s">
        <v>25</v>
      </c>
      <c r="C9" s="259" t="s">
        <v>322</v>
      </c>
      <c r="D9" s="259" t="s">
        <v>328</v>
      </c>
      <c r="E9" s="233"/>
      <c r="F9" s="233"/>
      <c r="G9" s="233"/>
      <c r="H9" s="233"/>
      <c r="I9" s="253">
        <v>31250</v>
      </c>
      <c r="J9" s="253">
        <v>31250</v>
      </c>
      <c r="K9" s="233"/>
      <c r="L9" s="254">
        <v>31250</v>
      </c>
      <c r="M9" s="254">
        <v>31250</v>
      </c>
      <c r="N9" s="254">
        <v>31250</v>
      </c>
      <c r="O9" s="254">
        <v>31250</v>
      </c>
      <c r="P9" s="255">
        <v>31250</v>
      </c>
      <c r="Q9" s="256">
        <v>31250</v>
      </c>
      <c r="R9" s="256">
        <v>31250</v>
      </c>
      <c r="S9" s="256">
        <v>31250</v>
      </c>
      <c r="T9" s="254">
        <v>125000</v>
      </c>
      <c r="U9" s="256">
        <v>125000</v>
      </c>
      <c r="V9" s="256">
        <v>125000</v>
      </c>
      <c r="W9" s="256">
        <v>125000</v>
      </c>
      <c r="X9" s="257"/>
      <c r="Y9" s="234"/>
      <c r="Z9" s="234"/>
      <c r="AA9" s="233"/>
      <c r="AB9" s="233"/>
      <c r="AC9" s="233"/>
      <c r="AD9" s="233"/>
      <c r="AE9" s="233"/>
      <c r="AF9" s="233"/>
      <c r="AG9" s="233"/>
      <c r="AH9" s="233"/>
      <c r="AI9" s="235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33"/>
      <c r="AU9" s="233"/>
      <c r="AV9" s="233"/>
      <c r="AW9" s="233"/>
      <c r="AX9" s="233"/>
      <c r="AY9" s="233"/>
      <c r="AZ9" s="233"/>
      <c r="BA9" s="233"/>
      <c r="BB9" s="233"/>
      <c r="BC9" s="233"/>
      <c r="BD9" s="233"/>
      <c r="BE9" s="233"/>
      <c r="BF9" s="233"/>
      <c r="BG9" s="233"/>
      <c r="BH9" s="233"/>
      <c r="BI9" s="233"/>
      <c r="BJ9" s="233"/>
      <c r="BK9" s="233"/>
    </row>
    <row r="10" spans="1:63">
      <c r="A10" s="259" t="s">
        <v>329</v>
      </c>
      <c r="B10" s="259" t="s">
        <v>25</v>
      </c>
      <c r="C10" s="259" t="s">
        <v>322</v>
      </c>
      <c r="D10" s="259" t="s">
        <v>330</v>
      </c>
      <c r="E10" s="233"/>
      <c r="F10" s="257"/>
      <c r="G10" s="257"/>
      <c r="H10" s="257"/>
      <c r="I10" s="253">
        <v>0</v>
      </c>
      <c r="J10" s="253">
        <v>0</v>
      </c>
      <c r="K10" s="257"/>
      <c r="L10" s="254">
        <v>0</v>
      </c>
      <c r="M10" s="254">
        <v>0</v>
      </c>
      <c r="N10" s="254">
        <v>0</v>
      </c>
      <c r="O10" s="254">
        <v>0</v>
      </c>
      <c r="P10" s="254">
        <v>0</v>
      </c>
      <c r="Q10" s="254">
        <v>0</v>
      </c>
      <c r="R10" s="254">
        <v>0</v>
      </c>
      <c r="S10" s="254">
        <v>0</v>
      </c>
      <c r="T10" s="254">
        <v>0</v>
      </c>
      <c r="U10" s="254">
        <v>0</v>
      </c>
      <c r="V10" s="254">
        <v>0</v>
      </c>
      <c r="W10" s="254">
        <v>0</v>
      </c>
      <c r="X10" s="257"/>
      <c r="Y10" s="234"/>
      <c r="Z10" s="234"/>
      <c r="AA10" s="233"/>
      <c r="AB10" s="233"/>
      <c r="AC10" s="233"/>
      <c r="AD10" s="233"/>
      <c r="AE10" s="233"/>
      <c r="AF10" s="233"/>
      <c r="AG10" s="233"/>
      <c r="AH10" s="233"/>
      <c r="AI10" s="235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</row>
    <row r="11" spans="1:63">
      <c r="A11" s="259" t="s">
        <v>331</v>
      </c>
      <c r="B11" s="259" t="s">
        <v>25</v>
      </c>
      <c r="C11" s="259" t="s">
        <v>322</v>
      </c>
      <c r="D11" s="259" t="s">
        <v>332</v>
      </c>
      <c r="E11" s="257"/>
      <c r="F11" s="233"/>
      <c r="G11" s="233"/>
      <c r="H11" s="233"/>
      <c r="I11" s="253">
        <v>87500</v>
      </c>
      <c r="J11" s="253">
        <v>87500</v>
      </c>
      <c r="K11" s="233"/>
      <c r="L11" s="254">
        <v>87500</v>
      </c>
      <c r="M11" s="254">
        <v>87500</v>
      </c>
      <c r="N11" s="254">
        <v>87500</v>
      </c>
      <c r="O11" s="254">
        <v>87500</v>
      </c>
      <c r="P11" s="254">
        <v>87500</v>
      </c>
      <c r="Q11" s="254">
        <v>0</v>
      </c>
      <c r="R11" s="254">
        <v>0</v>
      </c>
      <c r="S11" s="254">
        <v>0</v>
      </c>
      <c r="T11" s="254">
        <v>0</v>
      </c>
      <c r="U11" s="254">
        <v>0</v>
      </c>
      <c r="V11" s="254">
        <v>0</v>
      </c>
      <c r="W11" s="254">
        <v>0</v>
      </c>
      <c r="X11" s="257"/>
      <c r="Y11" s="234"/>
      <c r="Z11" s="234"/>
      <c r="AA11" s="233"/>
      <c r="AB11" s="233"/>
      <c r="AC11" s="233"/>
      <c r="AD11" s="233"/>
      <c r="AE11" s="233"/>
      <c r="AF11" s="233"/>
      <c r="AG11" s="233"/>
      <c r="AH11" s="233"/>
      <c r="AI11" s="235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</row>
    <row r="12" spans="1:63">
      <c r="A12" s="260" t="s">
        <v>78</v>
      </c>
      <c r="B12" s="233"/>
      <c r="C12" s="233"/>
      <c r="D12" s="233"/>
      <c r="E12" s="257"/>
      <c r="F12" s="261"/>
      <c r="G12" s="261"/>
      <c r="H12" s="261"/>
      <c r="I12" s="253">
        <v>493750</v>
      </c>
      <c r="J12" s="253">
        <v>519500</v>
      </c>
      <c r="K12" s="261"/>
      <c r="L12" s="257">
        <f t="shared" ref="L12:W12" si="0">SUM(L6:L11)</f>
        <v>493750</v>
      </c>
      <c r="M12" s="257">
        <f t="shared" si="0"/>
        <v>493750</v>
      </c>
      <c r="N12" s="257">
        <f t="shared" si="0"/>
        <v>493750</v>
      </c>
      <c r="O12" s="257">
        <f t="shared" si="0"/>
        <v>493750</v>
      </c>
      <c r="P12" s="257">
        <f t="shared" si="0"/>
        <v>519500</v>
      </c>
      <c r="Q12" s="257">
        <f t="shared" si="0"/>
        <v>432000</v>
      </c>
      <c r="R12" s="257">
        <f t="shared" si="0"/>
        <v>432000</v>
      </c>
      <c r="S12" s="257">
        <f t="shared" si="0"/>
        <v>432000</v>
      </c>
      <c r="T12" s="257">
        <f t="shared" si="0"/>
        <v>1728000</v>
      </c>
      <c r="U12" s="257">
        <f t="shared" si="0"/>
        <v>1728000</v>
      </c>
      <c r="V12" s="257">
        <f t="shared" si="0"/>
        <v>1728000</v>
      </c>
      <c r="W12" s="257">
        <f t="shared" si="0"/>
        <v>1728000</v>
      </c>
      <c r="X12" s="257"/>
      <c r="Y12" s="234"/>
      <c r="Z12" s="234"/>
      <c r="AA12" s="233"/>
      <c r="AB12" s="233"/>
      <c r="AC12" s="233"/>
      <c r="AD12" s="233"/>
      <c r="AE12" s="233"/>
      <c r="AF12" s="233"/>
      <c r="AG12" s="233"/>
      <c r="AH12" s="233"/>
      <c r="AI12" s="235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</row>
    <row r="13" spans="1:63">
      <c r="A13" s="259" t="s">
        <v>333</v>
      </c>
      <c r="B13" s="233"/>
      <c r="C13" s="233"/>
      <c r="D13" s="233"/>
      <c r="E13" s="233"/>
      <c r="F13" s="261"/>
      <c r="G13" s="261"/>
      <c r="H13" s="261"/>
      <c r="I13" s="233"/>
      <c r="J13" s="233"/>
      <c r="K13" s="261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4"/>
      <c r="Z13" s="234"/>
      <c r="AA13" s="233"/>
      <c r="AB13" s="233"/>
      <c r="AC13" s="233"/>
      <c r="AD13" s="233"/>
      <c r="AE13" s="233"/>
      <c r="AF13" s="233"/>
      <c r="AG13" s="233"/>
      <c r="AH13" s="233"/>
      <c r="AI13" s="235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</row>
    <row r="14" spans="1:63">
      <c r="A14" s="233" t="str">
        <f t="shared" ref="A14:A19" si="1">+A6</f>
        <v>Managing Member (SK)</v>
      </c>
      <c r="B14" s="259" t="s">
        <v>25</v>
      </c>
      <c r="C14" s="259" t="s">
        <v>334</v>
      </c>
      <c r="D14" s="259" t="s">
        <v>27</v>
      </c>
      <c r="E14" s="235"/>
      <c r="F14" s="233"/>
      <c r="G14" s="233"/>
      <c r="H14" s="233"/>
      <c r="I14" s="262">
        <v>0</v>
      </c>
      <c r="J14" s="262">
        <v>0</v>
      </c>
      <c r="K14" s="233"/>
      <c r="L14" s="256">
        <v>0</v>
      </c>
      <c r="M14" s="256">
        <v>0</v>
      </c>
      <c r="N14" s="256">
        <v>0</v>
      </c>
      <c r="O14" s="256">
        <v>0</v>
      </c>
      <c r="P14" s="256">
        <v>0</v>
      </c>
      <c r="Q14" s="256">
        <v>0</v>
      </c>
      <c r="R14" s="256">
        <v>0</v>
      </c>
      <c r="S14" s="256">
        <v>0</v>
      </c>
      <c r="T14" s="256">
        <v>0</v>
      </c>
      <c r="U14" s="256">
        <v>0</v>
      </c>
      <c r="V14" s="256">
        <v>0</v>
      </c>
      <c r="W14" s="256">
        <v>0</v>
      </c>
      <c r="X14" s="235"/>
      <c r="Y14" s="234"/>
      <c r="Z14" s="234"/>
      <c r="AA14" s="233"/>
      <c r="AB14" s="233"/>
      <c r="AC14" s="233"/>
      <c r="AD14" s="233"/>
      <c r="AE14" s="233"/>
      <c r="AF14" s="233"/>
      <c r="AG14" s="233"/>
      <c r="AH14" s="233"/>
      <c r="AI14" s="235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</row>
    <row r="15" spans="1:63">
      <c r="A15" s="233" t="str">
        <f t="shared" si="1"/>
        <v>Philanropy senior exec (LM) (100%roots)</v>
      </c>
      <c r="B15" s="259" t="s">
        <v>25</v>
      </c>
      <c r="C15" s="259" t="s">
        <v>334</v>
      </c>
      <c r="D15" s="259" t="s">
        <v>324</v>
      </c>
      <c r="E15" s="257"/>
      <c r="F15" s="233"/>
      <c r="G15" s="233"/>
      <c r="H15" s="233"/>
      <c r="I15" s="262">
        <v>0</v>
      </c>
      <c r="J15" s="262">
        <v>0</v>
      </c>
      <c r="K15" s="233"/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X15" s="257"/>
      <c r="Y15" s="234"/>
      <c r="Z15" s="234"/>
      <c r="AA15" s="233"/>
      <c r="AB15" s="233"/>
      <c r="AC15" s="233"/>
      <c r="AD15" s="233"/>
      <c r="AE15" s="233"/>
      <c r="AF15" s="233"/>
      <c r="AG15" s="233"/>
      <c r="AH15" s="233"/>
      <c r="AI15" s="235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</row>
    <row r="16" spans="1:63">
      <c r="A16" s="233" t="str">
        <f t="shared" si="1"/>
        <v>Bookkeeper (DD)</v>
      </c>
      <c r="B16" s="259" t="s">
        <v>25</v>
      </c>
      <c r="C16" s="259" t="s">
        <v>334</v>
      </c>
      <c r="D16" s="259" t="s">
        <v>326</v>
      </c>
      <c r="E16" s="257"/>
      <c r="F16" s="233"/>
      <c r="G16" s="233"/>
      <c r="H16" s="233"/>
      <c r="I16" s="262">
        <v>10000</v>
      </c>
      <c r="J16" s="262">
        <v>0</v>
      </c>
      <c r="K16" s="233"/>
      <c r="L16" s="256">
        <v>0</v>
      </c>
      <c r="M16" s="256"/>
      <c r="N16" s="256">
        <v>0</v>
      </c>
      <c r="O16" s="256">
        <v>10000</v>
      </c>
      <c r="P16" s="256">
        <v>0</v>
      </c>
      <c r="Q16" s="256">
        <v>0</v>
      </c>
      <c r="R16" s="256">
        <v>0</v>
      </c>
      <c r="S16" s="256">
        <v>5000</v>
      </c>
      <c r="T16" s="256">
        <v>5000</v>
      </c>
      <c r="U16" s="256">
        <v>5000</v>
      </c>
      <c r="V16" s="256">
        <v>5000</v>
      </c>
      <c r="W16" s="256">
        <v>5000</v>
      </c>
      <c r="X16" s="257"/>
      <c r="Y16" s="234"/>
      <c r="Z16" s="234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3"/>
      <c r="AU16" s="233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33"/>
      <c r="BG16" s="233"/>
      <c r="BH16" s="233"/>
      <c r="BI16" s="233"/>
      <c r="BJ16" s="233"/>
      <c r="BK16" s="233"/>
    </row>
    <row r="17" spans="1:63">
      <c r="A17" s="233" t="str">
        <f t="shared" si="1"/>
        <v>Personal Assistant (CD)</v>
      </c>
      <c r="B17" s="259" t="s">
        <v>25</v>
      </c>
      <c r="C17" s="259" t="s">
        <v>334</v>
      </c>
      <c r="D17" s="259" t="s">
        <v>328</v>
      </c>
      <c r="E17" s="257"/>
      <c r="F17" s="263"/>
      <c r="G17" s="263"/>
      <c r="H17" s="263"/>
      <c r="I17" s="262">
        <v>0</v>
      </c>
      <c r="J17" s="262">
        <v>0</v>
      </c>
      <c r="K17" s="263"/>
      <c r="L17" s="256">
        <v>0</v>
      </c>
      <c r="M17" s="256">
        <v>0</v>
      </c>
      <c r="N17" s="256">
        <v>0</v>
      </c>
      <c r="O17" s="256">
        <v>0</v>
      </c>
      <c r="P17" s="256">
        <v>0</v>
      </c>
      <c r="Q17" s="256">
        <v>0</v>
      </c>
      <c r="R17" s="256">
        <v>0</v>
      </c>
      <c r="S17" s="256">
        <v>15000</v>
      </c>
      <c r="T17" s="256">
        <v>15000</v>
      </c>
      <c r="U17" s="256">
        <v>15000</v>
      </c>
      <c r="V17" s="256">
        <v>15000</v>
      </c>
      <c r="W17" s="256">
        <v>15000</v>
      </c>
      <c r="X17" s="257"/>
      <c r="Y17" s="234"/>
      <c r="Z17" s="234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</row>
    <row r="18" spans="1:63">
      <c r="A18" s="233" t="str">
        <f t="shared" si="1"/>
        <v>philanthropy assist (100%roots)</v>
      </c>
      <c r="B18" s="259" t="s">
        <v>25</v>
      </c>
      <c r="C18" s="259" t="s">
        <v>334</v>
      </c>
      <c r="D18" s="259" t="s">
        <v>330</v>
      </c>
      <c r="E18" s="257"/>
      <c r="F18" s="263"/>
      <c r="G18" s="263"/>
      <c r="H18" s="263"/>
      <c r="I18" s="262">
        <v>0</v>
      </c>
      <c r="J18" s="262">
        <v>0</v>
      </c>
      <c r="K18" s="263"/>
      <c r="L18" s="256">
        <v>0</v>
      </c>
      <c r="M18" s="256">
        <v>0</v>
      </c>
      <c r="N18" s="256">
        <v>0</v>
      </c>
      <c r="O18" s="256">
        <v>0</v>
      </c>
      <c r="P18" s="256">
        <v>0</v>
      </c>
      <c r="Q18" s="256">
        <v>0</v>
      </c>
      <c r="R18" s="256">
        <v>0</v>
      </c>
      <c r="S18" s="256">
        <v>0</v>
      </c>
      <c r="T18" s="256">
        <v>0</v>
      </c>
      <c r="U18" s="256">
        <v>0</v>
      </c>
      <c r="V18" s="256">
        <v>0</v>
      </c>
      <c r="W18" s="256">
        <v>0</v>
      </c>
      <c r="X18" s="257"/>
      <c r="Y18" s="234"/>
      <c r="Z18" s="234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33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</row>
    <row r="19" spans="1:63">
      <c r="A19" s="233" t="str">
        <f t="shared" si="1"/>
        <v>TM (gone)</v>
      </c>
      <c r="B19" s="259" t="s">
        <v>25</v>
      </c>
      <c r="C19" s="259" t="s">
        <v>334</v>
      </c>
      <c r="D19" s="259" t="s">
        <v>332</v>
      </c>
      <c r="E19" s="257"/>
      <c r="F19" s="257"/>
      <c r="G19" s="257"/>
      <c r="H19" s="257"/>
      <c r="I19" s="262">
        <v>0</v>
      </c>
      <c r="J19" s="262">
        <v>320000</v>
      </c>
      <c r="K19" s="257"/>
      <c r="L19" s="256">
        <v>0</v>
      </c>
      <c r="M19" s="256">
        <v>0</v>
      </c>
      <c r="N19" s="256">
        <v>0</v>
      </c>
      <c r="O19" s="256">
        <v>0</v>
      </c>
      <c r="P19" s="256">
        <v>320000</v>
      </c>
      <c r="Q19" s="256">
        <v>0</v>
      </c>
      <c r="R19" s="256">
        <v>0</v>
      </c>
      <c r="S19" s="256">
        <v>500000</v>
      </c>
      <c r="T19" s="256">
        <v>500000</v>
      </c>
      <c r="U19" s="256">
        <v>0</v>
      </c>
      <c r="V19" s="256">
        <v>0</v>
      </c>
      <c r="W19" s="256">
        <v>0</v>
      </c>
      <c r="X19" s="257"/>
      <c r="Y19" s="234"/>
      <c r="Z19" s="234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  <c r="AY19" s="233"/>
      <c r="AZ19" s="233"/>
      <c r="BA19" s="233"/>
      <c r="BB19" s="233"/>
      <c r="BC19" s="233"/>
      <c r="BD19" s="233"/>
      <c r="BE19" s="233"/>
      <c r="BF19" s="233"/>
      <c r="BG19" s="233"/>
      <c r="BH19" s="233"/>
      <c r="BI19" s="233"/>
      <c r="BJ19" s="233"/>
      <c r="BK19" s="233"/>
    </row>
    <row r="20" spans="1:63">
      <c r="A20" s="260" t="s">
        <v>78</v>
      </c>
      <c r="B20" s="233"/>
      <c r="C20" s="233"/>
      <c r="D20" s="233"/>
      <c r="E20" s="257"/>
      <c r="F20" s="233"/>
      <c r="G20" s="233"/>
      <c r="H20" s="233"/>
      <c r="I20" s="253">
        <v>10000</v>
      </c>
      <c r="J20" s="253">
        <v>320000</v>
      </c>
      <c r="K20" s="233"/>
      <c r="L20" s="257">
        <f t="shared" ref="L20:W20" si="2">SUM(L14:L19)</f>
        <v>0</v>
      </c>
      <c r="M20" s="257">
        <f t="shared" si="2"/>
        <v>0</v>
      </c>
      <c r="N20" s="257">
        <f t="shared" si="2"/>
        <v>0</v>
      </c>
      <c r="O20" s="257">
        <f t="shared" si="2"/>
        <v>10000</v>
      </c>
      <c r="P20" s="257">
        <f t="shared" si="2"/>
        <v>320000</v>
      </c>
      <c r="Q20" s="257">
        <f t="shared" si="2"/>
        <v>0</v>
      </c>
      <c r="R20" s="257">
        <f t="shared" si="2"/>
        <v>0</v>
      </c>
      <c r="S20" s="257">
        <f t="shared" si="2"/>
        <v>520000</v>
      </c>
      <c r="T20" s="257">
        <f t="shared" si="2"/>
        <v>520000</v>
      </c>
      <c r="U20" s="257">
        <f t="shared" si="2"/>
        <v>20000</v>
      </c>
      <c r="V20" s="257">
        <f t="shared" si="2"/>
        <v>20000</v>
      </c>
      <c r="W20" s="257">
        <f t="shared" si="2"/>
        <v>20000</v>
      </c>
      <c r="X20" s="257"/>
      <c r="Y20" s="234"/>
      <c r="Z20" s="234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</row>
    <row r="21" spans="1:63">
      <c r="A21" s="264"/>
      <c r="B21" s="233"/>
      <c r="C21" s="233"/>
      <c r="D21" s="233"/>
      <c r="E21" s="257"/>
      <c r="F21" s="235"/>
      <c r="G21" s="235"/>
      <c r="H21" s="235"/>
      <c r="I21" s="257"/>
      <c r="J21" s="257"/>
      <c r="K21" s="235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34"/>
      <c r="Z21" s="234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33"/>
      <c r="BG21" s="233"/>
      <c r="BH21" s="233"/>
      <c r="BI21" s="233"/>
      <c r="BJ21" s="233"/>
      <c r="BK21" s="233"/>
    </row>
    <row r="22" spans="1:63">
      <c r="A22" s="259" t="s">
        <v>78</v>
      </c>
      <c r="B22" s="233"/>
      <c r="C22" s="233"/>
      <c r="D22" s="233"/>
      <c r="E22" s="233"/>
      <c r="F22" s="257"/>
      <c r="G22" s="257"/>
      <c r="H22" s="257"/>
      <c r="I22" s="233"/>
      <c r="J22" s="233"/>
      <c r="K22" s="257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4"/>
      <c r="Z22" s="234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33"/>
      <c r="BG22" s="233"/>
      <c r="BH22" s="233"/>
      <c r="BI22" s="233"/>
      <c r="BJ22" s="233"/>
      <c r="BK22" s="233"/>
    </row>
    <row r="23" spans="1:63">
      <c r="A23" s="233" t="str">
        <f t="shared" ref="A23:A28" si="3">+A6</f>
        <v>Managing Member (SK)</v>
      </c>
      <c r="B23" s="259" t="s">
        <v>79</v>
      </c>
      <c r="C23" s="259" t="s">
        <v>335</v>
      </c>
      <c r="D23" s="259" t="s">
        <v>27</v>
      </c>
      <c r="E23" s="265"/>
      <c r="F23" s="257"/>
      <c r="G23" s="257"/>
      <c r="H23" s="257"/>
      <c r="I23" s="253">
        <v>383142.85714285722</v>
      </c>
      <c r="J23" s="253">
        <v>383142.85714285722</v>
      </c>
      <c r="K23" s="257"/>
      <c r="L23" s="257">
        <f>L6*(1+'.c12_inputs.hr'!$E$5)+(L14*(1+'.c12_inputs.hr'!$E$6))</f>
        <v>383142.85714285716</v>
      </c>
      <c r="M23" s="257">
        <f>M6*(1+'.c12_inputs.hr'!$E$5)+(M14*(1+'.c12_inputs.hr'!$E$6))</f>
        <v>383142.85714285716</v>
      </c>
      <c r="N23" s="257">
        <f>N6*(1+'.c12_inputs.hr'!$E$5)+(N14*(1+'.c12_inputs.hr'!$E$6))</f>
        <v>383142.85714285716</v>
      </c>
      <c r="O23" s="257">
        <f>O6*(1+'.c12_inputs.hr'!$E$5)+(O14*(1+'.c12_inputs.hr'!$E$6))</f>
        <v>383142.85714285716</v>
      </c>
      <c r="P23" s="257">
        <f>P6*(1+'.c12_inputs.hr'!$E$5)+(P14*(1+'.c12_inputs.hr'!$E$6))</f>
        <v>383142.85714285716</v>
      </c>
      <c r="Q23" s="257">
        <f>Q6*(1+'.c12_inputs.hr'!$E$5)+(Q14*(1+'.c12_inputs.hr'!$E$6))</f>
        <v>383142.85714285716</v>
      </c>
      <c r="R23" s="257">
        <f>R6*(1+'.c12_inputs.hr'!$E$5)+(R14*(1+'.c12_inputs.hr'!$E$6))</f>
        <v>383142.85714285716</v>
      </c>
      <c r="S23" s="257">
        <f>S6*(1+'.c12_inputs.hr'!$E$5)+(S14*(1+'.c12_inputs.hr'!$E$6))</f>
        <v>383142.85714285716</v>
      </c>
      <c r="T23" s="257">
        <f>T6*(1+'.c12_inputs.hr'!$E$5)+(T14*(1+'.c12_inputs.hr'!$E$6))</f>
        <v>1532571.4285714286</v>
      </c>
      <c r="U23" s="257">
        <f>U6*(1+'.c12_inputs.hr'!$E$5)+(U14*(1+'.c12_inputs.hr'!$E$6))</f>
        <v>1532571.4285714286</v>
      </c>
      <c r="V23" s="257">
        <f>V6*(1+'.c12_inputs.hr'!$E$5)+(V14*(1+'.c12_inputs.hr'!$E$6))</f>
        <v>1532571.4285714286</v>
      </c>
      <c r="W23" s="257">
        <f>W6*(1+'.c12_inputs.hr'!$E$5)+(W14*(1+'.c12_inputs.hr'!$E$6))</f>
        <v>1532571.4285714286</v>
      </c>
      <c r="X23" s="257"/>
      <c r="Y23" s="234"/>
      <c r="Z23" s="234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3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3"/>
      <c r="BK23" s="233"/>
    </row>
    <row r="24" spans="1:63">
      <c r="A24" s="233" t="str">
        <f t="shared" si="3"/>
        <v>Philanropy senior exec (LM) (100%roots)</v>
      </c>
      <c r="B24" s="259" t="s">
        <v>79</v>
      </c>
      <c r="C24" s="259" t="s">
        <v>335</v>
      </c>
      <c r="D24" s="259" t="s">
        <v>324</v>
      </c>
      <c r="E24" s="265"/>
      <c r="F24" s="257"/>
      <c r="G24" s="257"/>
      <c r="H24" s="257"/>
      <c r="I24" s="253">
        <v>0</v>
      </c>
      <c r="J24" s="253">
        <v>0</v>
      </c>
      <c r="K24" s="257"/>
      <c r="L24" s="257">
        <f>L7*(1+'.c12_inputs.hr'!$E$5)+(L15*(1+'.c12_inputs.hr'!$E$6))</f>
        <v>0</v>
      </c>
      <c r="M24" s="257">
        <f>M7*(1+'.c12_inputs.hr'!$E$5)+(M15*(1+'.c12_inputs.hr'!$E$6))</f>
        <v>0</v>
      </c>
      <c r="N24" s="257">
        <f>N7*(1+'.c12_inputs.hr'!$E$5)+(N15*(1+'.c12_inputs.hr'!$E$6))</f>
        <v>0</v>
      </c>
      <c r="O24" s="257">
        <f>O7*(1+'.c12_inputs.hr'!$E$5)+(O15*(1+'.c12_inputs.hr'!$E$6))</f>
        <v>0</v>
      </c>
      <c r="P24" s="257">
        <f>P7*(1+'.c12_inputs.hr'!$E$5)+(P15*(1+'.c12_inputs.hr'!$E$6))</f>
        <v>0</v>
      </c>
      <c r="Q24" s="257">
        <f>Q7*(1+'.c12_inputs.hr'!$E$5)+(Q15*(1+'.c12_inputs.hr'!$E$6))</f>
        <v>0</v>
      </c>
      <c r="R24" s="257">
        <f>R7*(1+'.c12_inputs.hr'!$E$5)+(R15*(1+'.c12_inputs.hr'!$E$6))</f>
        <v>0</v>
      </c>
      <c r="S24" s="257">
        <f>S7*(1+'.c12_inputs.hr'!$E$5)+(S15*(1+'.c12_inputs.hr'!$E$6))</f>
        <v>0</v>
      </c>
      <c r="T24" s="257">
        <f>T7*(1+'.c12_inputs.hr'!$E$5)+(T15*(1+'.c12_inputs.hr'!$E$6))</f>
        <v>0</v>
      </c>
      <c r="U24" s="257">
        <f>U7*(1+'.c12_inputs.hr'!$E$5)+(U15*(1+'.c12_inputs.hr'!$E$6))</f>
        <v>0</v>
      </c>
      <c r="V24" s="257">
        <f>V7*(1+'.c12_inputs.hr'!$E$5)+(V15*(1+'.c12_inputs.hr'!$E$6))</f>
        <v>0</v>
      </c>
      <c r="W24" s="257">
        <f>W7*(1+'.c12_inputs.hr'!$E$5)+(W15*(1+'.c12_inputs.hr'!$E$6))</f>
        <v>0</v>
      </c>
      <c r="X24" s="257"/>
      <c r="Y24" s="234"/>
      <c r="Z24" s="234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3"/>
      <c r="BK24" s="233"/>
    </row>
    <row r="25" spans="1:63">
      <c r="A25" s="233" t="str">
        <f t="shared" si="3"/>
        <v>Bookkeeper (DD)</v>
      </c>
      <c r="B25" s="259" t="s">
        <v>79</v>
      </c>
      <c r="C25" s="259" t="s">
        <v>335</v>
      </c>
      <c r="D25" s="259" t="s">
        <v>326</v>
      </c>
      <c r="E25" s="265"/>
      <c r="F25" s="257"/>
      <c r="G25" s="257"/>
      <c r="H25" s="257"/>
      <c r="I25" s="253">
        <v>10390</v>
      </c>
      <c r="J25" s="253">
        <v>26309.142857142859</v>
      </c>
      <c r="K25" s="257"/>
      <c r="L25" s="257">
        <f>L8*(1+'.c12_inputs.hr'!$E$5)+(L16*(1+'.c12_inputs.hr'!$E$6))</f>
        <v>0</v>
      </c>
      <c r="M25" s="257">
        <f>M8*(1+'.c12_inputs.hr'!$E$5)+(M16*(1+'.c12_inputs.hr'!$E$6))</f>
        <v>0</v>
      </c>
      <c r="N25" s="257">
        <f>N8*(1+'.c12_inputs.hr'!$E$5)+(N16*(1+'.c12_inputs.hr'!$E$6))</f>
        <v>0</v>
      </c>
      <c r="O25" s="257">
        <f>O8*(1+'.c12_inputs.hr'!$E$5)+(O16*(1+'.c12_inputs.hr'!$E$6))</f>
        <v>10390</v>
      </c>
      <c r="P25" s="257">
        <f>P8*(1+'.c12_inputs.hr'!$E$5)+(P16*(1+'.c12_inputs.hr'!$E$6))</f>
        <v>26309.142857142859</v>
      </c>
      <c r="Q25" s="257">
        <f>Q8*(1+'.c12_inputs.hr'!$E$5)+(Q16*(1+'.c12_inputs.hr'!$E$6))</f>
        <v>26309.142857142859</v>
      </c>
      <c r="R25" s="257">
        <f>R8*(1+'.c12_inputs.hr'!$E$5)+(R16*(1+'.c12_inputs.hr'!$E$6))</f>
        <v>26309.142857142859</v>
      </c>
      <c r="S25" s="257">
        <f>S8*(1+'.c12_inputs.hr'!$E$5)+(S16*(1+'.c12_inputs.hr'!$E$6))</f>
        <v>31504.142857142859</v>
      </c>
      <c r="T25" s="257">
        <f>T8*(1+'.c12_inputs.hr'!$E$5)+(T16*(1+'.c12_inputs.hr'!$E$6))</f>
        <v>110431.57142857143</v>
      </c>
      <c r="U25" s="257">
        <f>U8*(1+'.c12_inputs.hr'!$E$5)+(U16*(1+'.c12_inputs.hr'!$E$6))</f>
        <v>110431.57142857143</v>
      </c>
      <c r="V25" s="257">
        <f>V8*(1+'.c12_inputs.hr'!$E$5)+(V16*(1+'.c12_inputs.hr'!$E$6))</f>
        <v>110431.57142857143</v>
      </c>
      <c r="W25" s="257">
        <f>W8*(1+'.c12_inputs.hr'!$E$5)+(W16*(1+'.c12_inputs.hr'!$E$6))</f>
        <v>110431.57142857143</v>
      </c>
      <c r="X25" s="257"/>
      <c r="Y25" s="234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</row>
    <row r="26" spans="1:63">
      <c r="A26" s="233" t="str">
        <f t="shared" si="3"/>
        <v>Personal Assistant (CD)</v>
      </c>
      <c r="B26" s="259" t="s">
        <v>79</v>
      </c>
      <c r="C26" s="259" t="s">
        <v>335</v>
      </c>
      <c r="D26" s="259" t="s">
        <v>328</v>
      </c>
      <c r="E26" s="265"/>
      <c r="F26" s="257"/>
      <c r="G26" s="257"/>
      <c r="H26" s="257"/>
      <c r="I26" s="253">
        <v>31928.571428571431</v>
      </c>
      <c r="J26" s="253">
        <v>31928.571428571431</v>
      </c>
      <c r="K26" s="257"/>
      <c r="L26" s="257">
        <f>L9*(1+'.c12_inputs.hr'!$E$5)+(L17*(1+'.c12_inputs.hr'!$E$6))</f>
        <v>31928.571428571431</v>
      </c>
      <c r="M26" s="257">
        <f>M9*(1+'.c12_inputs.hr'!$E$5)+(M17*(1+'.c12_inputs.hr'!$E$6))</f>
        <v>31928.571428571431</v>
      </c>
      <c r="N26" s="257">
        <f>N9*(1+'.c12_inputs.hr'!$E$5)+(N17*(1+'.c12_inputs.hr'!$E$6))</f>
        <v>31928.571428571431</v>
      </c>
      <c r="O26" s="257">
        <f>O9*(1+'.c12_inputs.hr'!$E$5)+(O17*(1+'.c12_inputs.hr'!$E$6))</f>
        <v>31928.571428571431</v>
      </c>
      <c r="P26" s="257">
        <f>P9*(1+'.c12_inputs.hr'!$E$5)+(P17*(1+'.c12_inputs.hr'!$E$6))</f>
        <v>31928.571428571431</v>
      </c>
      <c r="Q26" s="257">
        <f>Q9*(1+'.c12_inputs.hr'!$E$5)+(Q17*(1+'.c12_inputs.hr'!$E$6))</f>
        <v>31928.571428571431</v>
      </c>
      <c r="R26" s="257">
        <f>R9*(1+'.c12_inputs.hr'!$E$5)+(R17*(1+'.c12_inputs.hr'!$E$6))</f>
        <v>31928.571428571431</v>
      </c>
      <c r="S26" s="257">
        <f>S9*(1+'.c12_inputs.hr'!$E$5)+(S17*(1+'.c12_inputs.hr'!$E$6))</f>
        <v>47513.571428571428</v>
      </c>
      <c r="T26" s="257">
        <f>T9*(1+'.c12_inputs.hr'!$E$5)+(T17*(1+'.c12_inputs.hr'!$E$6))</f>
        <v>143299.28571428571</v>
      </c>
      <c r="U26" s="257">
        <f>U9*(1+'.c12_inputs.hr'!$E$5)+(U17*(1+'.c12_inputs.hr'!$E$6))</f>
        <v>143299.28571428571</v>
      </c>
      <c r="V26" s="257">
        <f>V9*(1+'.c12_inputs.hr'!$E$5)+(V17*(1+'.c12_inputs.hr'!$E$6))</f>
        <v>143299.28571428571</v>
      </c>
      <c r="W26" s="257">
        <f>W9*(1+'.c12_inputs.hr'!$E$5)+(W17*(1+'.c12_inputs.hr'!$E$6))</f>
        <v>143299.28571428571</v>
      </c>
      <c r="X26" s="257"/>
      <c r="Y26" s="234"/>
      <c r="Z26" s="233"/>
      <c r="AA26" s="233"/>
      <c r="AB26" s="233"/>
      <c r="AC26" s="233"/>
      <c r="AD26" s="233"/>
      <c r="AE26" s="233"/>
      <c r="AF26" s="233"/>
      <c r="AG26" s="233"/>
      <c r="AH26" s="233"/>
      <c r="AI26" s="235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3"/>
      <c r="BK26" s="233"/>
    </row>
    <row r="27" spans="1:63">
      <c r="A27" s="233" t="str">
        <f t="shared" si="3"/>
        <v>philanthropy assist (100%roots)</v>
      </c>
      <c r="B27" s="259" t="s">
        <v>79</v>
      </c>
      <c r="C27" s="259" t="s">
        <v>335</v>
      </c>
      <c r="D27" s="259" t="s">
        <v>330</v>
      </c>
      <c r="E27" s="265"/>
      <c r="F27" s="257"/>
      <c r="G27" s="257"/>
      <c r="H27" s="257"/>
      <c r="I27" s="253">
        <v>0</v>
      </c>
      <c r="J27" s="253">
        <v>0</v>
      </c>
      <c r="K27" s="257"/>
      <c r="L27" s="257">
        <f>L10*(1+'.c12_inputs.hr'!$E$5)+(L18*(1+'.c12_inputs.hr'!$E$6))</f>
        <v>0</v>
      </c>
      <c r="M27" s="257">
        <f>M10*(1+'.c12_inputs.hr'!$E$5)+(M18*(1+'.c12_inputs.hr'!$E$6))</f>
        <v>0</v>
      </c>
      <c r="N27" s="257">
        <f>N10*(1+'.c12_inputs.hr'!$E$5)+(N18*(1+'.c12_inputs.hr'!$E$6))</f>
        <v>0</v>
      </c>
      <c r="O27" s="257">
        <f>O10*(1+'.c12_inputs.hr'!$E$5)+(O18*(1+'.c12_inputs.hr'!$E$6))</f>
        <v>0</v>
      </c>
      <c r="P27" s="257">
        <f>P10*(1+'.c12_inputs.hr'!$E$5)+(P18*(1+'.c12_inputs.hr'!$E$6))</f>
        <v>0</v>
      </c>
      <c r="Q27" s="257">
        <f>Q10*(1+'.c12_inputs.hr'!$E$5)+(Q18*(1+'.c12_inputs.hr'!$E$6))</f>
        <v>0</v>
      </c>
      <c r="R27" s="257">
        <f>R10*(1+'.c12_inputs.hr'!$E$5)+(R18*(1+'.c12_inputs.hr'!$E$6))</f>
        <v>0</v>
      </c>
      <c r="S27" s="257">
        <f>S10*(1+'.c12_inputs.hr'!$E$5)+(S18*(1+'.c12_inputs.hr'!$E$6))</f>
        <v>0</v>
      </c>
      <c r="T27" s="257">
        <f>T10*(1+'.c12_inputs.hr'!$E$5)+(T18*(1+'.c12_inputs.hr'!$E$6))</f>
        <v>0</v>
      </c>
      <c r="U27" s="257">
        <f>U10*(1+'.c12_inputs.hr'!$E$5)+(U18*(1+'.c12_inputs.hr'!$E$6))</f>
        <v>0</v>
      </c>
      <c r="V27" s="257">
        <f>V10*(1+'.c12_inputs.hr'!$E$5)+(V18*(1+'.c12_inputs.hr'!$E$6))</f>
        <v>0</v>
      </c>
      <c r="W27" s="257">
        <f>W10*(1+'.c12_inputs.hr'!$E$5)+(W18*(1+'.c12_inputs.hr'!$E$6))</f>
        <v>0</v>
      </c>
      <c r="X27" s="257"/>
      <c r="Y27" s="234"/>
      <c r="Z27" s="233"/>
      <c r="AA27" s="233"/>
      <c r="AB27" s="233"/>
      <c r="AC27" s="233"/>
      <c r="AD27" s="233"/>
      <c r="AE27" s="233"/>
      <c r="AF27" s="233"/>
      <c r="AG27" s="233"/>
      <c r="AH27" s="233"/>
      <c r="AI27" s="235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</row>
    <row r="28" spans="1:63">
      <c r="A28" s="233" t="str">
        <f t="shared" si="3"/>
        <v>TM (gone)</v>
      </c>
      <c r="B28" s="259" t="s">
        <v>79</v>
      </c>
      <c r="C28" s="259" t="s">
        <v>335</v>
      </c>
      <c r="D28" s="259" t="s">
        <v>332</v>
      </c>
      <c r="E28" s="265"/>
      <c r="F28" s="257"/>
      <c r="G28" s="257"/>
      <c r="H28" s="257"/>
      <c r="I28" s="253">
        <v>89400</v>
      </c>
      <c r="J28" s="253">
        <v>421880</v>
      </c>
      <c r="K28" s="257"/>
      <c r="L28" s="257">
        <f>L11*(1+'.c12_inputs.hr'!$E$5)+(L19*(1+'.c12_inputs.hr'!$E$6))</f>
        <v>89400</v>
      </c>
      <c r="M28" s="257">
        <f>M11*(1+'.c12_inputs.hr'!$E$5)+(M19*(1+'.c12_inputs.hr'!$E$6))</f>
        <v>89400</v>
      </c>
      <c r="N28" s="257">
        <f>N11*(1+'.c12_inputs.hr'!$E$5)+(N19*(1+'.c12_inputs.hr'!$E$6))</f>
        <v>89400</v>
      </c>
      <c r="O28" s="257">
        <f>O11*(1+'.c12_inputs.hr'!$E$5)+(O19*(1+'.c12_inputs.hr'!$E$6))</f>
        <v>89400</v>
      </c>
      <c r="P28" s="257">
        <f>P11*(1+'.c12_inputs.hr'!$E$5)+(P19*(1+'.c12_inputs.hr'!$E$6))</f>
        <v>421880</v>
      </c>
      <c r="Q28" s="257">
        <f>Q11*(1+'.c12_inputs.hr'!$E$5)+(Q19*(1+'.c12_inputs.hr'!$E$6))</f>
        <v>0</v>
      </c>
      <c r="R28" s="257">
        <f>R11*(1+'.c12_inputs.hr'!$E$5)+(R19*(1+'.c12_inputs.hr'!$E$6))</f>
        <v>0</v>
      </c>
      <c r="S28" s="257">
        <f>S11*(1+'.c12_inputs.hr'!$E$5)+(S19*(1+'.c12_inputs.hr'!$E$6))</f>
        <v>519499.99999999994</v>
      </c>
      <c r="T28" s="257">
        <f>T11*(1+'.c12_inputs.hr'!$E$5)+(T19*(1+'.c12_inputs.hr'!$E$6))</f>
        <v>519499.99999999994</v>
      </c>
      <c r="U28" s="257">
        <f>U11*(1+'.c12_inputs.hr'!$E$5)+(U19*(1+'.c12_inputs.hr'!$E$6))</f>
        <v>0</v>
      </c>
      <c r="V28" s="257">
        <f>V11*(1+'.c12_inputs.hr'!$E$5)+(V19*(1+'.c12_inputs.hr'!$E$6))</f>
        <v>0</v>
      </c>
      <c r="W28" s="257">
        <f>W11*(1+'.c12_inputs.hr'!$E$5)+(W19*(1+'.c12_inputs.hr'!$E$6))</f>
        <v>0</v>
      </c>
      <c r="X28" s="257"/>
      <c r="Y28" s="234"/>
      <c r="Z28" s="233"/>
      <c r="AA28" s="233"/>
      <c r="AB28" s="233"/>
      <c r="AC28" s="233"/>
      <c r="AD28" s="233"/>
      <c r="AE28" s="233"/>
      <c r="AF28" s="233"/>
      <c r="AG28" s="233"/>
      <c r="AH28" s="233"/>
      <c r="AI28" s="235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3"/>
      <c r="BI28" s="233"/>
      <c r="BJ28" s="233"/>
      <c r="BK28" s="233"/>
    </row>
    <row r="29" spans="1:63" s="58" customFormat="1">
      <c r="A29" s="233"/>
      <c r="B29" s="233"/>
      <c r="C29" s="233"/>
      <c r="D29" s="233"/>
      <c r="E29" s="265"/>
      <c r="F29" s="257"/>
      <c r="G29" s="257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34"/>
      <c r="Z29" s="233"/>
      <c r="AA29" s="233"/>
      <c r="AB29" s="233"/>
      <c r="AC29" s="233"/>
      <c r="AD29" s="233"/>
      <c r="AE29" s="233"/>
      <c r="AF29" s="233"/>
      <c r="AG29" s="233"/>
      <c r="AH29" s="233"/>
      <c r="AI29" s="235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233"/>
    </row>
    <row r="30" spans="1:63">
      <c r="A30" s="260" t="s">
        <v>249</v>
      </c>
      <c r="B30" s="259" t="s">
        <v>9</v>
      </c>
      <c r="C30" s="259" t="s">
        <v>250</v>
      </c>
      <c r="D30" s="233"/>
      <c r="E30" s="265"/>
      <c r="F30" s="257"/>
      <c r="G30" s="257"/>
      <c r="H30" s="257"/>
      <c r="I30" s="253">
        <v>514861.42857142858</v>
      </c>
      <c r="J30" s="253">
        <v>863260.57142857136</v>
      </c>
      <c r="K30" s="257"/>
      <c r="L30" s="266">
        <f t="shared" ref="L30:W30" si="4">SUM(L23:L28)</f>
        <v>504471.42857142858</v>
      </c>
      <c r="M30" s="266">
        <f t="shared" si="4"/>
        <v>504471.42857142858</v>
      </c>
      <c r="N30" s="266">
        <f t="shared" si="4"/>
        <v>504471.42857142858</v>
      </c>
      <c r="O30" s="266">
        <f t="shared" si="4"/>
        <v>514861.42857142858</v>
      </c>
      <c r="P30" s="266">
        <f t="shared" si="4"/>
        <v>863260.57142857136</v>
      </c>
      <c r="Q30" s="266">
        <f t="shared" si="4"/>
        <v>441380.57142857142</v>
      </c>
      <c r="R30" s="266">
        <f t="shared" si="4"/>
        <v>441380.57142857142</v>
      </c>
      <c r="S30" s="266">
        <f t="shared" si="4"/>
        <v>981660.57142857136</v>
      </c>
      <c r="T30" s="266">
        <f t="shared" si="4"/>
        <v>2305802.2857142854</v>
      </c>
      <c r="U30" s="266">
        <f t="shared" si="4"/>
        <v>1786302.2857142857</v>
      </c>
      <c r="V30" s="266">
        <f t="shared" si="4"/>
        <v>1786302.2857142857</v>
      </c>
      <c r="W30" s="266">
        <f t="shared" si="4"/>
        <v>1786302.2857142857</v>
      </c>
      <c r="X30" s="257"/>
      <c r="Y30" s="234"/>
      <c r="Z30" s="233"/>
      <c r="AA30" s="233"/>
      <c r="AB30" s="233"/>
      <c r="AC30" s="233"/>
      <c r="AD30" s="233"/>
      <c r="AE30" s="233"/>
      <c r="AF30" s="233"/>
      <c r="AG30" s="233"/>
      <c r="AH30" s="233"/>
      <c r="AI30" s="235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</row>
    <row r="31" spans="1:63">
      <c r="A31" s="260" t="s">
        <v>251</v>
      </c>
      <c r="B31" s="259" t="s">
        <v>9</v>
      </c>
      <c r="C31" s="259" t="s">
        <v>252</v>
      </c>
      <c r="D31" s="233"/>
      <c r="E31" s="265"/>
      <c r="F31" s="257"/>
      <c r="G31" s="257"/>
      <c r="H31" s="257"/>
      <c r="I31" s="267">
        <v>0</v>
      </c>
      <c r="J31" s="267">
        <v>0</v>
      </c>
      <c r="K31" s="257"/>
      <c r="L31" s="268">
        <f>SUMPRODUCT('.c12_alloc'!$H$6:$H$11,L23:L28)</f>
        <v>0</v>
      </c>
      <c r="M31" s="268">
        <f>SUMPRODUCT('.c12_alloc'!$H$6:$H$11,M23:M28)</f>
        <v>0</v>
      </c>
      <c r="N31" s="268">
        <f>SUMPRODUCT('.c12_alloc'!$H$6:$H$11,N23:N28)</f>
        <v>0</v>
      </c>
      <c r="O31" s="268">
        <f>SUMPRODUCT('.c12_alloc'!$H$6:$H$11,O23:O28)</f>
        <v>0</v>
      </c>
      <c r="P31" s="268">
        <f>SUMPRODUCT('.c12_alloc'!$H$6:$H$11,P23:P28)</f>
        <v>0</v>
      </c>
      <c r="Q31" s="268">
        <f>SUMPRODUCT('.c12_alloc'!$H$6:$H$11,Q23:Q28)</f>
        <v>0</v>
      </c>
      <c r="R31" s="268">
        <f>SUMPRODUCT('.c12_alloc'!$H$6:$H$11,R23:R28)</f>
        <v>0</v>
      </c>
      <c r="S31" s="268">
        <f>SUMPRODUCT('.c12_alloc'!$H$6:$H$11,S23:S28)</f>
        <v>0</v>
      </c>
      <c r="T31" s="268">
        <f>SUMPRODUCT('.c12_alloc'!$H$6:$H$11,T23:T28)</f>
        <v>0</v>
      </c>
      <c r="U31" s="268">
        <f>SUMPRODUCT('.c12_alloc'!$H$6:$H$11,U23:U28)</f>
        <v>0</v>
      </c>
      <c r="V31" s="268">
        <f>SUMPRODUCT('.c12_alloc'!$H$6:$H$11,V23:V28)</f>
        <v>0</v>
      </c>
      <c r="W31" s="268">
        <f>SUMPRODUCT('.c12_alloc'!$H$6:$H$11,W23:W28)</f>
        <v>0</v>
      </c>
      <c r="X31" s="233"/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233"/>
    </row>
    <row r="32" spans="1:63">
      <c r="A32" s="260" t="s">
        <v>253</v>
      </c>
      <c r="B32" s="259" t="s">
        <v>9</v>
      </c>
      <c r="C32" s="259" t="s">
        <v>254</v>
      </c>
      <c r="D32" s="233"/>
      <c r="E32" s="265"/>
      <c r="F32" s="257"/>
      <c r="G32" s="257"/>
      <c r="H32" s="257"/>
      <c r="I32" s="267">
        <v>472542.85714285722</v>
      </c>
      <c r="J32" s="267">
        <v>805022.85714285716</v>
      </c>
      <c r="K32" s="257"/>
      <c r="L32" s="268">
        <f>SUMPRODUCT('.c12_alloc'!$G$6:$G$11,L23:L28)</f>
        <v>472542.85714285716</v>
      </c>
      <c r="M32" s="268">
        <f>SUMPRODUCT('.c12_alloc'!$G$6:$G$11,M23:M28)</f>
        <v>472542.85714285716</v>
      </c>
      <c r="N32" s="268">
        <f>SUMPRODUCT('.c12_alloc'!$G$6:$G$11,N23:N28)</f>
        <v>472542.85714285716</v>
      </c>
      <c r="O32" s="268">
        <f>SUMPRODUCT('.c12_alloc'!$G$6:$G$11,O23:O28)</f>
        <v>472542.85714285716</v>
      </c>
      <c r="P32" s="268">
        <f>SUMPRODUCT('.c12_alloc'!$G$6:$G$11,P23:P28)</f>
        <v>805022.85714285716</v>
      </c>
      <c r="Q32" s="268">
        <f>SUMPRODUCT('.c12_alloc'!$G$6:$G$11,Q23:Q28)</f>
        <v>383142.85714285716</v>
      </c>
      <c r="R32" s="268">
        <f>SUMPRODUCT('.c12_alloc'!$G$6:$G$11,R23:R28)</f>
        <v>383142.85714285716</v>
      </c>
      <c r="S32" s="268">
        <f>SUMPRODUCT('.c12_alloc'!$G$6:$G$11,S23:S28)</f>
        <v>902642.85714285704</v>
      </c>
      <c r="T32" s="268">
        <f>SUMPRODUCT('.c12_alloc'!$G$6:$G$11,T23:T28)</f>
        <v>2052071.4285714286</v>
      </c>
      <c r="U32" s="268">
        <f>SUMPRODUCT('.c12_alloc'!$G$6:$G$11,U23:U28)</f>
        <v>1532571.4285714286</v>
      </c>
      <c r="V32" s="268">
        <f>SUMPRODUCT('.c12_alloc'!$G$6:$G$11,V23:V28)</f>
        <v>1532571.4285714286</v>
      </c>
      <c r="W32" s="268">
        <f>SUMPRODUCT('.c12_alloc'!$G$6:$G$11,W23:W28)</f>
        <v>1532571.4285714286</v>
      </c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3"/>
      <c r="BK32" s="233"/>
    </row>
    <row r="33" spans="1:63">
      <c r="A33" s="260" t="s">
        <v>255</v>
      </c>
      <c r="B33" s="259" t="s">
        <v>9</v>
      </c>
      <c r="C33" s="259" t="s">
        <v>256</v>
      </c>
      <c r="D33" s="233"/>
      <c r="E33" s="265"/>
      <c r="F33" s="263"/>
      <c r="G33" s="263"/>
      <c r="H33" s="263"/>
      <c r="I33" s="267">
        <v>42318.571428571428</v>
      </c>
      <c r="J33" s="267">
        <v>58237.71428571429</v>
      </c>
      <c r="K33" s="263"/>
      <c r="L33" s="268">
        <f>SUMPRODUCT('.c12_alloc'!$E$6:$E$11,L23:L28)</f>
        <v>31928.571428571431</v>
      </c>
      <c r="M33" s="268">
        <f>SUMPRODUCT('.c12_alloc'!$E$6:$E$11,M23:M28)</f>
        <v>31928.571428571431</v>
      </c>
      <c r="N33" s="268">
        <f>SUMPRODUCT('.c12_alloc'!$E$6:$E$11,N23:N28)</f>
        <v>31928.571428571431</v>
      </c>
      <c r="O33" s="268">
        <f>SUMPRODUCT('.c12_alloc'!$E$6:$E$11,O23:O28)</f>
        <v>42318.571428571435</v>
      </c>
      <c r="P33" s="268">
        <f>SUMPRODUCT('.c12_alloc'!$E$6:$E$11,P23:P28)</f>
        <v>58237.71428571429</v>
      </c>
      <c r="Q33" s="268">
        <f>SUMPRODUCT('.c12_alloc'!$E$6:$E$11,Q23:Q28)</f>
        <v>58237.71428571429</v>
      </c>
      <c r="R33" s="268">
        <f>SUMPRODUCT('.c12_alloc'!$E$6:$E$11,R23:R28)</f>
        <v>58237.71428571429</v>
      </c>
      <c r="S33" s="268">
        <f>SUMPRODUCT('.c12_alloc'!$E$6:$E$11,S23:S28)</f>
        <v>79017.71428571429</v>
      </c>
      <c r="T33" s="268">
        <f>SUMPRODUCT('.c12_alloc'!$E$6:$E$11,T23:T28)</f>
        <v>253730.85714285716</v>
      </c>
      <c r="U33" s="268">
        <f>SUMPRODUCT('.c12_alloc'!$E$6:$E$11,U23:U28)</f>
        <v>253730.85714285716</v>
      </c>
      <c r="V33" s="268">
        <f>SUMPRODUCT('.c12_alloc'!$E$6:$E$11,V23:V28)</f>
        <v>253730.85714285716</v>
      </c>
      <c r="W33" s="268">
        <f>SUMPRODUCT('.c12_alloc'!$E$6:$E$11,W23:W28)</f>
        <v>253730.85714285716</v>
      </c>
      <c r="X33" s="233"/>
      <c r="Y33" s="233"/>
      <c r="Z33" s="233"/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/>
      <c r="BC33" s="233"/>
      <c r="BD33" s="233"/>
      <c r="BE33" s="233"/>
      <c r="BF33" s="233"/>
      <c r="BG33" s="233"/>
      <c r="BH33" s="233"/>
      <c r="BI33" s="233"/>
      <c r="BJ33" s="233"/>
      <c r="BK33" s="233"/>
    </row>
    <row r="34" spans="1:63">
      <c r="A34" s="233"/>
      <c r="B34" s="233"/>
      <c r="C34" s="233"/>
      <c r="D34" s="233"/>
      <c r="E34" s="233"/>
      <c r="F34" s="257"/>
      <c r="G34" s="257"/>
      <c r="H34" s="257"/>
      <c r="I34" s="233"/>
      <c r="J34" s="233"/>
      <c r="K34" s="257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4"/>
      <c r="Z34" s="233"/>
      <c r="AA34" s="233"/>
      <c r="AB34" s="233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  <c r="AN34" s="233"/>
      <c r="AO34" s="233"/>
      <c r="AP34" s="233"/>
      <c r="AQ34" s="269"/>
      <c r="AR34" s="233"/>
      <c r="AS34" s="233"/>
      <c r="AT34" s="269"/>
      <c r="AU34" s="269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  <c r="BF34" s="233"/>
      <c r="BG34" s="233"/>
      <c r="BH34" s="233"/>
      <c r="BI34" s="233"/>
      <c r="BJ34" s="233"/>
      <c r="BK34" s="233"/>
    </row>
    <row r="35" spans="1:63">
      <c r="A35" s="233"/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4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H35" s="233"/>
      <c r="BI35" s="233"/>
      <c r="BJ35" s="233"/>
      <c r="BK35" s="233"/>
    </row>
    <row r="36" spans="1:63">
      <c r="A36" s="233"/>
      <c r="B36" s="233"/>
      <c r="C36" s="233"/>
      <c r="D36" s="233"/>
      <c r="E36" s="233"/>
      <c r="F36" s="270"/>
      <c r="G36" s="270"/>
      <c r="H36" s="270"/>
      <c r="I36" s="233"/>
      <c r="J36" s="233"/>
      <c r="K36" s="270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33"/>
      <c r="BG36" s="233"/>
      <c r="BH36" s="233"/>
      <c r="BI36" s="233"/>
      <c r="BJ36" s="233"/>
      <c r="BK36" s="233"/>
    </row>
    <row r="37" spans="1:63">
      <c r="A37" s="233"/>
      <c r="B37" s="233"/>
      <c r="C37" s="233"/>
      <c r="D37" s="233"/>
      <c r="E37" s="233"/>
      <c r="F37" s="270"/>
      <c r="G37" s="270"/>
      <c r="H37" s="270"/>
      <c r="I37" s="233"/>
      <c r="J37" s="233"/>
      <c r="K37" s="270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H37" s="233"/>
      <c r="BI37" s="233"/>
      <c r="BJ37" s="233"/>
      <c r="BK37" s="233"/>
    </row>
    <row r="38" spans="1:63">
      <c r="A38" s="233"/>
      <c r="B38" s="233"/>
      <c r="C38" s="233"/>
      <c r="D38" s="233"/>
      <c r="E38" s="233"/>
      <c r="F38" s="270"/>
      <c r="G38" s="270"/>
      <c r="H38" s="270"/>
      <c r="I38" s="233"/>
      <c r="J38" s="233"/>
      <c r="K38" s="270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</row>
    <row r="39" spans="1:63">
      <c r="A39" s="233"/>
      <c r="B39" s="233"/>
      <c r="C39" s="233"/>
      <c r="D39" s="233"/>
      <c r="E39" s="233"/>
      <c r="F39" s="270"/>
      <c r="G39" s="270"/>
      <c r="H39" s="270"/>
      <c r="I39" s="233"/>
      <c r="J39" s="233"/>
      <c r="K39" s="270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</row>
    <row r="40" spans="1:63">
      <c r="A40" s="233"/>
      <c r="B40" s="233"/>
      <c r="C40" s="233"/>
      <c r="D40" s="233"/>
      <c r="E40" s="233"/>
      <c r="F40" s="257"/>
      <c r="G40" s="257"/>
      <c r="H40" s="257"/>
      <c r="I40" s="233"/>
      <c r="J40" s="233"/>
      <c r="K40" s="257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</row>
    <row r="41" spans="1:63">
      <c r="A41" s="233"/>
      <c r="B41" s="233"/>
      <c r="C41" s="233"/>
      <c r="D41" s="233"/>
      <c r="E41" s="233"/>
      <c r="F41" s="270"/>
      <c r="G41" s="270"/>
      <c r="H41" s="270"/>
      <c r="I41" s="233"/>
      <c r="J41" s="233"/>
      <c r="K41" s="270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3"/>
      <c r="BH41" s="233"/>
      <c r="BI41" s="233"/>
      <c r="BJ41" s="233"/>
      <c r="BK41" s="233"/>
    </row>
    <row r="42" spans="1:63">
      <c r="A42" s="233"/>
      <c r="B42" s="233"/>
      <c r="C42" s="233"/>
      <c r="D42" s="233"/>
      <c r="E42" s="233"/>
      <c r="F42" s="270"/>
      <c r="G42" s="270"/>
      <c r="H42" s="270"/>
      <c r="I42" s="233"/>
      <c r="J42" s="233"/>
      <c r="K42" s="270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</row>
    <row r="43" spans="1:63">
      <c r="A43" s="233"/>
      <c r="B43" s="233"/>
      <c r="C43" s="233"/>
      <c r="D43" s="233"/>
      <c r="E43" s="233"/>
      <c r="F43" s="270"/>
      <c r="G43" s="270"/>
      <c r="H43" s="270"/>
      <c r="I43" s="233"/>
      <c r="J43" s="233"/>
      <c r="K43" s="270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</row>
    <row r="44" spans="1:63">
      <c r="A44" s="233"/>
      <c r="B44" s="233"/>
      <c r="C44" s="233"/>
      <c r="D44" s="233"/>
      <c r="E44" s="233"/>
      <c r="F44" s="270"/>
      <c r="G44" s="270"/>
      <c r="H44" s="270"/>
      <c r="I44" s="233"/>
      <c r="J44" s="233"/>
      <c r="K44" s="270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233"/>
      <c r="BC44" s="233"/>
      <c r="BD44" s="233"/>
      <c r="BE44" s="233"/>
      <c r="BF44" s="233"/>
      <c r="BG44" s="233"/>
      <c r="BH44" s="233"/>
      <c r="BI44" s="233"/>
      <c r="BJ44" s="233"/>
      <c r="BK44" s="233"/>
    </row>
    <row r="45" spans="1:63">
      <c r="A45" s="233"/>
      <c r="B45" s="233"/>
      <c r="C45" s="233"/>
      <c r="D45" s="233"/>
      <c r="E45" s="233"/>
      <c r="F45" s="270"/>
      <c r="G45" s="270"/>
      <c r="H45" s="270"/>
      <c r="I45" s="233"/>
      <c r="J45" s="233"/>
      <c r="K45" s="270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3"/>
      <c r="AV45" s="233"/>
      <c r="AW45" s="233"/>
      <c r="AX45" s="233"/>
      <c r="AY45" s="233"/>
      <c r="AZ45" s="233"/>
      <c r="BA45" s="233"/>
      <c r="BB45" s="233"/>
      <c r="BC45" s="233"/>
      <c r="BD45" s="233"/>
      <c r="BE45" s="233"/>
      <c r="BF45" s="233"/>
      <c r="BG45" s="233"/>
      <c r="BH45" s="233"/>
      <c r="BI45" s="233"/>
      <c r="BJ45" s="233"/>
      <c r="BK45" s="233"/>
    </row>
    <row r="46" spans="1:63">
      <c r="A46" s="233"/>
      <c r="B46" s="233"/>
      <c r="C46" s="233"/>
      <c r="D46" s="233"/>
      <c r="E46" s="233"/>
      <c r="F46" s="270"/>
      <c r="G46" s="270"/>
      <c r="H46" s="270"/>
      <c r="I46" s="233"/>
      <c r="J46" s="233"/>
      <c r="K46" s="270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H46" s="233"/>
      <c r="BI46" s="233"/>
      <c r="BJ46" s="233"/>
      <c r="BK46" s="233"/>
    </row>
    <row r="47" spans="1:63">
      <c r="A47" s="271"/>
      <c r="B47" s="233"/>
      <c r="C47" s="233"/>
      <c r="D47" s="233"/>
      <c r="E47" s="271"/>
      <c r="F47" s="270"/>
      <c r="G47" s="270"/>
      <c r="H47" s="270"/>
      <c r="I47" s="271"/>
      <c r="J47" s="271"/>
      <c r="K47" s="270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  <c r="BD47" s="233"/>
      <c r="BE47" s="233"/>
      <c r="BF47" s="233"/>
      <c r="BG47" s="233"/>
      <c r="BH47" s="233"/>
      <c r="BI47" s="233"/>
      <c r="BJ47" s="233"/>
      <c r="BK47" s="233"/>
    </row>
    <row r="48" spans="1:63">
      <c r="A48" s="233"/>
      <c r="B48" s="233"/>
      <c r="C48" s="233"/>
      <c r="D48" s="233"/>
      <c r="E48" s="233"/>
      <c r="F48" s="265"/>
      <c r="G48" s="265"/>
      <c r="H48" s="265"/>
      <c r="I48" s="233"/>
      <c r="J48" s="233"/>
      <c r="K48" s="265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33"/>
      <c r="BG48" s="233"/>
      <c r="BH48" s="233"/>
      <c r="BI48" s="233"/>
      <c r="BJ48" s="233"/>
      <c r="BK48" s="233"/>
    </row>
    <row r="49" spans="1:63">
      <c r="A49" s="233"/>
      <c r="B49" s="233"/>
      <c r="C49" s="233"/>
      <c r="D49" s="233"/>
      <c r="E49" s="233"/>
      <c r="F49" s="265"/>
      <c r="G49" s="265"/>
      <c r="H49" s="265"/>
      <c r="I49" s="233"/>
      <c r="J49" s="233"/>
      <c r="K49" s="265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</row>
    <row r="50" spans="1:63">
      <c r="A50" s="233"/>
      <c r="B50" s="233"/>
      <c r="C50" s="233"/>
      <c r="D50" s="233"/>
      <c r="E50" s="233"/>
      <c r="F50" s="265"/>
      <c r="G50" s="265"/>
      <c r="H50" s="265"/>
      <c r="I50" s="233"/>
      <c r="J50" s="233"/>
      <c r="K50" s="265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</row>
    <row r="51" spans="1:63">
      <c r="A51" s="233"/>
      <c r="B51" s="233"/>
      <c r="C51" s="233"/>
      <c r="D51" s="233"/>
      <c r="E51" s="233"/>
      <c r="F51" s="265"/>
      <c r="G51" s="265"/>
      <c r="H51" s="265"/>
      <c r="I51" s="233"/>
      <c r="J51" s="233"/>
      <c r="K51" s="265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</row>
    <row r="52" spans="1:63">
      <c r="A52" s="233"/>
      <c r="B52" s="233"/>
      <c r="C52" s="233"/>
      <c r="D52" s="233"/>
      <c r="E52" s="233"/>
      <c r="F52" s="265"/>
      <c r="G52" s="265"/>
      <c r="H52" s="265"/>
      <c r="I52" s="233"/>
      <c r="J52" s="233"/>
      <c r="K52" s="265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/>
      <c r="AO52" s="233"/>
      <c r="AP52" s="233"/>
      <c r="AQ52" s="233"/>
      <c r="AR52" s="233"/>
      <c r="AS52" s="233"/>
      <c r="AT52" s="233"/>
      <c r="AU52" s="233"/>
      <c r="AV52" s="233"/>
      <c r="AW52" s="233"/>
      <c r="AX52" s="233"/>
      <c r="AY52" s="233"/>
      <c r="AZ52" s="233"/>
      <c r="BA52" s="233"/>
      <c r="BB52" s="233"/>
      <c r="BC52" s="233"/>
      <c r="BD52" s="233"/>
      <c r="BE52" s="233"/>
      <c r="BF52" s="233"/>
      <c r="BG52" s="233"/>
      <c r="BH52" s="233"/>
      <c r="BI52" s="233"/>
      <c r="BJ52" s="233"/>
      <c r="BK52" s="233"/>
    </row>
    <row r="53" spans="1:63">
      <c r="A53" s="233"/>
      <c r="B53" s="233"/>
      <c r="C53" s="233"/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3"/>
      <c r="AP53" s="233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</row>
    <row r="54" spans="1:63">
      <c r="A54" s="233"/>
      <c r="B54" s="233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33"/>
      <c r="AN54" s="233"/>
      <c r="AO54" s="233"/>
      <c r="AP54" s="233"/>
      <c r="AQ54" s="233"/>
      <c r="AR54" s="233"/>
      <c r="AS54" s="233"/>
      <c r="AT54" s="233"/>
      <c r="AU54" s="233"/>
      <c r="AV54" s="233"/>
      <c r="AW54" s="233"/>
      <c r="AX54" s="233"/>
      <c r="AY54" s="233"/>
      <c r="AZ54" s="233"/>
      <c r="BA54" s="233"/>
      <c r="BB54" s="233"/>
      <c r="BC54" s="233"/>
      <c r="BD54" s="233"/>
      <c r="BE54" s="233"/>
      <c r="BF54" s="233"/>
      <c r="BG54" s="233"/>
      <c r="BH54" s="233"/>
      <c r="BI54" s="233"/>
      <c r="BJ54" s="233"/>
      <c r="BK54" s="233"/>
    </row>
    <row r="55" spans="1:63">
      <c r="A55" s="233"/>
      <c r="B55" s="233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3"/>
      <c r="AU55" s="233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33"/>
      <c r="BG55" s="233"/>
      <c r="BH55" s="233"/>
      <c r="BI55" s="233"/>
      <c r="BJ55" s="233"/>
      <c r="BK55" s="233"/>
    </row>
    <row r="56" spans="1:63">
      <c r="A56" s="233"/>
      <c r="B56" s="233"/>
      <c r="C56" s="233"/>
      <c r="D56" s="233"/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33"/>
      <c r="BG56" s="233"/>
      <c r="BH56" s="233"/>
      <c r="BI56" s="233"/>
      <c r="BJ56" s="233"/>
      <c r="BK56" s="233"/>
    </row>
    <row r="57" spans="1:63">
      <c r="A57" s="233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3"/>
      <c r="AU57" s="233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</row>
    <row r="58" spans="1:63">
      <c r="A58" s="233"/>
      <c r="B58" s="233"/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3"/>
      <c r="AU58" s="233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</row>
    <row r="59" spans="1:63">
      <c r="A59" s="233"/>
      <c r="B59" s="233"/>
      <c r="C59" s="233"/>
      <c r="D59" s="233"/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  <c r="AA59" s="233"/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/>
      <c r="AO59" s="233"/>
      <c r="AP59" s="233"/>
      <c r="AQ59" s="233"/>
      <c r="AR59" s="233"/>
      <c r="AS59" s="233"/>
      <c r="AT59" s="233"/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</row>
    <row r="60" spans="1:63">
      <c r="A60" s="233"/>
      <c r="B60" s="233"/>
      <c r="C60" s="233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/>
      <c r="AO60" s="233"/>
      <c r="AP60" s="233"/>
      <c r="AQ60" s="233"/>
      <c r="AR60" s="233"/>
      <c r="AS60" s="233"/>
      <c r="AT60" s="233"/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</row>
    <row r="61" spans="1:63">
      <c r="A61" s="233"/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</row>
    <row r="62" spans="1:63">
      <c r="A62" s="233"/>
      <c r="B62" s="233"/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/>
      <c r="AO62" s="233"/>
      <c r="AP62" s="233"/>
      <c r="AQ62" s="233"/>
      <c r="AR62" s="233"/>
      <c r="AS62" s="233"/>
      <c r="AT62" s="233"/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</row>
    <row r="63" spans="1:63">
      <c r="A63" s="233"/>
      <c r="B63" s="233"/>
      <c r="C63" s="233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</row>
    <row r="64" spans="1:63">
      <c r="A64" s="233"/>
      <c r="B64" s="233"/>
      <c r="C64" s="233"/>
      <c r="D64" s="233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  <c r="AA64" s="233"/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  <c r="AR64" s="233"/>
      <c r="AS64" s="233"/>
      <c r="AT64" s="233"/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</row>
    <row r="65" spans="1:63">
      <c r="A65" s="233"/>
      <c r="B65" s="233"/>
      <c r="C65" s="233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33"/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</row>
    <row r="66" spans="1:63">
      <c r="A66" s="233"/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</row>
    <row r="67" spans="1:63">
      <c r="A67" s="233"/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</row>
    <row r="68" spans="1:63">
      <c r="A68" s="233"/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</row>
    <row r="69" spans="1:63">
      <c r="A69" s="233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</row>
    <row r="70" spans="1:63">
      <c r="A70" s="233"/>
      <c r="B70" s="233"/>
      <c r="C70" s="233"/>
      <c r="D70" s="233"/>
      <c r="E70" s="233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</row>
    <row r="71" spans="1:63">
      <c r="A71" s="233"/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</row>
    <row r="72" spans="1:63">
      <c r="A72" s="233"/>
      <c r="B72" s="233"/>
      <c r="C72" s="233"/>
      <c r="D72" s="233"/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</row>
    <row r="73" spans="1:63">
      <c r="A73" s="233"/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</row>
    <row r="74" spans="1:63">
      <c r="A74" s="233"/>
      <c r="B74" s="233"/>
      <c r="C74" s="233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33"/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</row>
    <row r="75" spans="1:63">
      <c r="A75" s="233"/>
      <c r="B75" s="233"/>
      <c r="C75" s="233"/>
      <c r="D75" s="233"/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33"/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</row>
    <row r="76" spans="1:63">
      <c r="A76" s="233"/>
      <c r="B76" s="233"/>
      <c r="C76" s="233"/>
      <c r="D76" s="233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3"/>
      <c r="AP76" s="233"/>
      <c r="AQ76" s="233"/>
      <c r="AR76" s="233"/>
      <c r="AS76" s="233"/>
      <c r="AT76" s="233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</row>
    <row r="77" spans="1:63">
      <c r="A77" s="233"/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</row>
    <row r="78" spans="1:63">
      <c r="A78" s="233"/>
      <c r="B78" s="233"/>
      <c r="C78" s="233"/>
      <c r="D78" s="233"/>
      <c r="E78" s="233"/>
      <c r="F78" s="233"/>
      <c r="G78" s="233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33"/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</row>
    <row r="79" spans="1:63">
      <c r="A79" s="233"/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33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</row>
    <row r="80" spans="1:63">
      <c r="A80" s="233"/>
      <c r="B80" s="233"/>
      <c r="C80" s="233"/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3"/>
      <c r="AP80" s="233"/>
      <c r="AQ80" s="233"/>
      <c r="AR80" s="233"/>
      <c r="AS80" s="233"/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</row>
    <row r="81" spans="1:63">
      <c r="A81" s="233"/>
      <c r="B81" s="233"/>
      <c r="C81" s="233"/>
      <c r="D81" s="233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3"/>
      <c r="AP81" s="233"/>
      <c r="AQ81" s="233"/>
      <c r="AR81" s="233"/>
      <c r="AS81" s="233"/>
      <c r="AT81" s="233"/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</row>
    <row r="82" spans="1:63">
      <c r="A82" s="233"/>
      <c r="B82" s="233"/>
      <c r="C82" s="233"/>
      <c r="D82" s="233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3"/>
      <c r="AP82" s="233"/>
      <c r="AQ82" s="233"/>
      <c r="AR82" s="233"/>
      <c r="AS82" s="233"/>
      <c r="AT82" s="233"/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</row>
    <row r="83" spans="1:63">
      <c r="A83" s="233"/>
      <c r="B83" s="233"/>
      <c r="C83" s="233"/>
      <c r="D83" s="233"/>
      <c r="E83" s="233"/>
      <c r="F83" s="233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33"/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</row>
    <row r="84" spans="1:63">
      <c r="A84" s="233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3"/>
      <c r="AP84" s="233"/>
      <c r="AQ84" s="233"/>
      <c r="AR84" s="233"/>
      <c r="AS84" s="233"/>
      <c r="AT84" s="233"/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</row>
    <row r="85" spans="1:63">
      <c r="A85" s="233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</row>
    <row r="86" spans="1:63">
      <c r="A86" s="233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</row>
    <row r="87" spans="1:63">
      <c r="A87" s="233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33"/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33"/>
      <c r="BH87" s="233"/>
      <c r="BI87" s="233"/>
      <c r="BJ87" s="233"/>
      <c r="BK87" s="233"/>
    </row>
    <row r="88" spans="1:63">
      <c r="A88" s="233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33"/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33"/>
      <c r="BH88" s="233"/>
      <c r="BI88" s="233"/>
      <c r="BJ88" s="233"/>
      <c r="BK88" s="233"/>
    </row>
    <row r="89" spans="1:63">
      <c r="A89" s="233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/>
      <c r="AR89" s="233"/>
      <c r="AS89" s="233"/>
      <c r="AT89" s="233"/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33"/>
      <c r="BH89" s="233"/>
      <c r="BI89" s="233"/>
      <c r="BJ89" s="233"/>
      <c r="BK89" s="233"/>
    </row>
    <row r="90" spans="1:63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/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3"/>
      <c r="AP90" s="233"/>
      <c r="AQ90" s="233"/>
      <c r="AR90" s="233"/>
      <c r="AS90" s="233"/>
      <c r="AT90" s="233"/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33"/>
      <c r="BH90" s="233"/>
      <c r="BI90" s="233"/>
      <c r="BJ90" s="233"/>
      <c r="BK90" s="233"/>
    </row>
    <row r="91" spans="1:63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/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3"/>
      <c r="AP91" s="233"/>
      <c r="AQ91" s="233"/>
      <c r="AR91" s="233"/>
      <c r="AS91" s="233"/>
      <c r="AT91" s="233"/>
      <c r="AU91" s="233"/>
      <c r="AV91" s="233"/>
      <c r="AW91" s="233"/>
      <c r="AX91" s="233"/>
      <c r="AY91" s="233"/>
      <c r="AZ91" s="233"/>
      <c r="BA91" s="233"/>
      <c r="BB91" s="233"/>
      <c r="BC91" s="233"/>
      <c r="BD91" s="233"/>
      <c r="BE91" s="233"/>
      <c r="BF91" s="233"/>
      <c r="BG91" s="233"/>
      <c r="BH91" s="233"/>
      <c r="BI91" s="233"/>
      <c r="BJ91" s="233"/>
      <c r="BK91" s="233"/>
    </row>
    <row r="92" spans="1:63">
      <c r="A92" s="233"/>
      <c r="B92" s="233"/>
      <c r="C92" s="233"/>
      <c r="D92" s="233"/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3"/>
      <c r="AP92" s="233"/>
      <c r="AQ92" s="233"/>
      <c r="AR92" s="233"/>
      <c r="AS92" s="233"/>
      <c r="AT92" s="233"/>
      <c r="AU92" s="233"/>
      <c r="AV92" s="233"/>
      <c r="AW92" s="233"/>
      <c r="AX92" s="233"/>
      <c r="AY92" s="233"/>
      <c r="AZ92" s="233"/>
      <c r="BA92" s="233"/>
      <c r="BB92" s="233"/>
      <c r="BC92" s="233"/>
      <c r="BD92" s="233"/>
      <c r="BE92" s="233"/>
      <c r="BF92" s="233"/>
      <c r="BG92" s="233"/>
      <c r="BH92" s="233"/>
      <c r="BI92" s="233"/>
      <c r="BJ92" s="233"/>
      <c r="BK92" s="233"/>
    </row>
    <row r="93" spans="1:63">
      <c r="A93" s="233"/>
      <c r="B93" s="233"/>
      <c r="C93" s="233"/>
      <c r="D93" s="233"/>
      <c r="E93" s="233"/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/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3"/>
      <c r="AP93" s="233"/>
      <c r="AQ93" s="233"/>
      <c r="AR93" s="233"/>
      <c r="AS93" s="233"/>
      <c r="AT93" s="233"/>
      <c r="AU93" s="233"/>
      <c r="AV93" s="233"/>
      <c r="AW93" s="233"/>
      <c r="AX93" s="233"/>
      <c r="AY93" s="233"/>
      <c r="AZ93" s="233"/>
      <c r="BA93" s="233"/>
      <c r="BB93" s="233"/>
      <c r="BC93" s="233"/>
      <c r="BD93" s="233"/>
      <c r="BE93" s="233"/>
      <c r="BF93" s="233"/>
      <c r="BG93" s="233"/>
      <c r="BH93" s="233"/>
      <c r="BI93" s="233"/>
      <c r="BJ93" s="233"/>
      <c r="BK93" s="233"/>
    </row>
    <row r="94" spans="1:63">
      <c r="A94" s="233"/>
      <c r="B94" s="233"/>
      <c r="C94" s="233"/>
      <c r="D94" s="233"/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  <c r="BC94" s="233"/>
      <c r="BD94" s="233"/>
      <c r="BE94" s="233"/>
      <c r="BF94" s="233"/>
      <c r="BG94" s="233"/>
      <c r="BH94" s="233"/>
      <c r="BI94" s="233"/>
      <c r="BJ94" s="233"/>
      <c r="BK94" s="233"/>
    </row>
    <row r="95" spans="1:63">
      <c r="A95" s="233"/>
      <c r="B95" s="233"/>
      <c r="C95" s="233"/>
      <c r="D95" s="233"/>
      <c r="E95" s="233"/>
      <c r="F95" s="233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3"/>
      <c r="BH95" s="233"/>
      <c r="BI95" s="233"/>
      <c r="BJ95" s="233"/>
      <c r="BK95" s="233"/>
    </row>
    <row r="96" spans="1:63">
      <c r="A96" s="233"/>
      <c r="B96" s="233"/>
      <c r="C96" s="233"/>
      <c r="D96" s="233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  <c r="AZ96" s="233"/>
      <c r="BA96" s="233"/>
      <c r="BB96" s="233"/>
      <c r="BC96" s="233"/>
      <c r="BD96" s="233"/>
      <c r="BE96" s="233"/>
      <c r="BF96" s="233"/>
      <c r="BG96" s="233"/>
      <c r="BH96" s="233"/>
      <c r="BI96" s="233"/>
      <c r="BJ96" s="233"/>
      <c r="BK96" s="233"/>
    </row>
    <row r="97" spans="1:63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3"/>
      <c r="BH97" s="233"/>
      <c r="BI97" s="233"/>
      <c r="BJ97" s="233"/>
      <c r="BK97" s="233"/>
    </row>
    <row r="98" spans="1:63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3"/>
      <c r="BA98" s="233"/>
      <c r="BB98" s="233"/>
      <c r="BC98" s="233"/>
      <c r="BD98" s="233"/>
      <c r="BE98" s="233"/>
      <c r="BF98" s="233"/>
      <c r="BG98" s="233"/>
      <c r="BH98" s="233"/>
      <c r="BI98" s="233"/>
      <c r="BJ98" s="233"/>
      <c r="BK98" s="233"/>
    </row>
    <row r="99" spans="1:63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3"/>
      <c r="BH99" s="233"/>
      <c r="BI99" s="233"/>
      <c r="BJ99" s="233"/>
      <c r="BK99" s="233"/>
    </row>
    <row r="100" spans="1:63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3"/>
      <c r="AP100" s="233"/>
      <c r="AQ100" s="233"/>
      <c r="AR100" s="233"/>
      <c r="AS100" s="233"/>
      <c r="AT100" s="233"/>
      <c r="AU100" s="233"/>
      <c r="AV100" s="233"/>
      <c r="AW100" s="233"/>
      <c r="AX100" s="233"/>
      <c r="AY100" s="233"/>
      <c r="AZ100" s="233"/>
      <c r="BA100" s="233"/>
      <c r="BB100" s="233"/>
      <c r="BC100" s="233"/>
      <c r="BD100" s="233"/>
      <c r="BE100" s="233"/>
      <c r="BF100" s="233"/>
      <c r="BG100" s="233"/>
      <c r="BH100" s="233"/>
      <c r="BI100" s="233"/>
      <c r="BJ100" s="233"/>
      <c r="BK100" s="233"/>
    </row>
    <row r="101" spans="1:63">
      <c r="A101" s="233"/>
      <c r="B101" s="233"/>
      <c r="C101" s="233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233"/>
      <c r="AZ101" s="233"/>
      <c r="BA101" s="233"/>
      <c r="BB101" s="233"/>
      <c r="BC101" s="233"/>
      <c r="BD101" s="233"/>
      <c r="BE101" s="233"/>
      <c r="BF101" s="233"/>
      <c r="BG101" s="233"/>
      <c r="BH101" s="233"/>
      <c r="BI101" s="233"/>
      <c r="BJ101" s="233"/>
      <c r="BK101" s="233"/>
    </row>
    <row r="102" spans="1:63">
      <c r="A102" s="233"/>
      <c r="B102" s="233"/>
      <c r="C102" s="233"/>
      <c r="D102" s="233"/>
      <c r="E102" s="233"/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3"/>
      <c r="BH102" s="233"/>
      <c r="BI102" s="233"/>
      <c r="BJ102" s="233"/>
      <c r="BK102" s="233"/>
    </row>
    <row r="103" spans="1:63">
      <c r="A103" s="233"/>
      <c r="B103" s="233"/>
      <c r="C103" s="233"/>
      <c r="D103" s="233"/>
      <c r="E103" s="233"/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233"/>
      <c r="AO103" s="233"/>
      <c r="AP103" s="233"/>
      <c r="AQ103" s="233"/>
      <c r="AR103" s="233"/>
      <c r="AS103" s="233"/>
      <c r="AT103" s="233"/>
      <c r="AU103" s="233"/>
      <c r="AV103" s="233"/>
      <c r="AW103" s="233"/>
      <c r="AX103" s="233"/>
      <c r="AY103" s="233"/>
      <c r="AZ103" s="233"/>
      <c r="BA103" s="233"/>
      <c r="BB103" s="233"/>
      <c r="BC103" s="233"/>
      <c r="BD103" s="233"/>
      <c r="BE103" s="233"/>
      <c r="BF103" s="233"/>
      <c r="BG103" s="233"/>
      <c r="BH103" s="233"/>
      <c r="BI103" s="233"/>
      <c r="BJ103" s="233"/>
      <c r="BK103" s="233"/>
    </row>
    <row r="104" spans="1:63">
      <c r="A104" s="233"/>
      <c r="B104" s="233"/>
      <c r="C104" s="233"/>
      <c r="D104" s="233"/>
      <c r="E104" s="233"/>
      <c r="F104" s="233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33"/>
      <c r="AU104" s="233"/>
      <c r="AV104" s="233"/>
      <c r="AW104" s="233"/>
      <c r="AX104" s="233"/>
      <c r="AY104" s="233"/>
      <c r="AZ104" s="233"/>
      <c r="BA104" s="233"/>
      <c r="BB104" s="233"/>
      <c r="BC104" s="233"/>
      <c r="BD104" s="233"/>
      <c r="BE104" s="233"/>
      <c r="BF104" s="233"/>
      <c r="BG104" s="233"/>
      <c r="BH104" s="233"/>
      <c r="BI104" s="233"/>
      <c r="BJ104" s="233"/>
      <c r="BK104" s="233"/>
    </row>
    <row r="105" spans="1:63">
      <c r="A105" s="233"/>
      <c r="B105" s="233"/>
      <c r="C105" s="233"/>
      <c r="D105" s="233"/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  <c r="AM105" s="233"/>
      <c r="AN105" s="233"/>
      <c r="AO105" s="233"/>
      <c r="AP105" s="233"/>
      <c r="AQ105" s="233"/>
      <c r="AR105" s="233"/>
      <c r="AS105" s="233"/>
      <c r="AT105" s="233"/>
      <c r="AU105" s="233"/>
      <c r="AV105" s="233"/>
      <c r="AW105" s="233"/>
      <c r="AX105" s="233"/>
      <c r="AY105" s="233"/>
      <c r="AZ105" s="233"/>
      <c r="BA105" s="233"/>
      <c r="BB105" s="233"/>
      <c r="BC105" s="233"/>
      <c r="BD105" s="233"/>
      <c r="BE105" s="233"/>
      <c r="BF105" s="233"/>
      <c r="BG105" s="233"/>
      <c r="BH105" s="233"/>
      <c r="BI105" s="233"/>
      <c r="BJ105" s="233"/>
      <c r="BK105" s="233"/>
    </row>
    <row r="106" spans="1:63">
      <c r="A106" s="233"/>
      <c r="B106" s="233"/>
      <c r="C106" s="233"/>
      <c r="D106" s="233"/>
      <c r="E106" s="233"/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  <c r="AI106" s="233"/>
      <c r="AJ106" s="233"/>
      <c r="AK106" s="233"/>
      <c r="AL106" s="233"/>
      <c r="AM106" s="233"/>
      <c r="AN106" s="233"/>
      <c r="AO106" s="233"/>
      <c r="AP106" s="233"/>
      <c r="AQ106" s="233"/>
      <c r="AR106" s="233"/>
      <c r="AS106" s="233"/>
      <c r="AT106" s="233"/>
      <c r="AU106" s="233"/>
      <c r="AV106" s="233"/>
      <c r="AW106" s="233"/>
      <c r="AX106" s="233"/>
      <c r="AY106" s="233"/>
      <c r="AZ106" s="233"/>
      <c r="BA106" s="233"/>
      <c r="BB106" s="233"/>
      <c r="BC106" s="233"/>
      <c r="BD106" s="233"/>
      <c r="BE106" s="233"/>
      <c r="BF106" s="233"/>
      <c r="BG106" s="233"/>
      <c r="BH106" s="233"/>
      <c r="BI106" s="233"/>
      <c r="BJ106" s="233"/>
      <c r="BK106" s="233"/>
    </row>
    <row r="107" spans="1:63">
      <c r="A107" s="233"/>
      <c r="B107" s="233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3"/>
      <c r="BH107" s="233"/>
      <c r="BI107" s="233"/>
      <c r="BJ107" s="233"/>
      <c r="BK107" s="233"/>
    </row>
    <row r="108" spans="1:63">
      <c r="A108" s="233"/>
      <c r="B108" s="233"/>
      <c r="C108" s="233"/>
      <c r="D108" s="233"/>
      <c r="E108" s="233"/>
      <c r="F108" s="233"/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  <c r="AK108" s="233"/>
      <c r="AL108" s="233"/>
      <c r="AM108" s="233"/>
      <c r="AN108" s="233"/>
      <c r="AO108" s="233"/>
      <c r="AP108" s="233"/>
      <c r="AQ108" s="233"/>
      <c r="AR108" s="233"/>
      <c r="AS108" s="233"/>
      <c r="AT108" s="233"/>
      <c r="AU108" s="233"/>
      <c r="AV108" s="233"/>
      <c r="AW108" s="233"/>
      <c r="AX108" s="233"/>
      <c r="AY108" s="233"/>
      <c r="AZ108" s="233"/>
      <c r="BA108" s="233"/>
      <c r="BB108" s="233"/>
      <c r="BC108" s="233"/>
      <c r="BD108" s="233"/>
      <c r="BE108" s="233"/>
      <c r="BF108" s="233"/>
      <c r="BG108" s="233"/>
      <c r="BH108" s="233"/>
      <c r="BI108" s="233"/>
      <c r="BJ108" s="233"/>
      <c r="BK108" s="233"/>
    </row>
    <row r="109" spans="1:63">
      <c r="A109" s="233"/>
      <c r="B109" s="272"/>
      <c r="C109" s="233"/>
      <c r="D109" s="272"/>
      <c r="E109" s="233"/>
      <c r="F109" s="233"/>
      <c r="G109" s="233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  <c r="AR109" s="233"/>
      <c r="AS109" s="233"/>
      <c r="AT109" s="233"/>
      <c r="AU109" s="233"/>
      <c r="AV109" s="233"/>
      <c r="AW109" s="233"/>
      <c r="AX109" s="233"/>
      <c r="AY109" s="233"/>
      <c r="AZ109" s="233"/>
      <c r="BA109" s="233"/>
      <c r="BB109" s="233"/>
      <c r="BC109" s="233"/>
      <c r="BD109" s="233"/>
      <c r="BE109" s="233"/>
      <c r="BF109" s="233"/>
      <c r="BG109" s="233"/>
      <c r="BH109" s="233"/>
      <c r="BI109" s="233"/>
      <c r="BJ109" s="233"/>
      <c r="BK109" s="233"/>
    </row>
    <row r="110" spans="1:63">
      <c r="A110" s="233"/>
      <c r="B110" s="272"/>
      <c r="C110" s="233"/>
      <c r="D110" s="272"/>
      <c r="E110" s="233"/>
      <c r="F110" s="233"/>
      <c r="G110" s="233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233"/>
      <c r="AK110" s="233"/>
      <c r="AL110" s="233"/>
      <c r="AM110" s="233"/>
      <c r="AN110" s="233"/>
      <c r="AO110" s="233"/>
      <c r="AP110" s="233"/>
      <c r="AQ110" s="233"/>
      <c r="AR110" s="233"/>
      <c r="AS110" s="233"/>
      <c r="AT110" s="233"/>
      <c r="AU110" s="233"/>
      <c r="AV110" s="233"/>
      <c r="AW110" s="233"/>
      <c r="AX110" s="233"/>
      <c r="AY110" s="233"/>
      <c r="AZ110" s="233"/>
      <c r="BA110" s="233"/>
      <c r="BB110" s="233"/>
      <c r="BC110" s="233"/>
      <c r="BD110" s="233"/>
      <c r="BE110" s="233"/>
      <c r="BF110" s="233"/>
      <c r="BG110" s="233"/>
      <c r="BH110" s="233"/>
      <c r="BI110" s="233"/>
      <c r="BJ110" s="233"/>
      <c r="BK110" s="233"/>
    </row>
    <row r="111" spans="1:63">
      <c r="A111" s="233"/>
      <c r="B111" s="272"/>
      <c r="C111" s="233"/>
      <c r="D111" s="272"/>
      <c r="E111" s="233"/>
      <c r="F111" s="233"/>
      <c r="G111" s="233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233"/>
      <c r="AK111" s="233"/>
      <c r="AL111" s="233"/>
      <c r="AM111" s="233"/>
      <c r="AN111" s="233"/>
      <c r="AO111" s="233"/>
      <c r="AP111" s="233"/>
      <c r="AQ111" s="233"/>
      <c r="AR111" s="233"/>
      <c r="AS111" s="233"/>
      <c r="AT111" s="233"/>
      <c r="AU111" s="233"/>
      <c r="AV111" s="233"/>
      <c r="AW111" s="233"/>
      <c r="AX111" s="233"/>
      <c r="AY111" s="233"/>
      <c r="AZ111" s="233"/>
      <c r="BA111" s="233"/>
      <c r="BB111" s="233"/>
      <c r="BC111" s="233"/>
      <c r="BD111" s="233"/>
      <c r="BE111" s="233"/>
      <c r="BF111" s="233"/>
      <c r="BG111" s="233"/>
      <c r="BH111" s="233"/>
      <c r="BI111" s="233"/>
      <c r="BJ111" s="233"/>
      <c r="BK111" s="233"/>
    </row>
    <row r="112" spans="1:63">
      <c r="A112" s="233"/>
      <c r="B112" s="272"/>
      <c r="C112" s="233"/>
      <c r="D112" s="272"/>
      <c r="E112" s="233"/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233"/>
      <c r="AK112" s="233"/>
      <c r="AL112" s="233"/>
      <c r="AM112" s="233"/>
      <c r="AN112" s="233"/>
      <c r="AO112" s="233"/>
      <c r="AP112" s="233"/>
      <c r="AQ112" s="233"/>
      <c r="AR112" s="233"/>
      <c r="AS112" s="233"/>
      <c r="AT112" s="233"/>
      <c r="AU112" s="233"/>
      <c r="AV112" s="233"/>
      <c r="AW112" s="233"/>
      <c r="AX112" s="233"/>
      <c r="AY112" s="233"/>
      <c r="AZ112" s="233"/>
      <c r="BA112" s="233"/>
      <c r="BB112" s="233"/>
      <c r="BC112" s="233"/>
      <c r="BD112" s="233"/>
      <c r="BE112" s="233"/>
      <c r="BF112" s="233"/>
      <c r="BG112" s="233"/>
      <c r="BH112" s="233"/>
      <c r="BI112" s="233"/>
      <c r="BJ112" s="233"/>
      <c r="BK112" s="233"/>
    </row>
    <row r="113" spans="1:63">
      <c r="A113" s="233"/>
      <c r="B113" s="272"/>
      <c r="C113" s="233"/>
      <c r="D113" s="272"/>
      <c r="E113" s="233"/>
      <c r="F113" s="233"/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233"/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33"/>
      <c r="AU113" s="233"/>
      <c r="AV113" s="233"/>
      <c r="AW113" s="233"/>
      <c r="AX113" s="233"/>
      <c r="AY113" s="233"/>
      <c r="AZ113" s="233"/>
      <c r="BA113" s="233"/>
      <c r="BB113" s="233"/>
      <c r="BC113" s="233"/>
      <c r="BD113" s="233"/>
      <c r="BE113" s="233"/>
      <c r="BF113" s="233"/>
      <c r="BG113" s="233"/>
      <c r="BH113" s="233"/>
      <c r="BI113" s="233"/>
      <c r="BJ113" s="233"/>
      <c r="BK113" s="233"/>
    </row>
    <row r="114" spans="1:63">
      <c r="A114" s="233"/>
      <c r="B114" s="272"/>
      <c r="C114" s="233"/>
      <c r="D114" s="272"/>
      <c r="E114" s="233"/>
      <c r="F114" s="233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233"/>
      <c r="AK114" s="233"/>
      <c r="AL114" s="233"/>
      <c r="AM114" s="233"/>
      <c r="AN114" s="233"/>
      <c r="AO114" s="233"/>
      <c r="AP114" s="233"/>
      <c r="AQ114" s="233"/>
      <c r="AR114" s="233"/>
      <c r="AS114" s="233"/>
      <c r="AT114" s="233"/>
      <c r="AU114" s="233"/>
      <c r="AV114" s="233"/>
      <c r="AW114" s="233"/>
      <c r="AX114" s="233"/>
      <c r="AY114" s="233"/>
      <c r="AZ114" s="233"/>
      <c r="BA114" s="233"/>
      <c r="BB114" s="233"/>
      <c r="BC114" s="233"/>
      <c r="BD114" s="233"/>
      <c r="BE114" s="233"/>
      <c r="BF114" s="233"/>
      <c r="BG114" s="233"/>
      <c r="BH114" s="233"/>
      <c r="BI114" s="233"/>
      <c r="BJ114" s="233"/>
      <c r="BK114" s="233"/>
    </row>
    <row r="115" spans="1:63">
      <c r="A115" s="233"/>
      <c r="B115" s="272"/>
      <c r="C115" s="233"/>
      <c r="D115" s="272"/>
      <c r="E115" s="233"/>
      <c r="F115" s="233"/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  <c r="AA115" s="233"/>
      <c r="AB115" s="233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  <c r="AM115" s="233"/>
      <c r="AN115" s="233"/>
      <c r="AO115" s="233"/>
      <c r="AP115" s="233"/>
      <c r="AQ115" s="233"/>
      <c r="AR115" s="233"/>
      <c r="AS115" s="233"/>
      <c r="AT115" s="233"/>
      <c r="AU115" s="233"/>
      <c r="AV115" s="233"/>
      <c r="AW115" s="233"/>
      <c r="AX115" s="233"/>
      <c r="AY115" s="233"/>
      <c r="AZ115" s="233"/>
      <c r="BA115" s="233"/>
      <c r="BB115" s="233"/>
      <c r="BC115" s="233"/>
      <c r="BD115" s="233"/>
      <c r="BE115" s="233"/>
      <c r="BF115" s="233"/>
      <c r="BG115" s="233"/>
      <c r="BH115" s="233"/>
      <c r="BI115" s="233"/>
      <c r="BJ115" s="233"/>
      <c r="BK115" s="233"/>
    </row>
    <row r="116" spans="1:63">
      <c r="A116" s="233"/>
      <c r="B116" s="272"/>
      <c r="C116" s="233"/>
      <c r="D116" s="272"/>
      <c r="E116" s="233"/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  <c r="AA116" s="233"/>
      <c r="AB116" s="233"/>
      <c r="AC116" s="233"/>
      <c r="AD116" s="233"/>
      <c r="AE116" s="233"/>
      <c r="AF116" s="233"/>
      <c r="AG116" s="233"/>
      <c r="AH116" s="233"/>
      <c r="AI116" s="233"/>
      <c r="AJ116" s="233"/>
      <c r="AK116" s="233"/>
      <c r="AL116" s="233"/>
      <c r="AM116" s="233"/>
      <c r="AN116" s="233"/>
      <c r="AO116" s="233"/>
      <c r="AP116" s="233"/>
      <c r="AQ116" s="233"/>
      <c r="AR116" s="233"/>
      <c r="AS116" s="233"/>
      <c r="AT116" s="233"/>
      <c r="AU116" s="233"/>
      <c r="AV116" s="233"/>
      <c r="AW116" s="233"/>
      <c r="AX116" s="233"/>
      <c r="AY116" s="233"/>
      <c r="AZ116" s="233"/>
      <c r="BA116" s="233"/>
      <c r="BB116" s="233"/>
      <c r="BC116" s="233"/>
      <c r="BD116" s="233"/>
      <c r="BE116" s="233"/>
      <c r="BF116" s="233"/>
      <c r="BG116" s="233"/>
      <c r="BH116" s="233"/>
      <c r="BI116" s="233"/>
      <c r="BJ116" s="233"/>
      <c r="BK116" s="233"/>
    </row>
    <row r="117" spans="1:63">
      <c r="A117" s="233"/>
      <c r="B117" s="272"/>
      <c r="C117" s="233"/>
      <c r="D117" s="272"/>
      <c r="E117" s="233"/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  <c r="AA117" s="233"/>
      <c r="AB117" s="233"/>
      <c r="AC117" s="233"/>
      <c r="AD117" s="233"/>
      <c r="AE117" s="233"/>
      <c r="AF117" s="233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33"/>
      <c r="AU117" s="233"/>
      <c r="AV117" s="233"/>
      <c r="AW117" s="233"/>
      <c r="AX117" s="233"/>
      <c r="AY117" s="233"/>
      <c r="AZ117" s="233"/>
      <c r="BA117" s="233"/>
      <c r="BB117" s="233"/>
      <c r="BC117" s="233"/>
      <c r="BD117" s="233"/>
      <c r="BE117" s="233"/>
      <c r="BF117" s="233"/>
      <c r="BG117" s="233"/>
      <c r="BH117" s="233"/>
      <c r="BI117" s="233"/>
      <c r="BJ117" s="233"/>
      <c r="BK117" s="233"/>
    </row>
    <row r="118" spans="1:63">
      <c r="A118" s="233"/>
      <c r="B118" s="272"/>
      <c r="C118" s="233"/>
      <c r="D118" s="272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  <c r="AA118" s="233"/>
      <c r="AB118" s="233"/>
      <c r="AC118" s="233"/>
      <c r="AD118" s="233"/>
      <c r="AE118" s="233"/>
      <c r="AF118" s="233"/>
      <c r="AG118" s="233"/>
      <c r="AH118" s="233"/>
      <c r="AI118" s="233"/>
      <c r="AJ118" s="233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33"/>
      <c r="AU118" s="233"/>
      <c r="AV118" s="233"/>
      <c r="AW118" s="233"/>
      <c r="AX118" s="233"/>
      <c r="AY118" s="233"/>
      <c r="AZ118" s="233"/>
      <c r="BA118" s="233"/>
      <c r="BB118" s="233"/>
      <c r="BC118" s="233"/>
      <c r="BD118" s="233"/>
      <c r="BE118" s="233"/>
      <c r="BF118" s="233"/>
      <c r="BG118" s="233"/>
      <c r="BH118" s="233"/>
      <c r="BI118" s="233"/>
      <c r="BJ118" s="233"/>
      <c r="BK118" s="233"/>
    </row>
    <row r="119" spans="1:63">
      <c r="A119" s="233"/>
      <c r="B119" s="272"/>
      <c r="C119" s="233"/>
      <c r="D119" s="272"/>
      <c r="E119" s="233"/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  <c r="AA119" s="233"/>
      <c r="AB119" s="233"/>
      <c r="AC119" s="233"/>
      <c r="AD119" s="233"/>
      <c r="AE119" s="233"/>
      <c r="AF119" s="233"/>
      <c r="AG119" s="233"/>
      <c r="AH119" s="233"/>
      <c r="AI119" s="233"/>
      <c r="AJ119" s="233"/>
      <c r="AK119" s="233"/>
      <c r="AL119" s="233"/>
      <c r="AM119" s="233"/>
      <c r="AN119" s="233"/>
      <c r="AO119" s="233"/>
      <c r="AP119" s="233"/>
      <c r="AQ119" s="233"/>
      <c r="AR119" s="233"/>
      <c r="AS119" s="233"/>
      <c r="AT119" s="233"/>
      <c r="AU119" s="233"/>
      <c r="AV119" s="233"/>
      <c r="AW119" s="233"/>
      <c r="AX119" s="233"/>
      <c r="AY119" s="233"/>
      <c r="AZ119" s="233"/>
      <c r="BA119" s="233"/>
      <c r="BB119" s="233"/>
      <c r="BC119" s="233"/>
      <c r="BD119" s="233"/>
      <c r="BE119" s="233"/>
      <c r="BF119" s="233"/>
      <c r="BG119" s="233"/>
      <c r="BH119" s="233"/>
      <c r="BI119" s="233"/>
      <c r="BJ119" s="233"/>
      <c r="BK119" s="233"/>
    </row>
    <row r="120" spans="1:63">
      <c r="A120" s="233"/>
      <c r="B120" s="272"/>
      <c r="C120" s="233"/>
      <c r="D120" s="272"/>
      <c r="E120" s="233"/>
      <c r="F120" s="233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  <c r="AA120" s="233"/>
      <c r="AB120" s="233"/>
      <c r="AC120" s="233"/>
      <c r="AD120" s="233"/>
      <c r="AE120" s="233"/>
      <c r="AF120" s="233"/>
      <c r="AG120" s="233"/>
      <c r="AH120" s="233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33"/>
      <c r="AU120" s="233"/>
      <c r="AV120" s="233"/>
      <c r="AW120" s="233"/>
      <c r="AX120" s="233"/>
      <c r="AY120" s="233"/>
      <c r="AZ120" s="233"/>
      <c r="BA120" s="233"/>
      <c r="BB120" s="233"/>
      <c r="BC120" s="233"/>
      <c r="BD120" s="233"/>
      <c r="BE120" s="233"/>
      <c r="BF120" s="233"/>
      <c r="BG120" s="233"/>
      <c r="BH120" s="233"/>
      <c r="BI120" s="233"/>
      <c r="BJ120" s="233"/>
      <c r="BK120" s="233"/>
    </row>
    <row r="121" spans="1:63">
      <c r="A121" s="233"/>
      <c r="B121" s="272"/>
      <c r="C121" s="233"/>
      <c r="D121" s="272"/>
      <c r="E121" s="233"/>
      <c r="F121" s="233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  <c r="AA121" s="233"/>
      <c r="AB121" s="233"/>
      <c r="AC121" s="233"/>
      <c r="AD121" s="233"/>
      <c r="AE121" s="233"/>
      <c r="AF121" s="233"/>
      <c r="AG121" s="233"/>
      <c r="AH121" s="233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33"/>
      <c r="AU121" s="233"/>
      <c r="AV121" s="233"/>
      <c r="AW121" s="233"/>
      <c r="AX121" s="233"/>
      <c r="AY121" s="233"/>
      <c r="AZ121" s="233"/>
      <c r="BA121" s="233"/>
      <c r="BB121" s="233"/>
      <c r="BC121" s="233"/>
      <c r="BD121" s="233"/>
      <c r="BE121" s="233"/>
      <c r="BF121" s="233"/>
      <c r="BG121" s="233"/>
      <c r="BH121" s="233"/>
      <c r="BI121" s="233"/>
      <c r="BJ121" s="233"/>
      <c r="BK121" s="233"/>
    </row>
    <row r="122" spans="1:63">
      <c r="A122" s="233"/>
      <c r="B122" s="272"/>
      <c r="C122" s="233"/>
      <c r="D122" s="272"/>
      <c r="E122" s="233"/>
      <c r="F122" s="233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  <c r="AZ122" s="233"/>
      <c r="BA122" s="233"/>
      <c r="BB122" s="233"/>
      <c r="BC122" s="233"/>
      <c r="BD122" s="233"/>
      <c r="BE122" s="233"/>
      <c r="BF122" s="233"/>
      <c r="BG122" s="233"/>
      <c r="BH122" s="233"/>
      <c r="BI122" s="233"/>
      <c r="BJ122" s="233"/>
      <c r="BK122" s="233"/>
    </row>
    <row r="123" spans="1:63">
      <c r="A123" s="233"/>
      <c r="B123" s="272"/>
      <c r="C123" s="233"/>
      <c r="D123" s="272"/>
      <c r="E123" s="233"/>
      <c r="F123" s="233"/>
      <c r="G123" s="233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  <c r="AZ123" s="233"/>
      <c r="BA123" s="233"/>
      <c r="BB123" s="233"/>
      <c r="BC123" s="233"/>
      <c r="BD123" s="233"/>
      <c r="BE123" s="233"/>
      <c r="BF123" s="233"/>
      <c r="BG123" s="233"/>
      <c r="BH123" s="233"/>
      <c r="BI123" s="233"/>
      <c r="BJ123" s="233"/>
      <c r="BK123" s="233"/>
    </row>
    <row r="124" spans="1:63">
      <c r="A124" s="233"/>
      <c r="B124" s="272"/>
      <c r="C124" s="233"/>
      <c r="D124" s="272"/>
      <c r="E124" s="233"/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233"/>
      <c r="AY124" s="233"/>
      <c r="AZ124" s="233"/>
      <c r="BA124" s="233"/>
      <c r="BB124" s="233"/>
      <c r="BC124" s="233"/>
      <c r="BD124" s="233"/>
      <c r="BE124" s="233"/>
      <c r="BF124" s="233"/>
      <c r="BG124" s="233"/>
      <c r="BH124" s="233"/>
      <c r="BI124" s="233"/>
      <c r="BJ124" s="233"/>
      <c r="BK124" s="233"/>
    </row>
    <row r="125" spans="1:63">
      <c r="A125" s="233"/>
      <c r="B125" s="272"/>
      <c r="C125" s="233"/>
      <c r="D125" s="272"/>
      <c r="E125" s="233"/>
      <c r="F125" s="233"/>
      <c r="G125" s="233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/>
      <c r="AZ125" s="233"/>
      <c r="BA125" s="233"/>
      <c r="BB125" s="233"/>
      <c r="BC125" s="233"/>
      <c r="BD125" s="233"/>
      <c r="BE125" s="233"/>
      <c r="BF125" s="233"/>
      <c r="BG125" s="233"/>
      <c r="BH125" s="233"/>
      <c r="BI125" s="233"/>
      <c r="BJ125" s="233"/>
      <c r="BK125" s="233"/>
    </row>
    <row r="126" spans="1:63">
      <c r="A126" s="233"/>
      <c r="B126" s="272"/>
      <c r="C126" s="233"/>
      <c r="D126" s="272"/>
      <c r="E126" s="233"/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33"/>
      <c r="BA126" s="233"/>
      <c r="BB126" s="233"/>
      <c r="BC126" s="233"/>
      <c r="BD126" s="233"/>
      <c r="BE126" s="233"/>
      <c r="BF126" s="233"/>
      <c r="BG126" s="233"/>
      <c r="BH126" s="233"/>
      <c r="BI126" s="233"/>
      <c r="BJ126" s="233"/>
      <c r="BK126" s="233"/>
    </row>
    <row r="127" spans="1:63">
      <c r="A127" s="233"/>
      <c r="B127" s="272"/>
      <c r="C127" s="233"/>
      <c r="D127" s="272"/>
      <c r="E127" s="233"/>
      <c r="F127" s="233"/>
      <c r="G127" s="233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3"/>
      <c r="BH127" s="233"/>
      <c r="BI127" s="233"/>
      <c r="BJ127" s="233"/>
      <c r="BK127" s="233"/>
    </row>
    <row r="128" spans="1:63">
      <c r="A128" s="233"/>
      <c r="B128" s="272"/>
      <c r="C128" s="233"/>
      <c r="D128" s="272"/>
      <c r="E128" s="233"/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  <c r="AZ128" s="233"/>
      <c r="BA128" s="233"/>
      <c r="BB128" s="233"/>
      <c r="BC128" s="233"/>
      <c r="BD128" s="233"/>
      <c r="BE128" s="233"/>
      <c r="BF128" s="233"/>
      <c r="BG128" s="233"/>
      <c r="BH128" s="233"/>
      <c r="BI128" s="233"/>
      <c r="BJ128" s="233"/>
      <c r="BK128" s="233"/>
    </row>
    <row r="129" spans="1:63">
      <c r="A129" s="233"/>
      <c r="B129" s="272"/>
      <c r="C129" s="233"/>
      <c r="D129" s="272"/>
      <c r="E129" s="233"/>
      <c r="F129" s="233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233"/>
      <c r="AW129" s="233"/>
      <c r="AX129" s="233"/>
      <c r="AY129" s="233"/>
      <c r="AZ129" s="233"/>
      <c r="BA129" s="233"/>
      <c r="BB129" s="233"/>
      <c r="BC129" s="233"/>
      <c r="BD129" s="233"/>
      <c r="BE129" s="233"/>
      <c r="BF129" s="233"/>
      <c r="BG129" s="233"/>
      <c r="BH129" s="233"/>
      <c r="BI129" s="233"/>
      <c r="BJ129" s="233"/>
      <c r="BK129" s="233"/>
    </row>
    <row r="130" spans="1:63">
      <c r="A130" s="233"/>
      <c r="B130" s="272"/>
      <c r="C130" s="233"/>
      <c r="D130" s="272"/>
      <c r="E130" s="233"/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3"/>
      <c r="BH130" s="233"/>
      <c r="BI130" s="233"/>
      <c r="BJ130" s="233"/>
      <c r="BK130" s="233"/>
    </row>
    <row r="131" spans="1:63">
      <c r="A131" s="233"/>
      <c r="B131" s="272"/>
      <c r="C131" s="233"/>
      <c r="D131" s="272"/>
      <c r="E131" s="233"/>
      <c r="F131" s="233"/>
      <c r="G131" s="233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  <c r="AY131" s="233"/>
      <c r="AZ131" s="233"/>
      <c r="BA131" s="233"/>
      <c r="BB131" s="233"/>
      <c r="BC131" s="233"/>
      <c r="BD131" s="233"/>
      <c r="BE131" s="233"/>
      <c r="BF131" s="233"/>
      <c r="BG131" s="233"/>
      <c r="BH131" s="233"/>
      <c r="BI131" s="233"/>
      <c r="BJ131" s="233"/>
      <c r="BK131" s="233"/>
    </row>
    <row r="132" spans="1:63">
      <c r="A132" s="233"/>
      <c r="B132" s="272"/>
      <c r="C132" s="233"/>
      <c r="D132" s="272"/>
      <c r="E132" s="233"/>
      <c r="F132" s="233"/>
      <c r="G132" s="233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33"/>
      <c r="AU132" s="233"/>
      <c r="AV132" s="233"/>
      <c r="AW132" s="233"/>
      <c r="AX132" s="233"/>
      <c r="AY132" s="233"/>
      <c r="AZ132" s="233"/>
      <c r="BA132" s="233"/>
      <c r="BB132" s="233"/>
      <c r="BC132" s="233"/>
      <c r="BD132" s="233"/>
      <c r="BE132" s="233"/>
      <c r="BF132" s="233"/>
      <c r="BG132" s="233"/>
      <c r="BH132" s="233"/>
      <c r="BI132" s="233"/>
      <c r="BJ132" s="233"/>
      <c r="BK132" s="233"/>
    </row>
    <row r="133" spans="1:63">
      <c r="A133" s="233"/>
      <c r="B133" s="272"/>
      <c r="C133" s="233"/>
      <c r="D133" s="272"/>
      <c r="E133" s="233"/>
      <c r="F133" s="233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/>
      <c r="AZ133" s="233"/>
      <c r="BA133" s="233"/>
      <c r="BB133" s="233"/>
      <c r="BC133" s="233"/>
      <c r="BD133" s="233"/>
      <c r="BE133" s="233"/>
      <c r="BF133" s="233"/>
      <c r="BG133" s="233"/>
      <c r="BH133" s="233"/>
      <c r="BI133" s="233"/>
      <c r="BJ133" s="233"/>
      <c r="BK133" s="233"/>
    </row>
    <row r="134" spans="1:63">
      <c r="A134" s="233"/>
      <c r="B134" s="272"/>
      <c r="C134" s="233"/>
      <c r="D134" s="272"/>
      <c r="E134" s="233"/>
      <c r="F134" s="233"/>
      <c r="G134" s="233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  <c r="AI134" s="233"/>
      <c r="AJ134" s="233"/>
      <c r="AK134" s="233"/>
      <c r="AL134" s="233"/>
      <c r="AM134" s="233"/>
      <c r="AN134" s="233"/>
      <c r="AO134" s="233"/>
      <c r="AP134" s="233"/>
      <c r="AQ134" s="233"/>
      <c r="AR134" s="233"/>
      <c r="AS134" s="233"/>
      <c r="AT134" s="233"/>
      <c r="AU134" s="233"/>
      <c r="AV134" s="233"/>
      <c r="AW134" s="233"/>
      <c r="AX134" s="233"/>
      <c r="AY134" s="233"/>
      <c r="AZ134" s="233"/>
      <c r="BA134" s="233"/>
      <c r="BB134" s="233"/>
      <c r="BC134" s="233"/>
      <c r="BD134" s="233"/>
      <c r="BE134" s="233"/>
      <c r="BF134" s="233"/>
      <c r="BG134" s="233"/>
      <c r="BH134" s="233"/>
      <c r="BI134" s="233"/>
      <c r="BJ134" s="233"/>
      <c r="BK134" s="233"/>
    </row>
    <row r="135" spans="1:63">
      <c r="A135" s="233"/>
      <c r="B135" s="272"/>
      <c r="C135" s="233"/>
      <c r="D135" s="272"/>
      <c r="E135" s="233"/>
      <c r="F135" s="233"/>
      <c r="G135" s="233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233"/>
      <c r="AU135" s="233"/>
      <c r="AV135" s="233"/>
      <c r="AW135" s="233"/>
      <c r="AX135" s="233"/>
      <c r="AY135" s="233"/>
      <c r="AZ135" s="233"/>
      <c r="BA135" s="233"/>
      <c r="BB135" s="233"/>
      <c r="BC135" s="233"/>
      <c r="BD135" s="233"/>
      <c r="BE135" s="233"/>
      <c r="BF135" s="233"/>
      <c r="BG135" s="233"/>
      <c r="BH135" s="233"/>
      <c r="BI135" s="233"/>
      <c r="BJ135" s="233"/>
      <c r="BK135" s="233"/>
    </row>
    <row r="136" spans="1:63">
      <c r="A136" s="233"/>
      <c r="B136" s="272"/>
      <c r="C136" s="233"/>
      <c r="D136" s="272"/>
      <c r="E136" s="233"/>
      <c r="F136" s="233"/>
      <c r="G136" s="233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33"/>
      <c r="AU136" s="233"/>
      <c r="AV136" s="233"/>
      <c r="AW136" s="233"/>
      <c r="AX136" s="233"/>
      <c r="AY136" s="233"/>
      <c r="AZ136" s="233"/>
      <c r="BA136" s="233"/>
      <c r="BB136" s="233"/>
      <c r="BC136" s="233"/>
      <c r="BD136" s="233"/>
      <c r="BE136" s="233"/>
      <c r="BF136" s="233"/>
      <c r="BG136" s="233"/>
      <c r="BH136" s="233"/>
      <c r="BI136" s="233"/>
      <c r="BJ136" s="233"/>
      <c r="BK136" s="233"/>
    </row>
    <row r="137" spans="1:63">
      <c r="A137" s="233"/>
      <c r="B137" s="272"/>
      <c r="C137" s="233"/>
      <c r="D137" s="272"/>
      <c r="E137" s="233"/>
      <c r="F137" s="233"/>
      <c r="G137" s="233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233"/>
      <c r="AK137" s="233"/>
      <c r="AL137" s="233"/>
      <c r="AM137" s="233"/>
      <c r="AN137" s="233"/>
      <c r="AO137" s="233"/>
      <c r="AP137" s="233"/>
      <c r="AQ137" s="233"/>
      <c r="AR137" s="233"/>
      <c r="AS137" s="233"/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3"/>
      <c r="BH137" s="233"/>
      <c r="BI137" s="233"/>
      <c r="BJ137" s="233"/>
      <c r="BK137" s="233"/>
    </row>
    <row r="138" spans="1:63">
      <c r="A138" s="233"/>
      <c r="B138" s="272"/>
      <c r="C138" s="233"/>
      <c r="D138" s="272"/>
      <c r="E138" s="233"/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33"/>
      <c r="AW138" s="233"/>
      <c r="AX138" s="233"/>
      <c r="AY138" s="233"/>
      <c r="AZ138" s="233"/>
      <c r="BA138" s="233"/>
      <c r="BB138" s="233"/>
      <c r="BC138" s="233"/>
      <c r="BD138" s="233"/>
      <c r="BE138" s="233"/>
      <c r="BF138" s="233"/>
      <c r="BG138" s="233"/>
      <c r="BH138" s="233"/>
      <c r="BI138" s="233"/>
      <c r="BJ138" s="233"/>
      <c r="BK138" s="233"/>
    </row>
    <row r="139" spans="1:63">
      <c r="A139" s="233"/>
      <c r="B139" s="272"/>
      <c r="C139" s="233"/>
      <c r="D139" s="272"/>
      <c r="E139" s="233"/>
      <c r="F139" s="233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233"/>
      <c r="AK139" s="233"/>
      <c r="AL139" s="233"/>
      <c r="AM139" s="233"/>
      <c r="AN139" s="233"/>
      <c r="AO139" s="233"/>
      <c r="AP139" s="233"/>
      <c r="AQ139" s="233"/>
      <c r="AR139" s="233"/>
      <c r="AS139" s="233"/>
      <c r="AT139" s="233"/>
      <c r="AU139" s="233"/>
      <c r="AV139" s="233"/>
      <c r="AW139" s="233"/>
      <c r="AX139" s="233"/>
      <c r="AY139" s="233"/>
      <c r="AZ139" s="233"/>
      <c r="BA139" s="233"/>
      <c r="BB139" s="233"/>
      <c r="BC139" s="233"/>
      <c r="BD139" s="233"/>
      <c r="BE139" s="233"/>
      <c r="BF139" s="233"/>
      <c r="BG139" s="233"/>
      <c r="BH139" s="233"/>
      <c r="BI139" s="233"/>
      <c r="BJ139" s="233"/>
      <c r="BK139" s="233"/>
    </row>
    <row r="140" spans="1:63">
      <c r="A140" s="233"/>
      <c r="B140" s="272"/>
      <c r="C140" s="233"/>
      <c r="D140" s="272"/>
      <c r="E140" s="233"/>
      <c r="F140" s="233"/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33"/>
      <c r="AN140" s="233"/>
      <c r="AO140" s="233"/>
      <c r="AP140" s="233"/>
      <c r="AQ140" s="233"/>
      <c r="AR140" s="233"/>
      <c r="AS140" s="233"/>
      <c r="AT140" s="233"/>
      <c r="AU140" s="233"/>
      <c r="AV140" s="233"/>
      <c r="AW140" s="233"/>
      <c r="AX140" s="233"/>
      <c r="AY140" s="233"/>
      <c r="AZ140" s="233"/>
      <c r="BA140" s="233"/>
      <c r="BB140" s="233"/>
      <c r="BC140" s="233"/>
      <c r="BD140" s="233"/>
      <c r="BE140" s="233"/>
      <c r="BF140" s="233"/>
      <c r="BG140" s="233"/>
      <c r="BH140" s="233"/>
      <c r="BI140" s="233"/>
      <c r="BJ140" s="233"/>
      <c r="BK140" s="233"/>
    </row>
    <row r="141" spans="1:63">
      <c r="A141" s="233"/>
      <c r="B141" s="272"/>
      <c r="C141" s="233"/>
      <c r="D141" s="272"/>
      <c r="E141" s="233"/>
      <c r="F141" s="233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233"/>
      <c r="AK141" s="233"/>
      <c r="AL141" s="233"/>
      <c r="AM141" s="233"/>
      <c r="AN141" s="233"/>
      <c r="AO141" s="233"/>
      <c r="AP141" s="233"/>
      <c r="AQ141" s="233"/>
      <c r="AR141" s="233"/>
      <c r="AS141" s="233"/>
      <c r="AT141" s="233"/>
      <c r="AU141" s="233"/>
      <c r="AV141" s="233"/>
      <c r="AW141" s="233"/>
      <c r="AX141" s="233"/>
      <c r="AY141" s="233"/>
      <c r="AZ141" s="233"/>
      <c r="BA141" s="233"/>
      <c r="BB141" s="233"/>
      <c r="BC141" s="233"/>
      <c r="BD141" s="233"/>
      <c r="BE141" s="233"/>
      <c r="BF141" s="233"/>
      <c r="BG141" s="233"/>
      <c r="BH141" s="233"/>
      <c r="BI141" s="233"/>
      <c r="BJ141" s="233"/>
      <c r="BK141" s="233"/>
    </row>
    <row r="142" spans="1:63">
      <c r="A142" s="233"/>
      <c r="B142" s="272"/>
      <c r="C142" s="233"/>
      <c r="D142" s="272"/>
      <c r="E142" s="233"/>
      <c r="F142" s="233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33"/>
      <c r="AJ142" s="233"/>
      <c r="AK142" s="233"/>
      <c r="AL142" s="233"/>
      <c r="AM142" s="233"/>
      <c r="AN142" s="233"/>
      <c r="AO142" s="233"/>
      <c r="AP142" s="233"/>
      <c r="AQ142" s="233"/>
      <c r="AR142" s="233"/>
      <c r="AS142" s="233"/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3"/>
      <c r="BH142" s="233"/>
      <c r="BI142" s="233"/>
      <c r="BJ142" s="233"/>
      <c r="BK142" s="233"/>
    </row>
    <row r="143" spans="1:63">
      <c r="A143" s="233"/>
      <c r="B143" s="272"/>
      <c r="C143" s="233"/>
      <c r="D143" s="272"/>
      <c r="E143" s="233"/>
      <c r="F143" s="233"/>
      <c r="G143" s="233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  <c r="AA143" s="233"/>
      <c r="AB143" s="233"/>
      <c r="AC143" s="233"/>
      <c r="AD143" s="233"/>
      <c r="AE143" s="233"/>
      <c r="AF143" s="233"/>
      <c r="AG143" s="233"/>
      <c r="AH143" s="233"/>
      <c r="AI143" s="233"/>
      <c r="AJ143" s="233"/>
      <c r="AK143" s="233"/>
      <c r="AL143" s="233"/>
      <c r="AM143" s="233"/>
      <c r="AN143" s="233"/>
      <c r="AO143" s="233"/>
      <c r="AP143" s="233"/>
      <c r="AQ143" s="233"/>
      <c r="AR143" s="233"/>
      <c r="AS143" s="233"/>
      <c r="AT143" s="233"/>
      <c r="AU143" s="233"/>
      <c r="AV143" s="233"/>
      <c r="AW143" s="233"/>
      <c r="AX143" s="233"/>
      <c r="AY143" s="233"/>
      <c r="AZ143" s="233"/>
      <c r="BA143" s="233"/>
      <c r="BB143" s="233"/>
      <c r="BC143" s="233"/>
      <c r="BD143" s="233"/>
      <c r="BE143" s="233"/>
      <c r="BF143" s="233"/>
      <c r="BG143" s="233"/>
      <c r="BH143" s="233"/>
      <c r="BI143" s="233"/>
      <c r="BJ143" s="233"/>
      <c r="BK143" s="233"/>
    </row>
    <row r="144" spans="1:63">
      <c r="A144" s="233"/>
      <c r="B144" s="272"/>
      <c r="C144" s="233"/>
      <c r="D144" s="272"/>
      <c r="E144" s="233"/>
      <c r="F144" s="233"/>
      <c r="G144" s="233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  <c r="AA144" s="233"/>
      <c r="AB144" s="233"/>
      <c r="AC144" s="233"/>
      <c r="AD144" s="233"/>
      <c r="AE144" s="233"/>
      <c r="AF144" s="233"/>
      <c r="AG144" s="233"/>
      <c r="AH144" s="233"/>
      <c r="AI144" s="233"/>
      <c r="AJ144" s="233"/>
      <c r="AK144" s="233"/>
      <c r="AL144" s="233"/>
      <c r="AM144" s="233"/>
      <c r="AN144" s="233"/>
      <c r="AO144" s="233"/>
      <c r="AP144" s="233"/>
      <c r="AQ144" s="233"/>
      <c r="AR144" s="233"/>
      <c r="AS144" s="233"/>
      <c r="AT144" s="233"/>
      <c r="AU144" s="233"/>
      <c r="AV144" s="233"/>
      <c r="AW144" s="233"/>
      <c r="AX144" s="233"/>
      <c r="AY144" s="233"/>
      <c r="AZ144" s="233"/>
      <c r="BA144" s="233"/>
      <c r="BB144" s="233"/>
      <c r="BC144" s="233"/>
      <c r="BD144" s="233"/>
      <c r="BE144" s="233"/>
      <c r="BF144" s="233"/>
      <c r="BG144" s="233"/>
      <c r="BH144" s="233"/>
      <c r="BI144" s="233"/>
      <c r="BJ144" s="233"/>
      <c r="BK144" s="233"/>
    </row>
    <row r="145" spans="1:63">
      <c r="A145" s="233"/>
      <c r="B145" s="272"/>
      <c r="C145" s="233"/>
      <c r="D145" s="272"/>
      <c r="E145" s="233"/>
      <c r="F145" s="233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  <c r="AA145" s="233"/>
      <c r="AB145" s="233"/>
      <c r="AC145" s="233"/>
      <c r="AD145" s="233"/>
      <c r="AE145" s="233"/>
      <c r="AF145" s="233"/>
      <c r="AG145" s="233"/>
      <c r="AH145" s="233"/>
      <c r="AI145" s="233"/>
      <c r="AJ145" s="233"/>
      <c r="AK145" s="233"/>
      <c r="AL145" s="233"/>
      <c r="AM145" s="233"/>
      <c r="AN145" s="233"/>
      <c r="AO145" s="233"/>
      <c r="AP145" s="233"/>
      <c r="AQ145" s="233"/>
      <c r="AR145" s="233"/>
      <c r="AS145" s="233"/>
      <c r="AT145" s="233"/>
      <c r="AU145" s="233"/>
      <c r="AV145" s="233"/>
      <c r="AW145" s="233"/>
      <c r="AX145" s="233"/>
      <c r="AY145" s="233"/>
      <c r="AZ145" s="233"/>
      <c r="BA145" s="233"/>
      <c r="BB145" s="233"/>
      <c r="BC145" s="233"/>
      <c r="BD145" s="233"/>
      <c r="BE145" s="233"/>
      <c r="BF145" s="233"/>
      <c r="BG145" s="233"/>
      <c r="BH145" s="233"/>
      <c r="BI145" s="233"/>
      <c r="BJ145" s="233"/>
      <c r="BK145" s="233"/>
    </row>
    <row r="146" spans="1:63">
      <c r="A146" s="233"/>
      <c r="B146" s="272"/>
      <c r="C146" s="233"/>
      <c r="D146" s="272"/>
      <c r="E146" s="233"/>
      <c r="F146" s="233"/>
      <c r="G146" s="233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  <c r="AA146" s="233"/>
      <c r="AB146" s="233"/>
      <c r="AC146" s="233"/>
      <c r="AD146" s="233"/>
      <c r="AE146" s="233"/>
      <c r="AF146" s="233"/>
      <c r="AG146" s="233"/>
      <c r="AH146" s="233"/>
      <c r="AI146" s="233"/>
      <c r="AJ146" s="233"/>
      <c r="AK146" s="233"/>
      <c r="AL146" s="233"/>
      <c r="AM146" s="233"/>
      <c r="AN146" s="233"/>
      <c r="AO146" s="233"/>
      <c r="AP146" s="233"/>
      <c r="AQ146" s="233"/>
      <c r="AR146" s="233"/>
      <c r="AS146" s="233"/>
      <c r="AT146" s="233"/>
      <c r="AU146" s="233"/>
      <c r="AV146" s="233"/>
      <c r="AW146" s="233"/>
      <c r="AX146" s="233"/>
      <c r="AY146" s="233"/>
      <c r="AZ146" s="233"/>
      <c r="BA146" s="233"/>
      <c r="BB146" s="233"/>
      <c r="BC146" s="233"/>
      <c r="BD146" s="233"/>
      <c r="BE146" s="233"/>
      <c r="BF146" s="233"/>
      <c r="BG146" s="233"/>
      <c r="BH146" s="233"/>
      <c r="BI146" s="233"/>
      <c r="BJ146" s="233"/>
      <c r="BK146" s="233"/>
    </row>
    <row r="147" spans="1:63">
      <c r="A147" s="233"/>
      <c r="B147" s="272"/>
      <c r="C147" s="233"/>
      <c r="D147" s="272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  <c r="AA147" s="233"/>
      <c r="AB147" s="233"/>
      <c r="AC147" s="233"/>
      <c r="AD147" s="233"/>
      <c r="AE147" s="233"/>
      <c r="AF147" s="233"/>
      <c r="AG147" s="233"/>
      <c r="AH147" s="233"/>
      <c r="AI147" s="233"/>
      <c r="AJ147" s="233"/>
      <c r="AK147" s="233"/>
      <c r="AL147" s="233"/>
      <c r="AM147" s="233"/>
      <c r="AN147" s="233"/>
      <c r="AO147" s="233"/>
      <c r="AP147" s="233"/>
      <c r="AQ147" s="233"/>
      <c r="AR147" s="233"/>
      <c r="AS147" s="233"/>
      <c r="AT147" s="233"/>
      <c r="AU147" s="233"/>
      <c r="AV147" s="233"/>
      <c r="AW147" s="233"/>
      <c r="AX147" s="233"/>
      <c r="AY147" s="233"/>
      <c r="AZ147" s="233"/>
      <c r="BA147" s="233"/>
      <c r="BB147" s="233"/>
      <c r="BC147" s="233"/>
      <c r="BD147" s="233"/>
      <c r="BE147" s="233"/>
      <c r="BF147" s="233"/>
      <c r="BG147" s="233"/>
      <c r="BH147" s="233"/>
      <c r="BI147" s="233"/>
      <c r="BJ147" s="233"/>
      <c r="BK147" s="233"/>
    </row>
    <row r="148" spans="1:63">
      <c r="A148" s="233"/>
      <c r="B148" s="233"/>
      <c r="C148" s="233"/>
      <c r="D148" s="233"/>
      <c r="E148" s="233"/>
      <c r="F148" s="233"/>
      <c r="G148" s="233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  <c r="AA148" s="233"/>
      <c r="AB148" s="233"/>
      <c r="AC148" s="233"/>
      <c r="AD148" s="233"/>
      <c r="AE148" s="233"/>
      <c r="AF148" s="233"/>
      <c r="AG148" s="233"/>
      <c r="AH148" s="233"/>
      <c r="AI148" s="233"/>
      <c r="AJ148" s="233"/>
      <c r="AK148" s="233"/>
      <c r="AL148" s="233"/>
      <c r="AM148" s="233"/>
      <c r="AN148" s="233"/>
      <c r="AO148" s="233"/>
      <c r="AP148" s="233"/>
      <c r="AQ148" s="233"/>
      <c r="AR148" s="233"/>
      <c r="AS148" s="233"/>
      <c r="AT148" s="233"/>
      <c r="AU148" s="233"/>
      <c r="AV148" s="233"/>
      <c r="AW148" s="233"/>
      <c r="AX148" s="233"/>
      <c r="AY148" s="233"/>
      <c r="AZ148" s="233"/>
      <c r="BA148" s="233"/>
      <c r="BB148" s="233"/>
      <c r="BC148" s="233"/>
      <c r="BD148" s="233"/>
      <c r="BE148" s="233"/>
      <c r="BF148" s="233"/>
      <c r="BG148" s="233"/>
      <c r="BH148" s="233"/>
      <c r="BI148" s="233"/>
      <c r="BJ148" s="233"/>
      <c r="BK148" s="233"/>
    </row>
    <row r="149" spans="1:63">
      <c r="A149" s="233"/>
      <c r="B149" s="233"/>
      <c r="C149" s="233"/>
      <c r="D149" s="233"/>
      <c r="E149" s="233"/>
      <c r="F149" s="233"/>
      <c r="G149" s="233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  <c r="AA149" s="233"/>
      <c r="AB149" s="233"/>
      <c r="AC149" s="233"/>
      <c r="AD149" s="233"/>
      <c r="AE149" s="233"/>
      <c r="AF149" s="233"/>
      <c r="AG149" s="233"/>
      <c r="AH149" s="233"/>
      <c r="AI149" s="233"/>
      <c r="AJ149" s="233"/>
      <c r="AK149" s="233"/>
      <c r="AL149" s="233"/>
      <c r="AM149" s="233"/>
      <c r="AN149" s="233"/>
      <c r="AO149" s="233"/>
      <c r="AP149" s="233"/>
      <c r="AQ149" s="233"/>
      <c r="AR149" s="233"/>
      <c r="AS149" s="233"/>
      <c r="AT149" s="233"/>
      <c r="AU149" s="233"/>
      <c r="AV149" s="233"/>
      <c r="AW149" s="233"/>
      <c r="AX149" s="233"/>
      <c r="AY149" s="233"/>
      <c r="AZ149" s="233"/>
      <c r="BA149" s="233"/>
      <c r="BB149" s="233"/>
      <c r="BC149" s="233"/>
      <c r="BD149" s="233"/>
      <c r="BE149" s="233"/>
      <c r="BF149" s="233"/>
      <c r="BG149" s="233"/>
      <c r="BH149" s="233"/>
      <c r="BI149" s="233"/>
      <c r="BJ149" s="233"/>
      <c r="BK149" s="23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4B084"/>
  </sheetPr>
  <dimension ref="A1:BK149"/>
  <sheetViews>
    <sheetView zoomScale="98" workbookViewId="0">
      <pane xSplit="4" ySplit="3" topLeftCell="F4" activePane="bottomRight" state="frozen"/>
      <selection pane="topRight"/>
      <selection pane="bottomLeft"/>
      <selection pane="bottomRight" activeCell="A3" sqref="A3:XFD3"/>
    </sheetView>
  </sheetViews>
  <sheetFormatPr defaultRowHeight="14.5"/>
  <cols>
    <col min="1" max="1" width="36.7265625" bestFit="1" customWidth="1"/>
    <col min="2" max="2" width="4.453125" style="54" customWidth="1"/>
    <col min="3" max="3" width="19.90625" style="49" customWidth="1"/>
    <col min="4" max="4" width="7.6328125" style="54" customWidth="1"/>
    <col min="5" max="5" width="11.7265625" customWidth="1"/>
    <col min="6" max="8" width="10.7265625" style="59" customWidth="1"/>
    <col min="9" max="10" width="11.7265625" customWidth="1"/>
    <col min="11" max="11" width="10.7265625" style="218" customWidth="1"/>
    <col min="12" max="24" width="11.7265625" customWidth="1"/>
    <col min="28" max="28" width="19.6328125" bestFit="1" customWidth="1"/>
    <col min="29" max="29" width="13.90625" bestFit="1" customWidth="1"/>
    <col min="30" max="30" width="10.81640625" bestFit="1" customWidth="1"/>
    <col min="31" max="31" width="18.26953125" bestFit="1" customWidth="1"/>
  </cols>
  <sheetData>
    <row r="1" spans="1:63">
      <c r="A1" s="233"/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</row>
    <row r="2" spans="1:63" s="229" customFormat="1">
      <c r="A2" s="236" t="s">
        <v>0</v>
      </c>
      <c r="B2" s="237"/>
      <c r="C2" s="237"/>
      <c r="D2" s="237"/>
      <c r="E2" s="238">
        <v>45657</v>
      </c>
      <c r="F2" s="238">
        <v>45747</v>
      </c>
      <c r="G2" s="238">
        <v>45838</v>
      </c>
      <c r="H2" s="238">
        <v>45930</v>
      </c>
      <c r="I2" s="238">
        <v>46022</v>
      </c>
      <c r="J2" s="238">
        <v>46112</v>
      </c>
      <c r="K2" s="238">
        <v>46203</v>
      </c>
      <c r="L2" s="238">
        <v>45747</v>
      </c>
      <c r="M2" s="238">
        <v>45838</v>
      </c>
      <c r="N2" s="238">
        <v>45930</v>
      </c>
      <c r="O2" s="238">
        <v>46022</v>
      </c>
      <c r="P2" s="238">
        <v>46112</v>
      </c>
      <c r="Q2" s="238">
        <v>46203</v>
      </c>
      <c r="R2" s="238">
        <v>46295</v>
      </c>
      <c r="S2" s="238">
        <v>46387</v>
      </c>
      <c r="T2" s="238">
        <v>46752</v>
      </c>
      <c r="U2" s="238">
        <v>47118</v>
      </c>
      <c r="V2" s="238">
        <v>47483</v>
      </c>
      <c r="W2" s="238">
        <v>47848</v>
      </c>
      <c r="X2" s="238"/>
      <c r="Y2" s="238"/>
      <c r="Z2" s="238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39"/>
      <c r="AN2" s="239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I2" s="239"/>
      <c r="BJ2" s="239"/>
      <c r="BK2" s="239"/>
    </row>
    <row r="3" spans="1:63" s="232" customFormat="1">
      <c r="A3" s="68"/>
      <c r="B3" s="230"/>
      <c r="C3" s="230"/>
      <c r="D3" s="230"/>
      <c r="E3" s="231" t="s">
        <v>56</v>
      </c>
      <c r="F3" s="68"/>
      <c r="G3" s="68"/>
      <c r="H3" s="68"/>
      <c r="I3" s="68"/>
      <c r="J3" s="68"/>
      <c r="K3" s="231"/>
      <c r="L3" s="231" t="s">
        <v>42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</row>
    <row r="4" spans="1:63" ht="18.5" customHeight="1">
      <c r="A4" s="233"/>
      <c r="B4" s="240" t="s">
        <v>42</v>
      </c>
      <c r="C4" s="241" t="s">
        <v>43</v>
      </c>
      <c r="D4" s="240" t="s">
        <v>3</v>
      </c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</row>
    <row r="5" spans="1:63">
      <c r="A5" s="273" t="s">
        <v>336</v>
      </c>
      <c r="B5" s="246"/>
      <c r="C5" s="247"/>
      <c r="D5" s="246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74"/>
      <c r="Z5" s="274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</row>
    <row r="6" spans="1:63">
      <c r="A6" s="248" t="s">
        <v>337</v>
      </c>
      <c r="B6" s="249" t="s">
        <v>25</v>
      </c>
      <c r="C6" s="250" t="s">
        <v>322</v>
      </c>
      <c r="D6" s="251" t="s">
        <v>338</v>
      </c>
      <c r="E6" s="233"/>
      <c r="F6" s="233"/>
      <c r="G6" s="233"/>
      <c r="H6" s="233"/>
      <c r="I6" s="262">
        <v>125000</v>
      </c>
      <c r="J6" s="275">
        <v>125000</v>
      </c>
      <c r="K6" s="233"/>
      <c r="L6" s="256">
        <v>125000</v>
      </c>
      <c r="M6" s="256">
        <v>125000</v>
      </c>
      <c r="N6" s="256">
        <v>125000</v>
      </c>
      <c r="O6" s="256">
        <v>125000</v>
      </c>
      <c r="P6" s="276">
        <v>125000</v>
      </c>
      <c r="Q6" s="256">
        <v>125000</v>
      </c>
      <c r="R6" s="256">
        <v>125000</v>
      </c>
      <c r="S6" s="256">
        <v>125000</v>
      </c>
      <c r="T6" s="256">
        <v>500000</v>
      </c>
      <c r="U6" s="256">
        <v>500000</v>
      </c>
      <c r="V6" s="256">
        <v>500000</v>
      </c>
      <c r="W6" s="256">
        <v>500000</v>
      </c>
      <c r="X6" s="257"/>
      <c r="Y6" s="274"/>
      <c r="Z6" s="274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233"/>
      <c r="BG6" s="233"/>
      <c r="BH6" s="233"/>
      <c r="BI6" s="233"/>
      <c r="BJ6" s="233"/>
      <c r="BK6" s="233"/>
    </row>
    <row r="7" spans="1:63">
      <c r="A7" s="248" t="s">
        <v>339</v>
      </c>
      <c r="B7" s="249" t="s">
        <v>25</v>
      </c>
      <c r="C7" s="250" t="s">
        <v>322</v>
      </c>
      <c r="D7" s="251" t="s">
        <v>340</v>
      </c>
      <c r="E7" s="233"/>
      <c r="F7" s="233"/>
      <c r="G7" s="233"/>
      <c r="H7" s="233"/>
      <c r="I7" s="262">
        <v>68750</v>
      </c>
      <c r="J7" s="275">
        <v>72500</v>
      </c>
      <c r="K7" s="233"/>
      <c r="L7" s="256">
        <v>68750</v>
      </c>
      <c r="M7" s="256">
        <v>68750</v>
      </c>
      <c r="N7" s="256">
        <v>68750</v>
      </c>
      <c r="O7" s="256">
        <v>68750</v>
      </c>
      <c r="P7" s="276">
        <v>72500</v>
      </c>
      <c r="Q7" s="256">
        <v>72500</v>
      </c>
      <c r="R7" s="256">
        <v>72500</v>
      </c>
      <c r="S7" s="256">
        <v>72500</v>
      </c>
      <c r="T7" s="256">
        <v>290000</v>
      </c>
      <c r="U7" s="256">
        <v>290000</v>
      </c>
      <c r="V7" s="256">
        <v>290000</v>
      </c>
      <c r="W7" s="256">
        <v>290000</v>
      </c>
      <c r="X7" s="257"/>
      <c r="Y7" s="274"/>
      <c r="Z7" s="274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33"/>
      <c r="BG7" s="233"/>
      <c r="BH7" s="233"/>
      <c r="BI7" s="233"/>
      <c r="BJ7" s="233"/>
      <c r="BK7" s="233"/>
    </row>
    <row r="8" spans="1:63">
      <c r="A8" s="248" t="s">
        <v>341</v>
      </c>
      <c r="B8" s="249" t="s">
        <v>25</v>
      </c>
      <c r="C8" s="250" t="s">
        <v>322</v>
      </c>
      <c r="D8" s="251" t="s">
        <v>342</v>
      </c>
      <c r="E8" s="233"/>
      <c r="F8" s="233"/>
      <c r="G8" s="233"/>
      <c r="H8" s="233"/>
      <c r="I8" s="262">
        <v>0</v>
      </c>
      <c r="J8" s="275">
        <v>75000</v>
      </c>
      <c r="K8" s="233"/>
      <c r="L8" s="256">
        <v>0</v>
      </c>
      <c r="M8" s="256">
        <v>0</v>
      </c>
      <c r="N8" s="256">
        <v>0</v>
      </c>
      <c r="O8" s="256">
        <v>0</v>
      </c>
      <c r="P8" s="276">
        <v>75000</v>
      </c>
      <c r="Q8" s="256">
        <v>75000</v>
      </c>
      <c r="R8" s="256">
        <v>75000</v>
      </c>
      <c r="S8" s="256">
        <v>75000</v>
      </c>
      <c r="T8" s="256">
        <v>300000</v>
      </c>
      <c r="U8" s="256">
        <v>300000</v>
      </c>
      <c r="V8" s="256">
        <v>300000</v>
      </c>
      <c r="W8" s="256">
        <v>300000</v>
      </c>
      <c r="X8" s="257"/>
      <c r="Y8" s="274"/>
      <c r="Z8" s="274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233"/>
    </row>
    <row r="9" spans="1:63">
      <c r="A9" s="248" t="s">
        <v>343</v>
      </c>
      <c r="B9" s="259" t="s">
        <v>25</v>
      </c>
      <c r="C9" s="259" t="s">
        <v>322</v>
      </c>
      <c r="D9" s="259" t="s">
        <v>344</v>
      </c>
      <c r="E9" s="233"/>
      <c r="F9" s="233"/>
      <c r="G9" s="233"/>
      <c r="H9" s="233"/>
      <c r="I9" s="262">
        <v>37500</v>
      </c>
      <c r="J9" s="275">
        <v>40000</v>
      </c>
      <c r="K9" s="233"/>
      <c r="L9" s="256">
        <v>37500</v>
      </c>
      <c r="M9" s="256">
        <v>37500</v>
      </c>
      <c r="N9" s="256">
        <v>37500</v>
      </c>
      <c r="O9" s="256">
        <v>37500</v>
      </c>
      <c r="P9" s="276">
        <v>40000</v>
      </c>
      <c r="Q9" s="256">
        <v>40000</v>
      </c>
      <c r="R9" s="256">
        <v>40000</v>
      </c>
      <c r="S9" s="256">
        <v>40000</v>
      </c>
      <c r="T9" s="256">
        <v>160000</v>
      </c>
      <c r="U9" s="256">
        <v>160000</v>
      </c>
      <c r="V9" s="256">
        <v>160000</v>
      </c>
      <c r="W9" s="256">
        <v>160000</v>
      </c>
      <c r="X9" s="257"/>
      <c r="Y9" s="274"/>
      <c r="Z9" s="274"/>
      <c r="AA9" s="233"/>
      <c r="AB9" s="233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33"/>
      <c r="AU9" s="233"/>
      <c r="AV9" s="233"/>
      <c r="AW9" s="233"/>
      <c r="AX9" s="233"/>
      <c r="AY9" s="233"/>
      <c r="AZ9" s="233"/>
      <c r="BA9" s="233"/>
      <c r="BB9" s="233"/>
      <c r="BC9" s="233"/>
      <c r="BD9" s="233"/>
      <c r="BE9" s="233"/>
      <c r="BF9" s="233"/>
      <c r="BG9" s="233"/>
      <c r="BH9" s="233"/>
      <c r="BI9" s="233"/>
      <c r="BJ9" s="233"/>
      <c r="BK9" s="233"/>
    </row>
    <row r="10" spans="1:63">
      <c r="A10" s="248" t="s">
        <v>345</v>
      </c>
      <c r="B10" s="259" t="s">
        <v>25</v>
      </c>
      <c r="C10" s="259" t="s">
        <v>322</v>
      </c>
      <c r="D10" s="259" t="s">
        <v>346</v>
      </c>
      <c r="E10" s="233"/>
      <c r="F10" s="257"/>
      <c r="G10" s="257"/>
      <c r="H10" s="257"/>
      <c r="I10" s="262">
        <v>27500</v>
      </c>
      <c r="J10" s="275">
        <v>27500</v>
      </c>
      <c r="K10" s="257"/>
      <c r="L10" s="256">
        <v>27500</v>
      </c>
      <c r="M10" s="256">
        <v>27500</v>
      </c>
      <c r="N10" s="256">
        <v>27500</v>
      </c>
      <c r="O10" s="256">
        <v>27500</v>
      </c>
      <c r="P10" s="276">
        <v>27500</v>
      </c>
      <c r="Q10" s="256">
        <v>27500</v>
      </c>
      <c r="R10" s="256">
        <v>27500</v>
      </c>
      <c r="S10" s="256">
        <v>27500</v>
      </c>
      <c r="T10" s="256">
        <v>110000</v>
      </c>
      <c r="U10" s="256">
        <v>110000</v>
      </c>
      <c r="V10" s="256">
        <v>110000</v>
      </c>
      <c r="W10" s="256">
        <v>110000</v>
      </c>
      <c r="X10" s="257"/>
      <c r="Y10" s="274"/>
      <c r="Z10" s="274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</row>
    <row r="11" spans="1:63" s="11" customFormat="1">
      <c r="A11" s="259" t="s">
        <v>347</v>
      </c>
      <c r="B11" s="277" t="s">
        <v>25</v>
      </c>
      <c r="C11" s="278" t="s">
        <v>322</v>
      </c>
      <c r="D11" s="277" t="s">
        <v>348</v>
      </c>
      <c r="E11" s="263"/>
      <c r="F11" s="233"/>
      <c r="G11" s="233"/>
      <c r="H11" s="233"/>
      <c r="I11" s="262">
        <v>0</v>
      </c>
      <c r="J11" s="262">
        <v>0</v>
      </c>
      <c r="K11" s="233"/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37500</v>
      </c>
      <c r="S11" s="256">
        <v>37500</v>
      </c>
      <c r="T11" s="256">
        <v>150000</v>
      </c>
      <c r="U11" s="256">
        <v>150000</v>
      </c>
      <c r="V11" s="256">
        <v>150000</v>
      </c>
      <c r="W11" s="256">
        <v>150000</v>
      </c>
      <c r="X11" s="257"/>
      <c r="Y11" s="274"/>
      <c r="Z11" s="274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</row>
    <row r="12" spans="1:63" ht="14.65" customHeight="1">
      <c r="A12" s="279" t="s">
        <v>78</v>
      </c>
      <c r="B12" s="233"/>
      <c r="C12" s="233"/>
      <c r="D12" s="233"/>
      <c r="E12" s="263"/>
      <c r="F12" s="261"/>
      <c r="G12" s="261"/>
      <c r="H12" s="261"/>
      <c r="I12" s="253">
        <v>258750</v>
      </c>
      <c r="J12" s="253">
        <v>340000</v>
      </c>
      <c r="K12" s="261"/>
      <c r="L12" s="257">
        <f t="shared" ref="L12:W12" si="0">SUM(L6:L11)</f>
        <v>258750</v>
      </c>
      <c r="M12" s="257">
        <f t="shared" si="0"/>
        <v>258750</v>
      </c>
      <c r="N12" s="257">
        <f t="shared" si="0"/>
        <v>258750</v>
      </c>
      <c r="O12" s="257">
        <f t="shared" si="0"/>
        <v>258750</v>
      </c>
      <c r="P12" s="257">
        <f t="shared" si="0"/>
        <v>340000</v>
      </c>
      <c r="Q12" s="257">
        <f t="shared" si="0"/>
        <v>340000</v>
      </c>
      <c r="R12" s="257">
        <f t="shared" si="0"/>
        <v>377500</v>
      </c>
      <c r="S12" s="257">
        <f t="shared" si="0"/>
        <v>377500</v>
      </c>
      <c r="T12" s="257">
        <f t="shared" si="0"/>
        <v>1510000</v>
      </c>
      <c r="U12" s="257">
        <f t="shared" si="0"/>
        <v>1510000</v>
      </c>
      <c r="V12" s="257">
        <f t="shared" si="0"/>
        <v>1510000</v>
      </c>
      <c r="W12" s="257">
        <f t="shared" si="0"/>
        <v>1510000</v>
      </c>
      <c r="X12" s="257"/>
      <c r="Y12" s="274"/>
      <c r="Z12" s="274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</row>
    <row r="13" spans="1:63">
      <c r="A13" s="280"/>
      <c r="B13" s="233"/>
      <c r="C13" s="233"/>
      <c r="D13" s="233"/>
      <c r="E13" s="257"/>
      <c r="F13" s="261"/>
      <c r="G13" s="261"/>
      <c r="H13" s="261"/>
      <c r="I13" s="257"/>
      <c r="J13" s="257"/>
      <c r="K13" s="261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74"/>
      <c r="Z13" s="274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</row>
    <row r="14" spans="1:63" ht="14.65" customHeight="1">
      <c r="A14" s="278" t="s">
        <v>333</v>
      </c>
      <c r="B14" s="233"/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74"/>
      <c r="Z14" s="274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</row>
    <row r="15" spans="1:63">
      <c r="A15" s="233" t="str">
        <f t="shared" ref="A15:A20" si="1">A6</f>
        <v>ACEO Loren Hotels (CE)</v>
      </c>
      <c r="B15" s="259" t="s">
        <v>25</v>
      </c>
      <c r="C15" s="259" t="s">
        <v>334</v>
      </c>
      <c r="D15" s="259" t="s">
        <v>338</v>
      </c>
      <c r="E15" s="235"/>
      <c r="F15" s="233"/>
      <c r="G15" s="233"/>
      <c r="H15" s="233"/>
      <c r="I15" s="262">
        <v>250000</v>
      </c>
      <c r="J15" s="262">
        <v>0</v>
      </c>
      <c r="K15" s="233"/>
      <c r="L15" s="256">
        <v>0</v>
      </c>
      <c r="M15" s="256">
        <v>0</v>
      </c>
      <c r="N15" s="256">
        <v>0</v>
      </c>
      <c r="O15" s="256">
        <v>250000</v>
      </c>
      <c r="P15" s="256">
        <v>0</v>
      </c>
      <c r="Q15" s="256">
        <v>0</v>
      </c>
      <c r="R15" s="256">
        <v>0</v>
      </c>
      <c r="S15" s="256">
        <v>250000</v>
      </c>
      <c r="T15" s="256">
        <v>500000</v>
      </c>
      <c r="U15" s="256">
        <v>500000</v>
      </c>
      <c r="V15" s="256">
        <v>500000</v>
      </c>
      <c r="W15" s="256">
        <v>500000</v>
      </c>
      <c r="X15" s="235"/>
      <c r="Y15" s="274"/>
      <c r="Z15" s="274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</row>
    <row r="16" spans="1:63">
      <c r="A16" s="233" t="str">
        <f t="shared" si="1"/>
        <v>VP Operations (WS)</v>
      </c>
      <c r="B16" s="259" t="s">
        <v>25</v>
      </c>
      <c r="C16" s="259" t="s">
        <v>334</v>
      </c>
      <c r="D16" s="259" t="s">
        <v>340</v>
      </c>
      <c r="E16" s="257"/>
      <c r="F16" s="233"/>
      <c r="G16" s="233"/>
      <c r="H16" s="233"/>
      <c r="I16" s="262">
        <v>115000</v>
      </c>
      <c r="J16" s="262">
        <v>0</v>
      </c>
      <c r="K16" s="233"/>
      <c r="L16" s="256">
        <v>0</v>
      </c>
      <c r="M16" s="256">
        <v>0</v>
      </c>
      <c r="N16" s="256">
        <v>0</v>
      </c>
      <c r="O16" s="256">
        <v>115000</v>
      </c>
      <c r="P16" s="256">
        <v>0</v>
      </c>
      <c r="Q16" s="256">
        <v>0</v>
      </c>
      <c r="R16" s="256">
        <v>0</v>
      </c>
      <c r="S16" s="256">
        <v>75000</v>
      </c>
      <c r="T16" s="256">
        <v>75000</v>
      </c>
      <c r="U16" s="256">
        <v>75000</v>
      </c>
      <c r="V16" s="256">
        <v>75000</v>
      </c>
      <c r="W16" s="256">
        <v>75000</v>
      </c>
      <c r="X16" s="257"/>
      <c r="Y16" s="274"/>
      <c r="Z16" s="274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3"/>
      <c r="AU16" s="233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33"/>
      <c r="BG16" s="233"/>
      <c r="BH16" s="233"/>
      <c r="BI16" s="233"/>
      <c r="BJ16" s="233"/>
      <c r="BK16" s="233"/>
    </row>
    <row r="17" spans="1:63">
      <c r="A17" s="233" t="str">
        <f t="shared" si="1"/>
        <v>seniorS&amp;Mexe (CL)</v>
      </c>
      <c r="B17" s="259" t="s">
        <v>25</v>
      </c>
      <c r="C17" s="259" t="s">
        <v>334</v>
      </c>
      <c r="D17" s="259" t="s">
        <v>342</v>
      </c>
      <c r="E17" s="257"/>
      <c r="F17" s="263"/>
      <c r="G17" s="263"/>
      <c r="H17" s="263"/>
      <c r="I17" s="262">
        <v>20000</v>
      </c>
      <c r="J17" s="262">
        <v>0</v>
      </c>
      <c r="K17" s="263"/>
      <c r="L17" s="256">
        <v>0</v>
      </c>
      <c r="M17" s="256">
        <v>0</v>
      </c>
      <c r="N17" s="256">
        <v>0</v>
      </c>
      <c r="O17" s="256">
        <v>20000</v>
      </c>
      <c r="P17" s="256">
        <v>0</v>
      </c>
      <c r="Q17" s="256">
        <v>0</v>
      </c>
      <c r="R17" s="256">
        <v>0</v>
      </c>
      <c r="S17" s="256">
        <v>75000</v>
      </c>
      <c r="T17" s="256">
        <v>75000</v>
      </c>
      <c r="U17" s="256">
        <v>75000</v>
      </c>
      <c r="V17" s="256">
        <v>75000</v>
      </c>
      <c r="W17" s="256">
        <v>75000</v>
      </c>
      <c r="X17" s="257"/>
      <c r="Y17" s="274"/>
      <c r="Z17" s="274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</row>
    <row r="18" spans="1:63">
      <c r="A18" s="233" t="str">
        <f t="shared" si="1"/>
        <v>Senior Associate (RF)</v>
      </c>
      <c r="B18" s="259" t="s">
        <v>25</v>
      </c>
      <c r="C18" s="259" t="s">
        <v>334</v>
      </c>
      <c r="D18" s="259" t="s">
        <v>344</v>
      </c>
      <c r="E18" s="257"/>
      <c r="F18" s="263"/>
      <c r="G18" s="263"/>
      <c r="H18" s="263"/>
      <c r="I18" s="262">
        <v>50000</v>
      </c>
      <c r="J18" s="262">
        <v>0</v>
      </c>
      <c r="K18" s="263"/>
      <c r="L18" s="256">
        <v>0</v>
      </c>
      <c r="M18" s="256">
        <v>0</v>
      </c>
      <c r="N18" s="256">
        <v>0</v>
      </c>
      <c r="O18" s="256">
        <v>50000</v>
      </c>
      <c r="P18" s="256">
        <v>0</v>
      </c>
      <c r="Q18" s="256">
        <v>0</v>
      </c>
      <c r="R18" s="256">
        <v>0</v>
      </c>
      <c r="S18" s="256">
        <v>50000</v>
      </c>
      <c r="T18" s="256">
        <v>50000</v>
      </c>
      <c r="U18" s="256">
        <v>50000</v>
      </c>
      <c r="V18" s="256">
        <v>50000</v>
      </c>
      <c r="W18" s="256">
        <v>50000</v>
      </c>
      <c r="X18" s="257"/>
      <c r="Y18" s="274"/>
      <c r="Z18" s="274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33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</row>
    <row r="19" spans="1:63">
      <c r="A19" s="233" t="str">
        <f t="shared" si="1"/>
        <v>associate (MT)</v>
      </c>
      <c r="B19" s="259" t="s">
        <v>25</v>
      </c>
      <c r="C19" s="259" t="s">
        <v>334</v>
      </c>
      <c r="D19" s="259" t="s">
        <v>346</v>
      </c>
      <c r="E19" s="257"/>
      <c r="F19" s="257"/>
      <c r="G19" s="257"/>
      <c r="H19" s="257"/>
      <c r="I19" s="262">
        <v>20000</v>
      </c>
      <c r="J19" s="262">
        <v>0</v>
      </c>
      <c r="K19" s="257"/>
      <c r="L19" s="256">
        <v>0</v>
      </c>
      <c r="M19" s="256">
        <v>0</v>
      </c>
      <c r="N19" s="256">
        <v>0</v>
      </c>
      <c r="O19" s="256">
        <v>20000</v>
      </c>
      <c r="P19" s="256">
        <v>0</v>
      </c>
      <c r="Q19" s="256">
        <v>0</v>
      </c>
      <c r="R19" s="256">
        <v>0</v>
      </c>
      <c r="S19" s="256">
        <v>40000</v>
      </c>
      <c r="T19" s="256">
        <v>40000</v>
      </c>
      <c r="U19" s="256">
        <v>40000</v>
      </c>
      <c r="V19" s="256">
        <v>40000</v>
      </c>
      <c r="W19" s="256">
        <v>40000</v>
      </c>
      <c r="X19" s="257"/>
      <c r="Y19" s="274"/>
      <c r="Z19" s="274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  <c r="AY19" s="233"/>
      <c r="AZ19" s="233"/>
      <c r="BA19" s="233"/>
      <c r="BB19" s="233"/>
      <c r="BC19" s="233"/>
      <c r="BD19" s="233"/>
      <c r="BE19" s="233"/>
      <c r="BF19" s="233"/>
      <c r="BG19" s="233"/>
      <c r="BH19" s="233"/>
      <c r="BI19" s="233"/>
      <c r="BJ19" s="233"/>
      <c r="BK19" s="233"/>
    </row>
    <row r="20" spans="1:63" ht="14.65" customHeight="1">
      <c r="A20" s="233" t="str">
        <f t="shared" si="1"/>
        <v>project manager</v>
      </c>
      <c r="B20" s="259" t="s">
        <v>25</v>
      </c>
      <c r="C20" s="259" t="s">
        <v>334</v>
      </c>
      <c r="D20" s="259" t="s">
        <v>348</v>
      </c>
      <c r="E20" s="257"/>
      <c r="F20" s="233"/>
      <c r="G20" s="233"/>
      <c r="H20" s="233"/>
      <c r="I20" s="262">
        <v>0</v>
      </c>
      <c r="J20" s="262">
        <v>0</v>
      </c>
      <c r="K20" s="233"/>
      <c r="L20" s="256">
        <v>0</v>
      </c>
      <c r="M20" s="256">
        <v>0</v>
      </c>
      <c r="N20" s="256">
        <v>0</v>
      </c>
      <c r="O20" s="256">
        <v>0</v>
      </c>
      <c r="P20" s="256">
        <v>0</v>
      </c>
      <c r="Q20" s="256">
        <v>0</v>
      </c>
      <c r="R20" s="256">
        <v>0</v>
      </c>
      <c r="S20" s="256">
        <v>5000</v>
      </c>
      <c r="T20" s="256">
        <v>10000</v>
      </c>
      <c r="U20" s="256">
        <v>10000</v>
      </c>
      <c r="V20" s="256">
        <v>10000</v>
      </c>
      <c r="W20" s="256">
        <v>10000</v>
      </c>
      <c r="X20" s="257"/>
      <c r="Y20" s="274"/>
      <c r="Z20" s="274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</row>
    <row r="21" spans="1:63" ht="14.65" customHeight="1">
      <c r="A21" s="279" t="s">
        <v>78</v>
      </c>
      <c r="B21" s="233"/>
      <c r="C21" s="233"/>
      <c r="D21" s="233"/>
      <c r="E21" s="263"/>
      <c r="F21" s="235"/>
      <c r="G21" s="235"/>
      <c r="H21" s="235"/>
      <c r="I21" s="262">
        <v>455000</v>
      </c>
      <c r="J21" s="262">
        <v>0</v>
      </c>
      <c r="K21" s="235"/>
      <c r="L21" s="252">
        <f t="shared" ref="L21:W21" si="2">SUM(L15:L20)</f>
        <v>0</v>
      </c>
      <c r="M21" s="252">
        <f t="shared" si="2"/>
        <v>0</v>
      </c>
      <c r="N21" s="252">
        <f t="shared" si="2"/>
        <v>0</v>
      </c>
      <c r="O21" s="252">
        <f t="shared" si="2"/>
        <v>455000</v>
      </c>
      <c r="P21" s="252">
        <f t="shared" si="2"/>
        <v>0</v>
      </c>
      <c r="Q21" s="252">
        <f t="shared" si="2"/>
        <v>0</v>
      </c>
      <c r="R21" s="252">
        <f t="shared" si="2"/>
        <v>0</v>
      </c>
      <c r="S21" s="252">
        <f t="shared" si="2"/>
        <v>495000</v>
      </c>
      <c r="T21" s="252">
        <f t="shared" si="2"/>
        <v>750000</v>
      </c>
      <c r="U21" s="252">
        <f t="shared" si="2"/>
        <v>750000</v>
      </c>
      <c r="V21" s="252">
        <f t="shared" si="2"/>
        <v>750000</v>
      </c>
      <c r="W21" s="252">
        <f t="shared" si="2"/>
        <v>750000</v>
      </c>
      <c r="X21" s="257"/>
      <c r="Y21" s="274"/>
      <c r="Z21" s="274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33"/>
      <c r="BG21" s="233"/>
      <c r="BH21" s="233"/>
      <c r="BI21" s="233"/>
      <c r="BJ21" s="233"/>
      <c r="BK21" s="233"/>
    </row>
    <row r="22" spans="1:63">
      <c r="A22" s="280"/>
      <c r="B22" s="233"/>
      <c r="C22" s="233"/>
      <c r="D22" s="233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65"/>
      <c r="Y22" s="274"/>
      <c r="Z22" s="274"/>
      <c r="AA22" s="233"/>
      <c r="AB22" s="233"/>
      <c r="AC22" s="233"/>
      <c r="AD22" s="233"/>
      <c r="AE22" s="233"/>
      <c r="AF22" s="233"/>
      <c r="AG22" s="233"/>
      <c r="AH22" s="233"/>
      <c r="AI22" s="233"/>
      <c r="AJ22" s="281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33"/>
      <c r="BG22" s="233"/>
      <c r="BH22" s="233"/>
      <c r="BI22" s="233"/>
      <c r="BJ22" s="233"/>
      <c r="BK22" s="233"/>
    </row>
    <row r="23" spans="1:63" ht="14.65" customHeight="1">
      <c r="A23" s="278" t="s">
        <v>349</v>
      </c>
      <c r="B23" s="233"/>
      <c r="C23" s="233"/>
      <c r="D23" s="233"/>
      <c r="E23" s="233"/>
      <c r="F23" s="257"/>
      <c r="G23" s="257"/>
      <c r="H23" s="257"/>
      <c r="I23" s="233"/>
      <c r="J23" s="233"/>
      <c r="K23" s="257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74"/>
      <c r="Z23" s="274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3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3"/>
      <c r="BK23" s="233"/>
    </row>
    <row r="24" spans="1:63">
      <c r="A24" s="233" t="str">
        <f t="shared" ref="A24:A29" si="3">A15</f>
        <v>ACEO Loren Hotels (CE)</v>
      </c>
      <c r="B24" s="259" t="s">
        <v>79</v>
      </c>
      <c r="C24" s="259" t="s">
        <v>335</v>
      </c>
      <c r="D24" s="259" t="s">
        <v>338</v>
      </c>
      <c r="E24" s="271"/>
      <c r="F24" s="257"/>
      <c r="G24" s="257"/>
      <c r="H24" s="257"/>
      <c r="I24" s="282">
        <v>403750</v>
      </c>
      <c r="J24" s="282">
        <v>144000</v>
      </c>
      <c r="K24" s="257"/>
      <c r="L24" s="270">
        <f>L6*(1+'.c12_inputs.hr'!$E$8)+(L15*(1+'.c12_inputs.hr'!$E$9))</f>
        <v>144000</v>
      </c>
      <c r="M24" s="270">
        <f>M6*(1+'.c12_inputs.hr'!$E$8)+(M15*(1+'.c12_inputs.hr'!$E$9))</f>
        <v>144000</v>
      </c>
      <c r="N24" s="270">
        <f>N6*(1+'.c12_inputs.hr'!$E$8)+(N15*(1+'.c12_inputs.hr'!$E$9))</f>
        <v>144000</v>
      </c>
      <c r="O24" s="270">
        <f>O6*(1+'.c12_inputs.hr'!$E$8)+(O15*(1+'.c12_inputs.hr'!$E$9))</f>
        <v>403750</v>
      </c>
      <c r="P24" s="270">
        <f>P6*(1+'.c12_inputs.hr'!$E$8)+(P15*(1+'.c12_inputs.hr'!$E$9))</f>
        <v>144000</v>
      </c>
      <c r="Q24" s="270">
        <f>Q6*(1+'.c12_inputs.hr'!$E$8)+(Q15*(1+'.c12_inputs.hr'!$E$9))</f>
        <v>144000</v>
      </c>
      <c r="R24" s="270">
        <f>R6*(1+'.c12_inputs.hr'!$E$8)+(R15*(1+'.c12_inputs.hr'!$E$9))</f>
        <v>144000</v>
      </c>
      <c r="S24" s="270">
        <f>S6*(1+'.c12_inputs.hr'!$E$8)+(S15*(1+'.c12_inputs.hr'!$E$9))</f>
        <v>403750</v>
      </c>
      <c r="T24" s="270">
        <f>T6*(1+'.c12_inputs.hr'!$E$8)+(T15*(1+'.c12_inputs.hr'!$E$9))</f>
        <v>1095500</v>
      </c>
      <c r="U24" s="270">
        <f>U6*(1+'.c12_inputs.hr'!$E$8)+(U15*(1+'.c12_inputs.hr'!$E$9))</f>
        <v>1095500</v>
      </c>
      <c r="V24" s="270">
        <f>V6*(1+'.c12_inputs.hr'!$E$8)+(V15*(1+'.c12_inputs.hr'!$E$9))</f>
        <v>1095500</v>
      </c>
      <c r="W24" s="270">
        <f>W6*(1+'.c12_inputs.hr'!$E$8)+(W15*(1+'.c12_inputs.hr'!$E$9))</f>
        <v>1095500</v>
      </c>
      <c r="X24" s="270"/>
      <c r="Y24" s="270"/>
      <c r="Z24" s="274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3"/>
      <c r="BK24" s="233"/>
    </row>
    <row r="25" spans="1:63">
      <c r="A25" s="233" t="str">
        <f t="shared" si="3"/>
        <v>VP Operations (WS)</v>
      </c>
      <c r="B25" s="259" t="s">
        <v>79</v>
      </c>
      <c r="C25" s="259" t="s">
        <v>335</v>
      </c>
      <c r="D25" s="259" t="s">
        <v>340</v>
      </c>
      <c r="E25" s="271"/>
      <c r="F25" s="257"/>
      <c r="G25" s="257"/>
      <c r="H25" s="257"/>
      <c r="I25" s="282">
        <v>198685</v>
      </c>
      <c r="J25" s="282">
        <v>83520</v>
      </c>
      <c r="K25" s="257"/>
      <c r="L25" s="270">
        <f>L7*(1+'.c12_inputs.hr'!$E$8)+(L16*(1+'.c12_inputs.hr'!$E$9))</f>
        <v>79200</v>
      </c>
      <c r="M25" s="270">
        <f>M7*(1+'.c12_inputs.hr'!$E$8)+(M16*(1+'.c12_inputs.hr'!$E$9))</f>
        <v>79200</v>
      </c>
      <c r="N25" s="270">
        <f>N7*(1+'.c12_inputs.hr'!$E$8)+(N16*(1+'.c12_inputs.hr'!$E$9))</f>
        <v>79200</v>
      </c>
      <c r="O25" s="270">
        <f>O7*(1+'.c12_inputs.hr'!$E$8)+(O16*(1+'.c12_inputs.hr'!$E$9))</f>
        <v>198685</v>
      </c>
      <c r="P25" s="270">
        <f>P7*(1+'.c12_inputs.hr'!$E$8)+(P16*(1+'.c12_inputs.hr'!$E$9))</f>
        <v>83520</v>
      </c>
      <c r="Q25" s="270">
        <f>Q7*(1+'.c12_inputs.hr'!$E$8)+(Q16*(1+'.c12_inputs.hr'!$E$9))</f>
        <v>83520</v>
      </c>
      <c r="R25" s="270">
        <f>R7*(1+'.c12_inputs.hr'!$E$8)+(R16*(1+'.c12_inputs.hr'!$E$9))</f>
        <v>83520</v>
      </c>
      <c r="S25" s="270">
        <f>S7*(1+'.c12_inputs.hr'!$E$8)+(S16*(1+'.c12_inputs.hr'!$E$9))</f>
        <v>161445</v>
      </c>
      <c r="T25" s="270">
        <f>T7*(1+'.c12_inputs.hr'!$E$8)+(T16*(1+'.c12_inputs.hr'!$E$9))</f>
        <v>412005</v>
      </c>
      <c r="U25" s="270">
        <f>U7*(1+'.c12_inputs.hr'!$E$8)+(U16*(1+'.c12_inputs.hr'!$E$9))</f>
        <v>412005</v>
      </c>
      <c r="V25" s="270">
        <f>V7*(1+'.c12_inputs.hr'!$E$8)+(V16*(1+'.c12_inputs.hr'!$E$9))</f>
        <v>412005</v>
      </c>
      <c r="W25" s="270">
        <f>W7*(1+'.c12_inputs.hr'!$E$8)+(W16*(1+'.c12_inputs.hr'!$E$9))</f>
        <v>412005</v>
      </c>
      <c r="X25" s="270"/>
      <c r="Y25" s="270"/>
      <c r="Z25" s="274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</row>
    <row r="26" spans="1:63">
      <c r="A26" s="233" t="str">
        <f t="shared" si="3"/>
        <v>seniorS&amp;Mexe (CL)</v>
      </c>
      <c r="B26" s="259" t="s">
        <v>79</v>
      </c>
      <c r="C26" s="259" t="s">
        <v>335</v>
      </c>
      <c r="D26" s="259" t="s">
        <v>342</v>
      </c>
      <c r="E26" s="271"/>
      <c r="F26" s="257"/>
      <c r="G26" s="257"/>
      <c r="H26" s="257"/>
      <c r="I26" s="282">
        <v>20780</v>
      </c>
      <c r="J26" s="282">
        <v>86400</v>
      </c>
      <c r="K26" s="257"/>
      <c r="L26" s="270">
        <f>L8*(1+'.c12_inputs.hr'!$E$8)+(L17*(1+'.c12_inputs.hr'!$E$9))</f>
        <v>0</v>
      </c>
      <c r="M26" s="270">
        <f>M8*(1+'.c12_inputs.hr'!$E$8)+(M17*(1+'.c12_inputs.hr'!$E$9))</f>
        <v>0</v>
      </c>
      <c r="N26" s="270">
        <f>N8*(1+'.c12_inputs.hr'!$E$8)+(N17*(1+'.c12_inputs.hr'!$E$9))</f>
        <v>0</v>
      </c>
      <c r="O26" s="270">
        <f>O8*(1+'.c12_inputs.hr'!$E$8)+(O17*(1+'.c12_inputs.hr'!$E$9))</f>
        <v>20780</v>
      </c>
      <c r="P26" s="270">
        <f>P8*(1+'.c12_inputs.hr'!$E$8)+(P17*(1+'.c12_inputs.hr'!$E$9))</f>
        <v>86400</v>
      </c>
      <c r="Q26" s="270">
        <f>Q8*(1+'.c12_inputs.hr'!$E$8)+(Q17*(1+'.c12_inputs.hr'!$E$9))</f>
        <v>86400</v>
      </c>
      <c r="R26" s="270">
        <f>R8*(1+'.c12_inputs.hr'!$E$8)+(R17*(1+'.c12_inputs.hr'!$E$9))</f>
        <v>86400</v>
      </c>
      <c r="S26" s="270">
        <f>S8*(1+'.c12_inputs.hr'!$E$8)+(S17*(1+'.c12_inputs.hr'!$E$9))</f>
        <v>164325</v>
      </c>
      <c r="T26" s="270">
        <f>T8*(1+'.c12_inputs.hr'!$E$8)+(T17*(1+'.c12_inputs.hr'!$E$9))</f>
        <v>423525</v>
      </c>
      <c r="U26" s="270">
        <f>U8*(1+'.c12_inputs.hr'!$E$8)+(U17*(1+'.c12_inputs.hr'!$E$9))</f>
        <v>423525</v>
      </c>
      <c r="V26" s="270">
        <f>V8*(1+'.c12_inputs.hr'!$E$8)+(V17*(1+'.c12_inputs.hr'!$E$9))</f>
        <v>423525</v>
      </c>
      <c r="W26" s="270">
        <f>W8*(1+'.c12_inputs.hr'!$E$8)+(W17*(1+'.c12_inputs.hr'!$E$9))</f>
        <v>423525</v>
      </c>
      <c r="X26" s="270"/>
      <c r="Y26" s="270"/>
      <c r="Z26" s="274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3"/>
      <c r="BK26" s="233"/>
    </row>
    <row r="27" spans="1:63">
      <c r="A27" s="233" t="str">
        <f t="shared" si="3"/>
        <v>Senior Associate (RF)</v>
      </c>
      <c r="B27" s="259" t="s">
        <v>79</v>
      </c>
      <c r="C27" s="259" t="s">
        <v>335</v>
      </c>
      <c r="D27" s="259" t="s">
        <v>344</v>
      </c>
      <c r="E27" s="271"/>
      <c r="F27" s="257"/>
      <c r="G27" s="257"/>
      <c r="H27" s="257"/>
      <c r="I27" s="282">
        <v>95150</v>
      </c>
      <c r="J27" s="282">
        <v>46080</v>
      </c>
      <c r="K27" s="257"/>
      <c r="L27" s="270">
        <f>L9*(1+'.c12_inputs.hr'!$E$8)+(L18*(1+'.c12_inputs.hr'!$E$9))</f>
        <v>43200</v>
      </c>
      <c r="M27" s="270">
        <f>M9*(1+'.c12_inputs.hr'!$E$8)+(M18*(1+'.c12_inputs.hr'!$E$9))</f>
        <v>43200</v>
      </c>
      <c r="N27" s="270">
        <f>N9*(1+'.c12_inputs.hr'!$E$8)+(N18*(1+'.c12_inputs.hr'!$E$9))</f>
        <v>43200</v>
      </c>
      <c r="O27" s="270">
        <f>O9*(1+'.c12_inputs.hr'!$E$8)+(O18*(1+'.c12_inputs.hr'!$E$9))</f>
        <v>95150</v>
      </c>
      <c r="P27" s="270">
        <f>P9*(1+'.c12_inputs.hr'!$E$8)+(P18*(1+'.c12_inputs.hr'!$E$9))</f>
        <v>46080</v>
      </c>
      <c r="Q27" s="270">
        <f>Q9*(1+'.c12_inputs.hr'!$E$8)+(Q18*(1+'.c12_inputs.hr'!$E$9))</f>
        <v>46080</v>
      </c>
      <c r="R27" s="270">
        <f>R9*(1+'.c12_inputs.hr'!$E$8)+(R18*(1+'.c12_inputs.hr'!$E$9))</f>
        <v>46080</v>
      </c>
      <c r="S27" s="270">
        <f>S9*(1+'.c12_inputs.hr'!$E$8)+(S18*(1+'.c12_inputs.hr'!$E$9))</f>
        <v>98030</v>
      </c>
      <c r="T27" s="270">
        <f>T9*(1+'.c12_inputs.hr'!$E$8)+(T18*(1+'.c12_inputs.hr'!$E$9))</f>
        <v>236270</v>
      </c>
      <c r="U27" s="270">
        <f>U9*(1+'.c12_inputs.hr'!$E$8)+(U18*(1+'.c12_inputs.hr'!$E$9))</f>
        <v>236270</v>
      </c>
      <c r="V27" s="270">
        <f>V9*(1+'.c12_inputs.hr'!$E$8)+(V18*(1+'.c12_inputs.hr'!$E$9))</f>
        <v>236270</v>
      </c>
      <c r="W27" s="270">
        <f>W9*(1+'.c12_inputs.hr'!$E$8)+(W18*(1+'.c12_inputs.hr'!$E$9))</f>
        <v>236270</v>
      </c>
      <c r="X27" s="270"/>
      <c r="Y27" s="270"/>
      <c r="Z27" s="274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</row>
    <row r="28" spans="1:63">
      <c r="A28" s="233" t="str">
        <f t="shared" si="3"/>
        <v>associate (MT)</v>
      </c>
      <c r="B28" s="259" t="s">
        <v>79</v>
      </c>
      <c r="C28" s="259" t="s">
        <v>335</v>
      </c>
      <c r="D28" s="259" t="s">
        <v>346</v>
      </c>
      <c r="E28" s="271"/>
      <c r="F28" s="257"/>
      <c r="G28" s="257"/>
      <c r="H28" s="257"/>
      <c r="I28" s="282">
        <v>52460</v>
      </c>
      <c r="J28" s="282">
        <v>31680</v>
      </c>
      <c r="K28" s="257"/>
      <c r="L28" s="270">
        <f>L10*(1+'.c12_inputs.hr'!$E$8)+(L19*(1+'.c12_inputs.hr'!$E$9))</f>
        <v>31679.999999999996</v>
      </c>
      <c r="M28" s="270">
        <f>M10*(1+'.c12_inputs.hr'!$E$8)+(M19*(1+'.c12_inputs.hr'!$E$9))</f>
        <v>31679.999999999996</v>
      </c>
      <c r="N28" s="270">
        <f>N10*(1+'.c12_inputs.hr'!$E$8)+(N19*(1+'.c12_inputs.hr'!$E$9))</f>
        <v>31679.999999999996</v>
      </c>
      <c r="O28" s="270">
        <f>O10*(1+'.c12_inputs.hr'!$E$8)+(O19*(1+'.c12_inputs.hr'!$E$9))</f>
        <v>52460</v>
      </c>
      <c r="P28" s="270">
        <f>P10*(1+'.c12_inputs.hr'!$E$8)+(P19*(1+'.c12_inputs.hr'!$E$9))</f>
        <v>31679.999999999996</v>
      </c>
      <c r="Q28" s="270">
        <f>Q10*(1+'.c12_inputs.hr'!$E$8)+(Q19*(1+'.c12_inputs.hr'!$E$9))</f>
        <v>31679.999999999996</v>
      </c>
      <c r="R28" s="270">
        <f>R10*(1+'.c12_inputs.hr'!$E$8)+(R19*(1+'.c12_inputs.hr'!$E$9))</f>
        <v>31679.999999999996</v>
      </c>
      <c r="S28" s="270">
        <f>S10*(1+'.c12_inputs.hr'!$E$8)+(S19*(1+'.c12_inputs.hr'!$E$9))</f>
        <v>73240</v>
      </c>
      <c r="T28" s="270">
        <f>T10*(1+'.c12_inputs.hr'!$E$8)+(T19*(1+'.c12_inputs.hr'!$E$9))</f>
        <v>168280</v>
      </c>
      <c r="U28" s="270">
        <f>U10*(1+'.c12_inputs.hr'!$E$8)+(U19*(1+'.c12_inputs.hr'!$E$9))</f>
        <v>168280</v>
      </c>
      <c r="V28" s="270">
        <f>V10*(1+'.c12_inputs.hr'!$E$8)+(V19*(1+'.c12_inputs.hr'!$E$9))</f>
        <v>168280</v>
      </c>
      <c r="W28" s="270">
        <f>W10*(1+'.c12_inputs.hr'!$E$8)+(W19*(1+'.c12_inputs.hr'!$E$9))</f>
        <v>168280</v>
      </c>
      <c r="X28" s="270"/>
      <c r="Y28" s="270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3"/>
      <c r="BI28" s="233"/>
      <c r="BJ28" s="233"/>
      <c r="BK28" s="233"/>
    </row>
    <row r="29" spans="1:63">
      <c r="A29" s="233" t="str">
        <f t="shared" si="3"/>
        <v>project manager</v>
      </c>
      <c r="B29" s="259" t="s">
        <v>79</v>
      </c>
      <c r="C29" s="259" t="s">
        <v>335</v>
      </c>
      <c r="D29" s="259" t="s">
        <v>348</v>
      </c>
      <c r="E29" s="271"/>
      <c r="F29" s="257"/>
      <c r="G29" s="257"/>
      <c r="H29" s="257"/>
      <c r="I29" s="282">
        <v>0</v>
      </c>
      <c r="J29" s="282">
        <v>0</v>
      </c>
      <c r="K29" s="257"/>
      <c r="L29" s="270">
        <f>L11*(1+'.c12_inputs.hr'!$E$8)+(L20*(1+'.c12_inputs.hr'!$E$9))</f>
        <v>0</v>
      </c>
      <c r="M29" s="270">
        <f>M11*(1+'.c12_inputs.hr'!$E$8)+(M20*(1+'.c12_inputs.hr'!$E$9))</f>
        <v>0</v>
      </c>
      <c r="N29" s="270">
        <f>N11*(1+'.c12_inputs.hr'!$E$8)+(N20*(1+'.c12_inputs.hr'!$E$9))</f>
        <v>0</v>
      </c>
      <c r="O29" s="270">
        <f>O11*(1+'.c12_inputs.hr'!$E$8)+(O20*(1+'.c12_inputs.hr'!$E$9))</f>
        <v>0</v>
      </c>
      <c r="P29" s="270">
        <f>P11*(1+'.c12_inputs.hr'!$E$8)+(P20*(1+'.c12_inputs.hr'!$E$9))</f>
        <v>0</v>
      </c>
      <c r="Q29" s="270">
        <f>Q11*(1+'.c12_inputs.hr'!$E$8)+(Q20*(1+'.c12_inputs.hr'!$E$9))</f>
        <v>0</v>
      </c>
      <c r="R29" s="270">
        <f>R11*(1+'.c12_inputs.hr'!$E$8)+(R20*(1+'.c12_inputs.hr'!$E$9))</f>
        <v>43200</v>
      </c>
      <c r="S29" s="270">
        <f>S11*(1+'.c12_inputs.hr'!$E$8)+(S20*(1+'.c12_inputs.hr'!$E$9))</f>
        <v>48395</v>
      </c>
      <c r="T29" s="270">
        <f>T11*(1+'.c12_inputs.hr'!$E$8)+(T20*(1+'.c12_inputs.hr'!$E$9))</f>
        <v>183190</v>
      </c>
      <c r="U29" s="270">
        <f>U11*(1+'.c12_inputs.hr'!$E$8)+(U20*(1+'.c12_inputs.hr'!$E$9))</f>
        <v>183190</v>
      </c>
      <c r="V29" s="270">
        <f>V11*(1+'.c12_inputs.hr'!$E$8)+(V20*(1+'.c12_inputs.hr'!$E$9))</f>
        <v>183190</v>
      </c>
      <c r="W29" s="270">
        <f>W11*(1+'.c12_inputs.hr'!$E$8)+(W20*(1+'.c12_inputs.hr'!$E$9))</f>
        <v>183190</v>
      </c>
      <c r="X29" s="270"/>
      <c r="Y29" s="270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233"/>
    </row>
    <row r="30" spans="1:63" s="58" customFormat="1" ht="14.65" customHeight="1">
      <c r="A30" s="233"/>
      <c r="B30" s="233"/>
      <c r="C30" s="233"/>
      <c r="D30" s="233"/>
      <c r="E30" s="271"/>
      <c r="F30" s="257"/>
      <c r="G30" s="257"/>
      <c r="H30" s="257"/>
      <c r="I30" s="270"/>
      <c r="J30" s="270"/>
      <c r="K30" s="257"/>
      <c r="L30" s="270"/>
      <c r="M30" s="270"/>
      <c r="N30" s="270"/>
      <c r="O30" s="270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</row>
    <row r="31" spans="1:63" ht="14.65" customHeight="1">
      <c r="A31" s="279" t="s">
        <v>249</v>
      </c>
      <c r="B31" s="259" t="s">
        <v>9</v>
      </c>
      <c r="C31" s="259" t="s">
        <v>250</v>
      </c>
      <c r="D31" s="233"/>
      <c r="E31" s="270"/>
      <c r="F31" s="257"/>
      <c r="G31" s="257"/>
      <c r="H31" s="257"/>
      <c r="I31" s="282">
        <v>770825</v>
      </c>
      <c r="J31" s="282">
        <v>391680</v>
      </c>
      <c r="K31" s="257"/>
      <c r="L31" s="283">
        <f t="shared" ref="L31:W31" si="4">SUM(L24:L29)</f>
        <v>298080</v>
      </c>
      <c r="M31" s="283">
        <f t="shared" si="4"/>
        <v>298080</v>
      </c>
      <c r="N31" s="283">
        <f t="shared" si="4"/>
        <v>298080</v>
      </c>
      <c r="O31" s="283">
        <f t="shared" si="4"/>
        <v>770825</v>
      </c>
      <c r="P31" s="283">
        <f t="shared" si="4"/>
        <v>391680</v>
      </c>
      <c r="Q31" s="283">
        <f t="shared" si="4"/>
        <v>391680</v>
      </c>
      <c r="R31" s="283">
        <f t="shared" si="4"/>
        <v>434880</v>
      </c>
      <c r="S31" s="283">
        <f t="shared" si="4"/>
        <v>949185</v>
      </c>
      <c r="T31" s="283">
        <f t="shared" si="4"/>
        <v>2518770</v>
      </c>
      <c r="U31" s="283">
        <f t="shared" si="4"/>
        <v>2518770</v>
      </c>
      <c r="V31" s="283">
        <f t="shared" si="4"/>
        <v>2518770</v>
      </c>
      <c r="W31" s="283">
        <f t="shared" si="4"/>
        <v>2518770</v>
      </c>
      <c r="X31" s="270"/>
      <c r="Y31" s="274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233"/>
    </row>
    <row r="32" spans="1:63">
      <c r="A32" s="260" t="s">
        <v>251</v>
      </c>
      <c r="B32" s="259" t="s">
        <v>9</v>
      </c>
      <c r="C32" s="259" t="s">
        <v>252</v>
      </c>
      <c r="D32" s="233"/>
      <c r="E32" s="265"/>
      <c r="F32" s="257"/>
      <c r="G32" s="257"/>
      <c r="H32" s="257"/>
      <c r="I32" s="267">
        <v>367075</v>
      </c>
      <c r="J32" s="267">
        <v>247680</v>
      </c>
      <c r="K32" s="257"/>
      <c r="L32" s="268">
        <f>SUMPRODUCT('.c12_alloc'!$H$15:$H$20,'.c12_hm_hr'!L$24:L$29)</f>
        <v>154080</v>
      </c>
      <c r="M32" s="268">
        <f>SUMPRODUCT('.c12_alloc'!$H$15:$H$20,'.c12_hm_hr'!M$24:M$29)</f>
        <v>154080</v>
      </c>
      <c r="N32" s="268">
        <f>SUMPRODUCT('.c12_alloc'!$H$15:$H$20,'.c12_hm_hr'!N$24:N$29)</f>
        <v>154080</v>
      </c>
      <c r="O32" s="268">
        <f>SUMPRODUCT('.c12_alloc'!$H$15:$H$20,'.c12_hm_hr'!O$24:O$29)</f>
        <v>367075</v>
      </c>
      <c r="P32" s="268">
        <f>SUMPRODUCT('.c12_alloc'!$H$15:$H$20,'.c12_hm_hr'!P$24:P$29)</f>
        <v>247680</v>
      </c>
      <c r="Q32" s="268">
        <f>SUMPRODUCT('.c12_alloc'!$H$15:$H$20,'.c12_hm_hr'!Q$24:Q$29)</f>
        <v>247680</v>
      </c>
      <c r="R32" s="268">
        <f>SUMPRODUCT('.c12_alloc'!$H$15:$H$20,'.c12_hm_hr'!R$24:R$29)</f>
        <v>290880</v>
      </c>
      <c r="S32" s="268">
        <f>SUMPRODUCT('.c12_alloc'!$H$15:$H$20,'.c12_hm_hr'!S$24:S$29)</f>
        <v>545435</v>
      </c>
      <c r="T32" s="268">
        <f>SUMPRODUCT('.c12_alloc'!$H$15:$H$20,'.c12_hm_hr'!T$24:T$29)</f>
        <v>1423270</v>
      </c>
      <c r="U32" s="268">
        <f>SUMPRODUCT('.c12_alloc'!$H$15:$H$20,'.c12_hm_hr'!U$24:U$29)</f>
        <v>1423270</v>
      </c>
      <c r="V32" s="268">
        <f>SUMPRODUCT('.c12_alloc'!$H$15:$H$20,'.c12_hm_hr'!V$24:V$29)</f>
        <v>1423270</v>
      </c>
      <c r="W32" s="268">
        <f>SUMPRODUCT('.c12_alloc'!$H$15:$H$20,'.c12_hm_hr'!W$24:W$29)</f>
        <v>1423270</v>
      </c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3"/>
      <c r="BK32" s="233"/>
    </row>
    <row r="33" spans="1:63">
      <c r="A33" s="260" t="s">
        <v>253</v>
      </c>
      <c r="B33" s="259" t="s">
        <v>9</v>
      </c>
      <c r="C33" s="259" t="s">
        <v>254</v>
      </c>
      <c r="D33" s="233"/>
      <c r="E33" s="265"/>
      <c r="F33" s="263"/>
      <c r="G33" s="263"/>
      <c r="H33" s="263"/>
      <c r="I33" s="267">
        <v>403750</v>
      </c>
      <c r="J33" s="267">
        <v>144000</v>
      </c>
      <c r="K33" s="263"/>
      <c r="L33" s="268">
        <f>SUMPRODUCT('.c12_alloc'!$G$15:$G$20,'.c12_hm_hr'!L$24:L$29)</f>
        <v>144000</v>
      </c>
      <c r="M33" s="268">
        <f>SUMPRODUCT('.c12_alloc'!$G$15:$G$20,'.c12_hm_hr'!M$24:M$29)</f>
        <v>144000</v>
      </c>
      <c r="N33" s="268">
        <f>SUMPRODUCT('.c12_alloc'!$G$15:$G$20,'.c12_hm_hr'!N$24:N$29)</f>
        <v>144000</v>
      </c>
      <c r="O33" s="268">
        <f>SUMPRODUCT('.c12_alloc'!$G$15:$G$20,'.c12_hm_hr'!O$24:O$29)</f>
        <v>403750</v>
      </c>
      <c r="P33" s="268">
        <f>SUMPRODUCT('.c12_alloc'!$G$15:$G$20,'.c12_hm_hr'!P$24:P$29)</f>
        <v>144000</v>
      </c>
      <c r="Q33" s="268">
        <f>SUMPRODUCT('.c12_alloc'!$G$15:$G$20,'.c12_hm_hr'!Q$24:Q$29)</f>
        <v>144000</v>
      </c>
      <c r="R33" s="268">
        <f>SUMPRODUCT('.c12_alloc'!$G$15:$G$20,'.c12_hm_hr'!R$24:R$29)</f>
        <v>144000</v>
      </c>
      <c r="S33" s="268">
        <f>SUMPRODUCT('.c12_alloc'!$G$15:$G$20,'.c12_hm_hr'!S$24:S$29)</f>
        <v>403750</v>
      </c>
      <c r="T33" s="268">
        <f>SUMPRODUCT('.c12_alloc'!$G$15:$G$20,'.c12_hm_hr'!T$24:T$29)</f>
        <v>1095500</v>
      </c>
      <c r="U33" s="268">
        <f>SUMPRODUCT('.c12_alloc'!$G$15:$G$20,'.c12_hm_hr'!U$24:U$29)</f>
        <v>1095500</v>
      </c>
      <c r="V33" s="268">
        <f>SUMPRODUCT('.c12_alloc'!$G$15:$G$20,'.c12_hm_hr'!V$24:V$29)</f>
        <v>1095500</v>
      </c>
      <c r="W33" s="268">
        <f>SUMPRODUCT('.c12_alloc'!$G$15:$G$20,'.c12_hm_hr'!W$24:W$29)</f>
        <v>1095500</v>
      </c>
      <c r="X33" s="233"/>
      <c r="Y33" s="233"/>
      <c r="Z33" s="233"/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/>
      <c r="BC33" s="233"/>
      <c r="BD33" s="233"/>
      <c r="BE33" s="233"/>
      <c r="BF33" s="233"/>
      <c r="BG33" s="233"/>
      <c r="BH33" s="233"/>
      <c r="BI33" s="233"/>
      <c r="BJ33" s="233"/>
      <c r="BK33" s="233"/>
    </row>
    <row r="34" spans="1:63">
      <c r="A34" s="260" t="s">
        <v>255</v>
      </c>
      <c r="B34" s="259" t="s">
        <v>9</v>
      </c>
      <c r="C34" s="259" t="s">
        <v>256</v>
      </c>
      <c r="D34" s="233"/>
      <c r="E34" s="265"/>
      <c r="F34" s="257"/>
      <c r="G34" s="257"/>
      <c r="H34" s="257"/>
      <c r="I34" s="267">
        <v>0</v>
      </c>
      <c r="J34" s="267">
        <v>0</v>
      </c>
      <c r="K34" s="257"/>
      <c r="L34" s="268">
        <f>SUMPRODUCT('.c12_alloc'!$E$15:$E$20,'.c12_hm_hr'!L$24:L$29)</f>
        <v>0</v>
      </c>
      <c r="M34" s="268">
        <f>SUMPRODUCT('.c12_alloc'!$E$15:$E$20,'.c12_hm_hr'!M$24:M$29)</f>
        <v>0</v>
      </c>
      <c r="N34" s="268">
        <f>SUMPRODUCT('.c12_alloc'!$E$15:$E$20,'.c12_hm_hr'!N$24:N$29)</f>
        <v>0</v>
      </c>
      <c r="O34" s="268">
        <f>SUMPRODUCT('.c12_alloc'!$E$15:$E$20,'.c12_hm_hr'!O$24:O$29)</f>
        <v>0</v>
      </c>
      <c r="P34" s="268">
        <f>SUMPRODUCT('.c12_alloc'!$E$15:$E$20,'.c12_hm_hr'!P$24:P$29)</f>
        <v>0</v>
      </c>
      <c r="Q34" s="268">
        <f>SUMPRODUCT('.c12_alloc'!$E$15:$E$20,'.c12_hm_hr'!Q$24:Q$29)</f>
        <v>0</v>
      </c>
      <c r="R34" s="268">
        <f>SUMPRODUCT('.c12_alloc'!$E$15:$E$20,'.c12_hm_hr'!R$24:R$29)</f>
        <v>0</v>
      </c>
      <c r="S34" s="268">
        <f>SUMPRODUCT('.c12_alloc'!$E$15:$E$20,'.c12_hm_hr'!S$24:S$29)</f>
        <v>0</v>
      </c>
      <c r="T34" s="268">
        <f>SUMPRODUCT('.c12_alloc'!$E$15:$E$20,'.c12_hm_hr'!T$24:T$29)</f>
        <v>0</v>
      </c>
      <c r="U34" s="268">
        <f>SUMPRODUCT('.c12_alloc'!$E$15:$E$20,'.c12_hm_hr'!U$24:U$29)</f>
        <v>0</v>
      </c>
      <c r="V34" s="268">
        <f>SUMPRODUCT('.c12_alloc'!$E$15:$E$20,'.c12_hm_hr'!V$24:V$29)</f>
        <v>0</v>
      </c>
      <c r="W34" s="268">
        <f>SUMPRODUCT('.c12_alloc'!$E$15:$E$20,'.c12_hm_hr'!W$24:W$29)</f>
        <v>0</v>
      </c>
      <c r="X34" s="233"/>
      <c r="Y34" s="233"/>
      <c r="Z34" s="233"/>
      <c r="AA34" s="233"/>
      <c r="AB34" s="233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  <c r="BF34" s="233"/>
      <c r="BG34" s="233"/>
      <c r="BH34" s="233"/>
      <c r="BI34" s="233"/>
      <c r="BJ34" s="233"/>
      <c r="BK34" s="233"/>
    </row>
    <row r="35" spans="1:63">
      <c r="A35" s="233"/>
      <c r="B35" s="233"/>
      <c r="C35" s="233"/>
      <c r="D35" s="233"/>
      <c r="E35" s="265"/>
      <c r="F35" s="233"/>
      <c r="G35" s="233"/>
      <c r="H35" s="233"/>
      <c r="I35" s="265"/>
      <c r="J35" s="265"/>
      <c r="K35" s="233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H35" s="233"/>
      <c r="BI35" s="233"/>
      <c r="BJ35" s="233"/>
      <c r="BK35" s="233"/>
    </row>
    <row r="36" spans="1:63">
      <c r="A36" s="233"/>
      <c r="B36" s="233"/>
      <c r="C36" s="233"/>
      <c r="D36" s="233"/>
      <c r="E36" s="233"/>
      <c r="F36" s="270"/>
      <c r="G36" s="270"/>
      <c r="H36" s="270"/>
      <c r="I36" s="233"/>
      <c r="J36" s="233"/>
      <c r="K36" s="270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33"/>
      <c r="BG36" s="233"/>
      <c r="BH36" s="233"/>
      <c r="BI36" s="233"/>
      <c r="BJ36" s="233"/>
      <c r="BK36" s="233"/>
    </row>
    <row r="37" spans="1:63">
      <c r="A37" s="233"/>
      <c r="B37" s="233"/>
      <c r="C37" s="233"/>
      <c r="D37" s="233"/>
      <c r="E37" s="233"/>
      <c r="F37" s="270"/>
      <c r="G37" s="270"/>
      <c r="H37" s="270"/>
      <c r="I37" s="233"/>
      <c r="J37" s="233"/>
      <c r="K37" s="270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H37" s="233"/>
      <c r="BI37" s="233"/>
      <c r="BJ37" s="233"/>
      <c r="BK37" s="233"/>
    </row>
    <row r="38" spans="1:63">
      <c r="A38" s="233"/>
      <c r="B38" s="233"/>
      <c r="C38" s="233"/>
      <c r="D38" s="233"/>
      <c r="E38" s="233"/>
      <c r="F38" s="270"/>
      <c r="G38" s="270"/>
      <c r="H38" s="270"/>
      <c r="I38" s="233"/>
      <c r="J38" s="233"/>
      <c r="K38" s="270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</row>
    <row r="39" spans="1:63">
      <c r="A39" s="233"/>
      <c r="B39" s="233"/>
      <c r="C39" s="233"/>
      <c r="D39" s="233"/>
      <c r="E39" s="233"/>
      <c r="F39" s="270"/>
      <c r="G39" s="270"/>
      <c r="H39" s="270"/>
      <c r="I39" s="233"/>
      <c r="J39" s="233"/>
      <c r="K39" s="270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</row>
    <row r="40" spans="1:63">
      <c r="A40" s="233"/>
      <c r="B40" s="233"/>
      <c r="C40" s="233"/>
      <c r="D40" s="233"/>
      <c r="E40" s="233"/>
      <c r="F40" s="257"/>
      <c r="G40" s="257"/>
      <c r="H40" s="257"/>
      <c r="I40" s="233"/>
      <c r="J40" s="233"/>
      <c r="K40" s="257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</row>
    <row r="41" spans="1:63">
      <c r="A41" s="233"/>
      <c r="B41" s="233"/>
      <c r="C41" s="233"/>
      <c r="D41" s="233"/>
      <c r="E41" s="233"/>
      <c r="F41" s="270"/>
      <c r="G41" s="270"/>
      <c r="H41" s="270"/>
      <c r="I41" s="233"/>
      <c r="J41" s="233"/>
      <c r="K41" s="270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3"/>
      <c r="BH41" s="233"/>
      <c r="BI41" s="233"/>
      <c r="BJ41" s="233"/>
      <c r="BK41" s="233"/>
    </row>
    <row r="42" spans="1:63">
      <c r="A42" s="233"/>
      <c r="B42" s="233"/>
      <c r="C42" s="233"/>
      <c r="D42" s="233"/>
      <c r="E42" s="233"/>
      <c r="F42" s="270"/>
      <c r="G42" s="270"/>
      <c r="H42" s="270"/>
      <c r="I42" s="233"/>
      <c r="J42" s="233"/>
      <c r="K42" s="270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</row>
    <row r="43" spans="1:63">
      <c r="A43" s="233"/>
      <c r="B43" s="233"/>
      <c r="C43" s="233"/>
      <c r="D43" s="233"/>
      <c r="E43" s="233"/>
      <c r="F43" s="270"/>
      <c r="G43" s="270"/>
      <c r="H43" s="270"/>
      <c r="I43" s="233"/>
      <c r="J43" s="233"/>
      <c r="K43" s="270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</row>
    <row r="44" spans="1:63">
      <c r="A44" s="233"/>
      <c r="B44" s="233"/>
      <c r="C44" s="233"/>
      <c r="D44" s="233"/>
      <c r="E44" s="233"/>
      <c r="F44" s="270"/>
      <c r="G44" s="270"/>
      <c r="H44" s="270"/>
      <c r="I44" s="233"/>
      <c r="J44" s="233"/>
      <c r="K44" s="270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233"/>
      <c r="BC44" s="233"/>
      <c r="BD44" s="233"/>
      <c r="BE44" s="233"/>
      <c r="BF44" s="233"/>
      <c r="BG44" s="233"/>
      <c r="BH44" s="233"/>
      <c r="BI44" s="233"/>
      <c r="BJ44" s="233"/>
      <c r="BK44" s="233"/>
    </row>
    <row r="45" spans="1:63">
      <c r="A45" s="233"/>
      <c r="B45" s="233"/>
      <c r="C45" s="233"/>
      <c r="D45" s="233"/>
      <c r="E45" s="233"/>
      <c r="F45" s="270"/>
      <c r="G45" s="270"/>
      <c r="H45" s="270"/>
      <c r="I45" s="233"/>
      <c r="J45" s="233"/>
      <c r="K45" s="270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3"/>
      <c r="AV45" s="233"/>
      <c r="AW45" s="233"/>
      <c r="AX45" s="233"/>
      <c r="AY45" s="233"/>
      <c r="AZ45" s="233"/>
      <c r="BA45" s="233"/>
      <c r="BB45" s="233"/>
      <c r="BC45" s="233"/>
      <c r="BD45" s="233"/>
      <c r="BE45" s="233"/>
      <c r="BF45" s="233"/>
      <c r="BG45" s="233"/>
      <c r="BH45" s="233"/>
      <c r="BI45" s="233"/>
      <c r="BJ45" s="233"/>
      <c r="BK45" s="233"/>
    </row>
    <row r="46" spans="1:63">
      <c r="A46" s="233"/>
      <c r="B46" s="233"/>
      <c r="C46" s="233"/>
      <c r="D46" s="233"/>
      <c r="E46" s="233"/>
      <c r="F46" s="270"/>
      <c r="G46" s="270"/>
      <c r="H46" s="270"/>
      <c r="I46" s="233"/>
      <c r="J46" s="233"/>
      <c r="K46" s="270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H46" s="233"/>
      <c r="BI46" s="233"/>
      <c r="BJ46" s="233"/>
      <c r="BK46" s="233"/>
    </row>
    <row r="47" spans="1:63">
      <c r="A47" s="233"/>
      <c r="B47" s="233"/>
      <c r="C47" s="233"/>
      <c r="D47" s="233"/>
      <c r="E47" s="233"/>
      <c r="F47" s="270"/>
      <c r="G47" s="270"/>
      <c r="H47" s="270"/>
      <c r="I47" s="233"/>
      <c r="J47" s="233"/>
      <c r="K47" s="270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  <c r="BD47" s="233"/>
      <c r="BE47" s="233"/>
      <c r="BF47" s="233"/>
      <c r="BG47" s="233"/>
      <c r="BH47" s="233"/>
      <c r="BI47" s="233"/>
      <c r="BJ47" s="233"/>
      <c r="BK47" s="233"/>
    </row>
    <row r="48" spans="1:63">
      <c r="A48" s="233"/>
      <c r="B48" s="233"/>
      <c r="C48" s="233"/>
      <c r="D48" s="233"/>
      <c r="E48" s="233"/>
      <c r="F48" s="265"/>
      <c r="G48" s="265"/>
      <c r="H48" s="265"/>
      <c r="I48" s="233"/>
      <c r="J48" s="233"/>
      <c r="K48" s="265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33"/>
      <c r="BG48" s="233"/>
      <c r="BH48" s="233"/>
      <c r="BI48" s="233"/>
      <c r="BJ48" s="233"/>
      <c r="BK48" s="233"/>
    </row>
    <row r="49" spans="1:63">
      <c r="A49" s="233"/>
      <c r="B49" s="233"/>
      <c r="C49" s="233"/>
      <c r="D49" s="233"/>
      <c r="E49" s="233"/>
      <c r="F49" s="265"/>
      <c r="G49" s="265"/>
      <c r="H49" s="265"/>
      <c r="I49" s="233"/>
      <c r="J49" s="233"/>
      <c r="K49" s="265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</row>
    <row r="50" spans="1:63">
      <c r="A50" s="233"/>
      <c r="B50" s="233"/>
      <c r="C50" s="233"/>
      <c r="D50" s="233"/>
      <c r="E50" s="233"/>
      <c r="F50" s="265"/>
      <c r="G50" s="265"/>
      <c r="H50" s="265"/>
      <c r="I50" s="233"/>
      <c r="J50" s="233"/>
      <c r="K50" s="265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</row>
    <row r="51" spans="1:63">
      <c r="A51" s="233"/>
      <c r="B51" s="233"/>
      <c r="C51" s="233"/>
      <c r="D51" s="233"/>
      <c r="E51" s="233"/>
      <c r="F51" s="265"/>
      <c r="G51" s="265"/>
      <c r="H51" s="265"/>
      <c r="I51" s="233"/>
      <c r="J51" s="233"/>
      <c r="K51" s="265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</row>
    <row r="52" spans="1:63">
      <c r="A52" s="233"/>
      <c r="B52" s="233"/>
      <c r="C52" s="233"/>
      <c r="D52" s="233"/>
      <c r="E52" s="233"/>
      <c r="F52" s="265"/>
      <c r="G52" s="265"/>
      <c r="H52" s="265"/>
      <c r="I52" s="233"/>
      <c r="J52" s="233"/>
      <c r="K52" s="265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/>
      <c r="AO52" s="233"/>
      <c r="AP52" s="233"/>
      <c r="AQ52" s="233"/>
      <c r="AR52" s="233"/>
      <c r="AS52" s="233"/>
      <c r="AT52" s="233"/>
      <c r="AU52" s="233"/>
      <c r="AV52" s="233"/>
      <c r="AW52" s="233"/>
      <c r="AX52" s="233"/>
      <c r="AY52" s="233"/>
      <c r="AZ52" s="233"/>
      <c r="BA52" s="233"/>
      <c r="BB52" s="233"/>
      <c r="BC52" s="233"/>
      <c r="BD52" s="233"/>
      <c r="BE52" s="233"/>
      <c r="BF52" s="233"/>
      <c r="BG52" s="233"/>
      <c r="BH52" s="233"/>
      <c r="BI52" s="233"/>
      <c r="BJ52" s="233"/>
      <c r="BK52" s="233"/>
    </row>
    <row r="53" spans="1:63">
      <c r="A53" s="233"/>
      <c r="B53" s="233"/>
      <c r="C53" s="233"/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3"/>
      <c r="AP53" s="233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</row>
    <row r="54" spans="1:63">
      <c r="A54" s="233"/>
      <c r="B54" s="233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33"/>
      <c r="AN54" s="233"/>
      <c r="AO54" s="233"/>
      <c r="AP54" s="233"/>
      <c r="AQ54" s="233"/>
      <c r="AR54" s="233"/>
      <c r="AS54" s="233"/>
      <c r="AT54" s="233"/>
      <c r="AU54" s="233"/>
      <c r="AV54" s="233"/>
      <c r="AW54" s="233"/>
      <c r="AX54" s="233"/>
      <c r="AY54" s="233"/>
      <c r="AZ54" s="233"/>
      <c r="BA54" s="233"/>
      <c r="BB54" s="233"/>
      <c r="BC54" s="233"/>
      <c r="BD54" s="233"/>
      <c r="BE54" s="233"/>
      <c r="BF54" s="233"/>
      <c r="BG54" s="233"/>
      <c r="BH54" s="233"/>
      <c r="BI54" s="233"/>
      <c r="BJ54" s="233"/>
      <c r="BK54" s="233"/>
    </row>
    <row r="55" spans="1:63">
      <c r="A55" s="233"/>
      <c r="B55" s="233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3"/>
      <c r="AU55" s="233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33"/>
      <c r="BG55" s="233"/>
      <c r="BH55" s="233"/>
      <c r="BI55" s="233"/>
      <c r="BJ55" s="233"/>
      <c r="BK55" s="233"/>
    </row>
    <row r="56" spans="1:63">
      <c r="A56" s="233"/>
      <c r="B56" s="233"/>
      <c r="C56" s="233"/>
      <c r="D56" s="233"/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33"/>
      <c r="BG56" s="233"/>
      <c r="BH56" s="233"/>
      <c r="BI56" s="233"/>
      <c r="BJ56" s="233"/>
      <c r="BK56" s="233"/>
    </row>
    <row r="57" spans="1:63">
      <c r="A57" s="233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3"/>
      <c r="AU57" s="233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</row>
    <row r="58" spans="1:63">
      <c r="A58" s="233"/>
      <c r="B58" s="233"/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3"/>
      <c r="AU58" s="233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</row>
    <row r="59" spans="1:63">
      <c r="A59" s="233"/>
      <c r="B59" s="233"/>
      <c r="C59" s="233"/>
      <c r="D59" s="233"/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  <c r="AA59" s="233"/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/>
      <c r="AO59" s="233"/>
      <c r="AP59" s="233"/>
      <c r="AQ59" s="233"/>
      <c r="AR59" s="233"/>
      <c r="AS59" s="233"/>
      <c r="AT59" s="233"/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</row>
    <row r="60" spans="1:63">
      <c r="A60" s="233"/>
      <c r="B60" s="233"/>
      <c r="C60" s="233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/>
      <c r="AO60" s="233"/>
      <c r="AP60" s="233"/>
      <c r="AQ60" s="233"/>
      <c r="AR60" s="233"/>
      <c r="AS60" s="233"/>
      <c r="AT60" s="233"/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</row>
    <row r="61" spans="1:63">
      <c r="A61" s="233"/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</row>
    <row r="62" spans="1:63">
      <c r="A62" s="233"/>
      <c r="B62" s="233"/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/>
      <c r="AO62" s="233"/>
      <c r="AP62" s="233"/>
      <c r="AQ62" s="233"/>
      <c r="AR62" s="233"/>
      <c r="AS62" s="233"/>
      <c r="AT62" s="233"/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</row>
    <row r="63" spans="1:63">
      <c r="A63" s="233"/>
      <c r="B63" s="233"/>
      <c r="C63" s="233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</row>
    <row r="64" spans="1:63">
      <c r="A64" s="233"/>
      <c r="B64" s="233"/>
      <c r="C64" s="233"/>
      <c r="D64" s="233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  <c r="AA64" s="233"/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  <c r="AR64" s="233"/>
      <c r="AS64" s="233"/>
      <c r="AT64" s="233"/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</row>
    <row r="65" spans="1:63">
      <c r="A65" s="233"/>
      <c r="B65" s="233"/>
      <c r="C65" s="233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33"/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</row>
    <row r="66" spans="1:63">
      <c r="A66" s="233"/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</row>
    <row r="67" spans="1:63">
      <c r="A67" s="233"/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</row>
    <row r="68" spans="1:63">
      <c r="A68" s="233"/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</row>
    <row r="69" spans="1:63">
      <c r="A69" s="233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</row>
    <row r="70" spans="1:63">
      <c r="A70" s="233"/>
      <c r="B70" s="233"/>
      <c r="C70" s="233"/>
      <c r="D70" s="233"/>
      <c r="E70" s="233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</row>
    <row r="71" spans="1:63">
      <c r="A71" s="233"/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</row>
    <row r="72" spans="1:63">
      <c r="A72" s="233"/>
      <c r="B72" s="233"/>
      <c r="C72" s="233"/>
      <c r="D72" s="233"/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</row>
    <row r="73" spans="1:63">
      <c r="A73" s="233"/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</row>
    <row r="74" spans="1:63">
      <c r="A74" s="233"/>
      <c r="B74" s="233"/>
      <c r="C74" s="233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33"/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</row>
    <row r="75" spans="1:63">
      <c r="A75" s="233"/>
      <c r="B75" s="233"/>
      <c r="C75" s="233"/>
      <c r="D75" s="233"/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33"/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</row>
    <row r="76" spans="1:63">
      <c r="A76" s="233"/>
      <c r="B76" s="233"/>
      <c r="C76" s="233"/>
      <c r="D76" s="233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3"/>
      <c r="AP76" s="233"/>
      <c r="AQ76" s="233"/>
      <c r="AR76" s="233"/>
      <c r="AS76" s="233"/>
      <c r="AT76" s="233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</row>
    <row r="77" spans="1:63">
      <c r="A77" s="233"/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</row>
    <row r="78" spans="1:63">
      <c r="A78" s="233"/>
      <c r="B78" s="233"/>
      <c r="C78" s="233"/>
      <c r="D78" s="233"/>
      <c r="E78" s="233"/>
      <c r="F78" s="233"/>
      <c r="G78" s="233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33"/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</row>
    <row r="79" spans="1:63">
      <c r="A79" s="233"/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33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</row>
    <row r="80" spans="1:63">
      <c r="A80" s="233"/>
      <c r="B80" s="233"/>
      <c r="C80" s="233"/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3"/>
      <c r="AP80" s="233"/>
      <c r="AQ80" s="233"/>
      <c r="AR80" s="233"/>
      <c r="AS80" s="233"/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</row>
    <row r="81" spans="1:63">
      <c r="A81" s="233"/>
      <c r="B81" s="233"/>
      <c r="C81" s="233"/>
      <c r="D81" s="233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3"/>
      <c r="AP81" s="233"/>
      <c r="AQ81" s="233"/>
      <c r="AR81" s="233"/>
      <c r="AS81" s="233"/>
      <c r="AT81" s="233"/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</row>
    <row r="82" spans="1:63">
      <c r="A82" s="233"/>
      <c r="B82" s="233"/>
      <c r="C82" s="233"/>
      <c r="D82" s="233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3"/>
      <c r="AP82" s="233"/>
      <c r="AQ82" s="233"/>
      <c r="AR82" s="233"/>
      <c r="AS82" s="233"/>
      <c r="AT82" s="233"/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</row>
    <row r="83" spans="1:63">
      <c r="A83" s="233"/>
      <c r="B83" s="233"/>
      <c r="C83" s="233"/>
      <c r="D83" s="233"/>
      <c r="E83" s="233"/>
      <c r="F83" s="233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33"/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</row>
    <row r="84" spans="1:63">
      <c r="A84" s="233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3"/>
      <c r="AP84" s="233"/>
      <c r="AQ84" s="233"/>
      <c r="AR84" s="233"/>
      <c r="AS84" s="233"/>
      <c r="AT84" s="233"/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</row>
    <row r="85" spans="1:63">
      <c r="A85" s="233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</row>
    <row r="86" spans="1:63">
      <c r="A86" s="233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</row>
    <row r="87" spans="1:63">
      <c r="A87" s="233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33"/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33"/>
      <c r="BH87" s="233"/>
      <c r="BI87" s="233"/>
      <c r="BJ87" s="233"/>
      <c r="BK87" s="233"/>
    </row>
    <row r="88" spans="1:63">
      <c r="A88" s="233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33"/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33"/>
      <c r="BH88" s="233"/>
      <c r="BI88" s="233"/>
      <c r="BJ88" s="233"/>
      <c r="BK88" s="233"/>
    </row>
    <row r="89" spans="1:63">
      <c r="A89" s="233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/>
      <c r="AR89" s="233"/>
      <c r="AS89" s="233"/>
      <c r="AT89" s="233"/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33"/>
      <c r="BH89" s="233"/>
      <c r="BI89" s="233"/>
      <c r="BJ89" s="233"/>
      <c r="BK89" s="233"/>
    </row>
    <row r="90" spans="1:63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/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3"/>
      <c r="AP90" s="233"/>
      <c r="AQ90" s="233"/>
      <c r="AR90" s="233"/>
      <c r="AS90" s="233"/>
      <c r="AT90" s="233"/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33"/>
      <c r="BH90" s="233"/>
      <c r="BI90" s="233"/>
      <c r="BJ90" s="233"/>
      <c r="BK90" s="233"/>
    </row>
    <row r="91" spans="1:63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/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3"/>
      <c r="AP91" s="233"/>
      <c r="AQ91" s="233"/>
      <c r="AR91" s="233"/>
      <c r="AS91" s="233"/>
      <c r="AT91" s="233"/>
      <c r="AU91" s="233"/>
      <c r="AV91" s="233"/>
      <c r="AW91" s="233"/>
      <c r="AX91" s="233"/>
      <c r="AY91" s="233"/>
      <c r="AZ91" s="233"/>
      <c r="BA91" s="233"/>
      <c r="BB91" s="233"/>
      <c r="BC91" s="233"/>
      <c r="BD91" s="233"/>
      <c r="BE91" s="233"/>
      <c r="BF91" s="233"/>
      <c r="BG91" s="233"/>
      <c r="BH91" s="233"/>
      <c r="BI91" s="233"/>
      <c r="BJ91" s="233"/>
      <c r="BK91" s="233"/>
    </row>
    <row r="92" spans="1:63">
      <c r="A92" s="233"/>
      <c r="B92" s="233"/>
      <c r="C92" s="233"/>
      <c r="D92" s="233"/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3"/>
      <c r="AP92" s="233"/>
      <c r="AQ92" s="233"/>
      <c r="AR92" s="233"/>
      <c r="AS92" s="233"/>
      <c r="AT92" s="233"/>
      <c r="AU92" s="233"/>
      <c r="AV92" s="233"/>
      <c r="AW92" s="233"/>
      <c r="AX92" s="233"/>
      <c r="AY92" s="233"/>
      <c r="AZ92" s="233"/>
      <c r="BA92" s="233"/>
      <c r="BB92" s="233"/>
      <c r="BC92" s="233"/>
      <c r="BD92" s="233"/>
      <c r="BE92" s="233"/>
      <c r="BF92" s="233"/>
      <c r="BG92" s="233"/>
      <c r="BH92" s="233"/>
      <c r="BI92" s="233"/>
      <c r="BJ92" s="233"/>
      <c r="BK92" s="233"/>
    </row>
    <row r="93" spans="1:63">
      <c r="A93" s="233"/>
      <c r="B93" s="233"/>
      <c r="C93" s="233"/>
      <c r="D93" s="233"/>
      <c r="E93" s="233"/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/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3"/>
      <c r="AP93" s="233"/>
      <c r="AQ93" s="233"/>
      <c r="AR93" s="233"/>
      <c r="AS93" s="233"/>
      <c r="AT93" s="233"/>
      <c r="AU93" s="233"/>
      <c r="AV93" s="233"/>
      <c r="AW93" s="233"/>
      <c r="AX93" s="233"/>
      <c r="AY93" s="233"/>
      <c r="AZ93" s="233"/>
      <c r="BA93" s="233"/>
      <c r="BB93" s="233"/>
      <c r="BC93" s="233"/>
      <c r="BD93" s="233"/>
      <c r="BE93" s="233"/>
      <c r="BF93" s="233"/>
      <c r="BG93" s="233"/>
      <c r="BH93" s="233"/>
      <c r="BI93" s="233"/>
      <c r="BJ93" s="233"/>
      <c r="BK93" s="233"/>
    </row>
    <row r="94" spans="1:63">
      <c r="A94" s="233"/>
      <c r="B94" s="233"/>
      <c r="C94" s="233"/>
      <c r="D94" s="233"/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  <c r="BC94" s="233"/>
      <c r="BD94" s="233"/>
      <c r="BE94" s="233"/>
      <c r="BF94" s="233"/>
      <c r="BG94" s="233"/>
      <c r="BH94" s="233"/>
      <c r="BI94" s="233"/>
      <c r="BJ94" s="233"/>
      <c r="BK94" s="233"/>
    </row>
    <row r="95" spans="1:63">
      <c r="A95" s="233"/>
      <c r="B95" s="233"/>
      <c r="C95" s="233"/>
      <c r="D95" s="233"/>
      <c r="E95" s="233"/>
      <c r="F95" s="233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3"/>
      <c r="BH95" s="233"/>
      <c r="BI95" s="233"/>
      <c r="BJ95" s="233"/>
      <c r="BK95" s="233"/>
    </row>
    <row r="96" spans="1:63">
      <c r="A96" s="233"/>
      <c r="B96" s="233"/>
      <c r="C96" s="233"/>
      <c r="D96" s="233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  <c r="AZ96" s="233"/>
      <c r="BA96" s="233"/>
      <c r="BB96" s="233"/>
      <c r="BC96" s="233"/>
      <c r="BD96" s="233"/>
      <c r="BE96" s="233"/>
      <c r="BF96" s="233"/>
      <c r="BG96" s="233"/>
      <c r="BH96" s="233"/>
      <c r="BI96" s="233"/>
      <c r="BJ96" s="233"/>
      <c r="BK96" s="233"/>
    </row>
    <row r="97" spans="1:63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3"/>
      <c r="BH97" s="233"/>
      <c r="BI97" s="233"/>
      <c r="BJ97" s="233"/>
      <c r="BK97" s="233"/>
    </row>
    <row r="98" spans="1:63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3"/>
      <c r="BA98" s="233"/>
      <c r="BB98" s="233"/>
      <c r="BC98" s="233"/>
      <c r="BD98" s="233"/>
      <c r="BE98" s="233"/>
      <c r="BF98" s="233"/>
      <c r="BG98" s="233"/>
      <c r="BH98" s="233"/>
      <c r="BI98" s="233"/>
      <c r="BJ98" s="233"/>
      <c r="BK98" s="233"/>
    </row>
    <row r="99" spans="1:63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3"/>
      <c r="BH99" s="233"/>
      <c r="BI99" s="233"/>
      <c r="BJ99" s="233"/>
      <c r="BK99" s="233"/>
    </row>
    <row r="100" spans="1:63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3"/>
      <c r="AP100" s="233"/>
      <c r="AQ100" s="233"/>
      <c r="AR100" s="233"/>
      <c r="AS100" s="233"/>
      <c r="AT100" s="233"/>
      <c r="AU100" s="233"/>
      <c r="AV100" s="233"/>
      <c r="AW100" s="233"/>
      <c r="AX100" s="233"/>
      <c r="AY100" s="233"/>
      <c r="AZ100" s="233"/>
      <c r="BA100" s="233"/>
      <c r="BB100" s="233"/>
      <c r="BC100" s="233"/>
      <c r="BD100" s="233"/>
      <c r="BE100" s="233"/>
      <c r="BF100" s="233"/>
      <c r="BG100" s="233"/>
      <c r="BH100" s="233"/>
      <c r="BI100" s="233"/>
      <c r="BJ100" s="233"/>
      <c r="BK100" s="233"/>
    </row>
    <row r="101" spans="1:63">
      <c r="A101" s="233"/>
      <c r="B101" s="233"/>
      <c r="C101" s="233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233"/>
      <c r="AZ101" s="233"/>
      <c r="BA101" s="233"/>
      <c r="BB101" s="233"/>
      <c r="BC101" s="233"/>
      <c r="BD101" s="233"/>
      <c r="BE101" s="233"/>
      <c r="BF101" s="233"/>
      <c r="BG101" s="233"/>
      <c r="BH101" s="233"/>
      <c r="BI101" s="233"/>
      <c r="BJ101" s="233"/>
      <c r="BK101" s="233"/>
    </row>
    <row r="102" spans="1:63">
      <c r="A102" s="233"/>
      <c r="B102" s="233"/>
      <c r="C102" s="233"/>
      <c r="D102" s="233"/>
      <c r="E102" s="233"/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3"/>
      <c r="BH102" s="233"/>
      <c r="BI102" s="233"/>
      <c r="BJ102" s="233"/>
      <c r="BK102" s="233"/>
    </row>
    <row r="103" spans="1:63">
      <c r="A103" s="233"/>
      <c r="B103" s="233"/>
      <c r="C103" s="233"/>
      <c r="D103" s="233"/>
      <c r="E103" s="233"/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233"/>
      <c r="AO103" s="233"/>
      <c r="AP103" s="233"/>
      <c r="AQ103" s="233"/>
      <c r="AR103" s="233"/>
      <c r="AS103" s="233"/>
      <c r="AT103" s="233"/>
      <c r="AU103" s="233"/>
      <c r="AV103" s="233"/>
      <c r="AW103" s="233"/>
      <c r="AX103" s="233"/>
      <c r="AY103" s="233"/>
      <c r="AZ103" s="233"/>
      <c r="BA103" s="233"/>
      <c r="BB103" s="233"/>
      <c r="BC103" s="233"/>
      <c r="BD103" s="233"/>
      <c r="BE103" s="233"/>
      <c r="BF103" s="233"/>
      <c r="BG103" s="233"/>
      <c r="BH103" s="233"/>
      <c r="BI103" s="233"/>
      <c r="BJ103" s="233"/>
      <c r="BK103" s="233"/>
    </row>
    <row r="104" spans="1:63">
      <c r="A104" s="233"/>
      <c r="B104" s="233"/>
      <c r="C104" s="233"/>
      <c r="D104" s="233"/>
      <c r="E104" s="233"/>
      <c r="F104" s="233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33"/>
      <c r="AU104" s="233"/>
      <c r="AV104" s="233"/>
      <c r="AW104" s="233"/>
      <c r="AX104" s="233"/>
      <c r="AY104" s="233"/>
      <c r="AZ104" s="233"/>
      <c r="BA104" s="233"/>
      <c r="BB104" s="233"/>
      <c r="BC104" s="233"/>
      <c r="BD104" s="233"/>
      <c r="BE104" s="233"/>
      <c r="BF104" s="233"/>
      <c r="BG104" s="233"/>
      <c r="BH104" s="233"/>
      <c r="BI104" s="233"/>
      <c r="BJ104" s="233"/>
      <c r="BK104" s="233"/>
    </row>
    <row r="105" spans="1:63">
      <c r="A105" s="233"/>
      <c r="B105" s="233"/>
      <c r="C105" s="233"/>
      <c r="D105" s="233"/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  <c r="AM105" s="233"/>
      <c r="AN105" s="233"/>
      <c r="AO105" s="233"/>
      <c r="AP105" s="233"/>
      <c r="AQ105" s="233"/>
      <c r="AR105" s="233"/>
      <c r="AS105" s="233"/>
      <c r="AT105" s="233"/>
      <c r="AU105" s="233"/>
      <c r="AV105" s="233"/>
      <c r="AW105" s="233"/>
      <c r="AX105" s="233"/>
      <c r="AY105" s="233"/>
      <c r="AZ105" s="233"/>
      <c r="BA105" s="233"/>
      <c r="BB105" s="233"/>
      <c r="BC105" s="233"/>
      <c r="BD105" s="233"/>
      <c r="BE105" s="233"/>
      <c r="BF105" s="233"/>
      <c r="BG105" s="233"/>
      <c r="BH105" s="233"/>
      <c r="BI105" s="233"/>
      <c r="BJ105" s="233"/>
      <c r="BK105" s="233"/>
    </row>
    <row r="106" spans="1:63">
      <c r="A106" s="233"/>
      <c r="B106" s="272"/>
      <c r="C106" s="233"/>
      <c r="D106" s="272"/>
      <c r="E106" s="233"/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  <c r="AI106" s="233"/>
      <c r="AJ106" s="233"/>
      <c r="AK106" s="233"/>
      <c r="AL106" s="233"/>
      <c r="AM106" s="233"/>
      <c r="AN106" s="233"/>
      <c r="AO106" s="233"/>
      <c r="AP106" s="233"/>
      <c r="AQ106" s="233"/>
      <c r="AR106" s="233"/>
      <c r="AS106" s="233"/>
      <c r="AT106" s="233"/>
      <c r="AU106" s="233"/>
      <c r="AV106" s="233"/>
      <c r="AW106" s="233"/>
      <c r="AX106" s="233"/>
      <c r="AY106" s="233"/>
      <c r="AZ106" s="233"/>
      <c r="BA106" s="233"/>
      <c r="BB106" s="233"/>
      <c r="BC106" s="233"/>
      <c r="BD106" s="233"/>
      <c r="BE106" s="233"/>
      <c r="BF106" s="233"/>
      <c r="BG106" s="233"/>
      <c r="BH106" s="233"/>
      <c r="BI106" s="233"/>
      <c r="BJ106" s="233"/>
      <c r="BK106" s="233"/>
    </row>
    <row r="107" spans="1:63">
      <c r="A107" s="233"/>
      <c r="B107" s="272"/>
      <c r="C107" s="233"/>
      <c r="D107" s="272"/>
      <c r="E107" s="233"/>
      <c r="F107" s="233"/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3"/>
      <c r="BH107" s="233"/>
      <c r="BI107" s="233"/>
      <c r="BJ107" s="233"/>
      <c r="BK107" s="233"/>
    </row>
    <row r="108" spans="1:63">
      <c r="A108" s="233"/>
      <c r="B108" s="272"/>
      <c r="C108" s="233"/>
      <c r="D108" s="272"/>
      <c r="E108" s="233"/>
      <c r="F108" s="233"/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  <c r="AK108" s="233"/>
      <c r="AL108" s="233"/>
      <c r="AM108" s="233"/>
      <c r="AN108" s="233"/>
      <c r="AO108" s="233"/>
      <c r="AP108" s="233"/>
      <c r="AQ108" s="233"/>
      <c r="AR108" s="233"/>
      <c r="AS108" s="233"/>
      <c r="AT108" s="233"/>
      <c r="AU108" s="233"/>
      <c r="AV108" s="233"/>
      <c r="AW108" s="233"/>
      <c r="AX108" s="233"/>
      <c r="AY108" s="233"/>
      <c r="AZ108" s="233"/>
      <c r="BA108" s="233"/>
      <c r="BB108" s="233"/>
      <c r="BC108" s="233"/>
      <c r="BD108" s="233"/>
      <c r="BE108" s="233"/>
      <c r="BF108" s="233"/>
      <c r="BG108" s="233"/>
      <c r="BH108" s="233"/>
      <c r="BI108" s="233"/>
      <c r="BJ108" s="233"/>
      <c r="BK108" s="233"/>
    </row>
    <row r="109" spans="1:63">
      <c r="A109" s="233"/>
      <c r="B109" s="272"/>
      <c r="C109" s="233"/>
      <c r="D109" s="272"/>
      <c r="E109" s="233"/>
      <c r="F109" s="233"/>
      <c r="G109" s="233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  <c r="AR109" s="233"/>
      <c r="AS109" s="233"/>
      <c r="AT109" s="233"/>
      <c r="AU109" s="233"/>
      <c r="AV109" s="233"/>
      <c r="AW109" s="233"/>
      <c r="AX109" s="233"/>
      <c r="AY109" s="233"/>
      <c r="AZ109" s="233"/>
      <c r="BA109" s="233"/>
      <c r="BB109" s="233"/>
      <c r="BC109" s="233"/>
      <c r="BD109" s="233"/>
      <c r="BE109" s="233"/>
      <c r="BF109" s="233"/>
      <c r="BG109" s="233"/>
      <c r="BH109" s="233"/>
      <c r="BI109" s="233"/>
      <c r="BJ109" s="233"/>
      <c r="BK109" s="233"/>
    </row>
    <row r="110" spans="1:63">
      <c r="A110" s="233"/>
      <c r="B110" s="272"/>
      <c r="C110" s="233"/>
      <c r="D110" s="272"/>
      <c r="E110" s="233"/>
      <c r="F110" s="233"/>
      <c r="G110" s="233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233"/>
      <c r="AK110" s="233"/>
      <c r="AL110" s="233"/>
      <c r="AM110" s="233"/>
      <c r="AN110" s="233"/>
      <c r="AO110" s="233"/>
      <c r="AP110" s="233"/>
      <c r="AQ110" s="233"/>
      <c r="AR110" s="233"/>
      <c r="AS110" s="233"/>
      <c r="AT110" s="233"/>
      <c r="AU110" s="233"/>
      <c r="AV110" s="233"/>
      <c r="AW110" s="233"/>
      <c r="AX110" s="233"/>
      <c r="AY110" s="233"/>
      <c r="AZ110" s="233"/>
      <c r="BA110" s="233"/>
      <c r="BB110" s="233"/>
      <c r="BC110" s="233"/>
      <c r="BD110" s="233"/>
      <c r="BE110" s="233"/>
      <c r="BF110" s="233"/>
      <c r="BG110" s="233"/>
      <c r="BH110" s="233"/>
      <c r="BI110" s="233"/>
      <c r="BJ110" s="233"/>
      <c r="BK110" s="233"/>
    </row>
    <row r="111" spans="1:63">
      <c r="A111" s="233"/>
      <c r="B111" s="272"/>
      <c r="C111" s="233"/>
      <c r="D111" s="272"/>
      <c r="E111" s="233"/>
      <c r="F111" s="233"/>
      <c r="G111" s="233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233"/>
      <c r="AK111" s="233"/>
      <c r="AL111" s="233"/>
      <c r="AM111" s="233"/>
      <c r="AN111" s="233"/>
      <c r="AO111" s="233"/>
      <c r="AP111" s="233"/>
      <c r="AQ111" s="233"/>
      <c r="AR111" s="233"/>
      <c r="AS111" s="233"/>
      <c r="AT111" s="233"/>
      <c r="AU111" s="233"/>
      <c r="AV111" s="233"/>
      <c r="AW111" s="233"/>
      <c r="AX111" s="233"/>
      <c r="AY111" s="233"/>
      <c r="AZ111" s="233"/>
      <c r="BA111" s="233"/>
      <c r="BB111" s="233"/>
      <c r="BC111" s="233"/>
      <c r="BD111" s="233"/>
      <c r="BE111" s="233"/>
      <c r="BF111" s="233"/>
      <c r="BG111" s="233"/>
      <c r="BH111" s="233"/>
      <c r="BI111" s="233"/>
      <c r="BJ111" s="233"/>
      <c r="BK111" s="233"/>
    </row>
    <row r="112" spans="1:63">
      <c r="A112" s="233"/>
      <c r="B112" s="272"/>
      <c r="C112" s="233"/>
      <c r="D112" s="272"/>
      <c r="E112" s="233"/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233"/>
      <c r="AK112" s="233"/>
      <c r="AL112" s="233"/>
      <c r="AM112" s="233"/>
      <c r="AN112" s="233"/>
      <c r="AO112" s="233"/>
      <c r="AP112" s="233"/>
      <c r="AQ112" s="233"/>
      <c r="AR112" s="233"/>
      <c r="AS112" s="233"/>
      <c r="AT112" s="233"/>
      <c r="AU112" s="233"/>
      <c r="AV112" s="233"/>
      <c r="AW112" s="233"/>
      <c r="AX112" s="233"/>
      <c r="AY112" s="233"/>
      <c r="AZ112" s="233"/>
      <c r="BA112" s="233"/>
      <c r="BB112" s="233"/>
      <c r="BC112" s="233"/>
      <c r="BD112" s="233"/>
      <c r="BE112" s="233"/>
      <c r="BF112" s="233"/>
      <c r="BG112" s="233"/>
      <c r="BH112" s="233"/>
      <c r="BI112" s="233"/>
      <c r="BJ112" s="233"/>
      <c r="BK112" s="233"/>
    </row>
    <row r="113" spans="1:63">
      <c r="A113" s="233"/>
      <c r="B113" s="272"/>
      <c r="C113" s="233"/>
      <c r="D113" s="272"/>
      <c r="E113" s="233"/>
      <c r="F113" s="233"/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233"/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33"/>
      <c r="AU113" s="233"/>
      <c r="AV113" s="233"/>
      <c r="AW113" s="233"/>
      <c r="AX113" s="233"/>
      <c r="AY113" s="233"/>
      <c r="AZ113" s="233"/>
      <c r="BA113" s="233"/>
      <c r="BB113" s="233"/>
      <c r="BC113" s="233"/>
      <c r="BD113" s="233"/>
      <c r="BE113" s="233"/>
      <c r="BF113" s="233"/>
      <c r="BG113" s="233"/>
      <c r="BH113" s="233"/>
      <c r="BI113" s="233"/>
      <c r="BJ113" s="233"/>
      <c r="BK113" s="233"/>
    </row>
    <row r="114" spans="1:63">
      <c r="A114" s="233"/>
      <c r="B114" s="272"/>
      <c r="C114" s="233"/>
      <c r="D114" s="272"/>
      <c r="E114" s="233"/>
      <c r="F114" s="233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233"/>
      <c r="AK114" s="233"/>
      <c r="AL114" s="233"/>
      <c r="AM114" s="233"/>
      <c r="AN114" s="233"/>
      <c r="AO114" s="233"/>
      <c r="AP114" s="233"/>
      <c r="AQ114" s="233"/>
      <c r="AR114" s="233"/>
      <c r="AS114" s="233"/>
      <c r="AT114" s="233"/>
      <c r="AU114" s="233"/>
      <c r="AV114" s="233"/>
      <c r="AW114" s="233"/>
      <c r="AX114" s="233"/>
      <c r="AY114" s="233"/>
      <c r="AZ114" s="233"/>
      <c r="BA114" s="233"/>
      <c r="BB114" s="233"/>
      <c r="BC114" s="233"/>
      <c r="BD114" s="233"/>
      <c r="BE114" s="233"/>
      <c r="BF114" s="233"/>
      <c r="BG114" s="233"/>
      <c r="BH114" s="233"/>
      <c r="BI114" s="233"/>
      <c r="BJ114" s="233"/>
      <c r="BK114" s="233"/>
    </row>
    <row r="115" spans="1:63">
      <c r="A115" s="233"/>
      <c r="B115" s="272"/>
      <c r="C115" s="233"/>
      <c r="D115" s="272"/>
      <c r="E115" s="233"/>
      <c r="F115" s="233"/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  <c r="AA115" s="233"/>
      <c r="AB115" s="233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  <c r="AM115" s="233"/>
      <c r="AN115" s="233"/>
      <c r="AO115" s="233"/>
      <c r="AP115" s="233"/>
      <c r="AQ115" s="233"/>
      <c r="AR115" s="233"/>
      <c r="AS115" s="233"/>
      <c r="AT115" s="233"/>
      <c r="AU115" s="233"/>
      <c r="AV115" s="233"/>
      <c r="AW115" s="233"/>
      <c r="AX115" s="233"/>
      <c r="AY115" s="233"/>
      <c r="AZ115" s="233"/>
      <c r="BA115" s="233"/>
      <c r="BB115" s="233"/>
      <c r="BC115" s="233"/>
      <c r="BD115" s="233"/>
      <c r="BE115" s="233"/>
      <c r="BF115" s="233"/>
      <c r="BG115" s="233"/>
      <c r="BH115" s="233"/>
      <c r="BI115" s="233"/>
      <c r="BJ115" s="233"/>
      <c r="BK115" s="233"/>
    </row>
    <row r="116" spans="1:63">
      <c r="A116" s="233"/>
      <c r="B116" s="272"/>
      <c r="C116" s="233"/>
      <c r="D116" s="272"/>
      <c r="E116" s="233"/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  <c r="AA116" s="233"/>
      <c r="AB116" s="233"/>
      <c r="AC116" s="233"/>
      <c r="AD116" s="233"/>
      <c r="AE116" s="233"/>
      <c r="AF116" s="233"/>
      <c r="AG116" s="233"/>
      <c r="AH116" s="233"/>
      <c r="AI116" s="233"/>
      <c r="AJ116" s="233"/>
      <c r="AK116" s="233"/>
      <c r="AL116" s="233"/>
      <c r="AM116" s="233"/>
      <c r="AN116" s="233"/>
      <c r="AO116" s="233"/>
      <c r="AP116" s="233"/>
      <c r="AQ116" s="233"/>
      <c r="AR116" s="233"/>
      <c r="AS116" s="233"/>
      <c r="AT116" s="233"/>
      <c r="AU116" s="233"/>
      <c r="AV116" s="233"/>
      <c r="AW116" s="233"/>
      <c r="AX116" s="233"/>
      <c r="AY116" s="233"/>
      <c r="AZ116" s="233"/>
      <c r="BA116" s="233"/>
      <c r="BB116" s="233"/>
      <c r="BC116" s="233"/>
      <c r="BD116" s="233"/>
      <c r="BE116" s="233"/>
      <c r="BF116" s="233"/>
      <c r="BG116" s="233"/>
      <c r="BH116" s="233"/>
      <c r="BI116" s="233"/>
      <c r="BJ116" s="233"/>
      <c r="BK116" s="233"/>
    </row>
    <row r="117" spans="1:63">
      <c r="A117" s="233"/>
      <c r="B117" s="272"/>
      <c r="C117" s="233"/>
      <c r="D117" s="272"/>
      <c r="E117" s="233"/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  <c r="AA117" s="233"/>
      <c r="AB117" s="233"/>
      <c r="AC117" s="233"/>
      <c r="AD117" s="233"/>
      <c r="AE117" s="233"/>
      <c r="AF117" s="233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33"/>
      <c r="AU117" s="233"/>
      <c r="AV117" s="233"/>
      <c r="AW117" s="233"/>
      <c r="AX117" s="233"/>
      <c r="AY117" s="233"/>
      <c r="AZ117" s="233"/>
      <c r="BA117" s="233"/>
      <c r="BB117" s="233"/>
      <c r="BC117" s="233"/>
      <c r="BD117" s="233"/>
      <c r="BE117" s="233"/>
      <c r="BF117" s="233"/>
      <c r="BG117" s="233"/>
      <c r="BH117" s="233"/>
      <c r="BI117" s="233"/>
      <c r="BJ117" s="233"/>
      <c r="BK117" s="233"/>
    </row>
    <row r="118" spans="1:63">
      <c r="A118" s="233"/>
      <c r="B118" s="272"/>
      <c r="C118" s="233"/>
      <c r="D118" s="272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  <c r="AA118" s="233"/>
      <c r="AB118" s="233"/>
      <c r="AC118" s="233"/>
      <c r="AD118" s="233"/>
      <c r="AE118" s="233"/>
      <c r="AF118" s="233"/>
      <c r="AG118" s="233"/>
      <c r="AH118" s="233"/>
      <c r="AI118" s="233"/>
      <c r="AJ118" s="233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33"/>
      <c r="AU118" s="233"/>
      <c r="AV118" s="233"/>
      <c r="AW118" s="233"/>
      <c r="AX118" s="233"/>
      <c r="AY118" s="233"/>
      <c r="AZ118" s="233"/>
      <c r="BA118" s="233"/>
      <c r="BB118" s="233"/>
      <c r="BC118" s="233"/>
      <c r="BD118" s="233"/>
      <c r="BE118" s="233"/>
      <c r="BF118" s="233"/>
      <c r="BG118" s="233"/>
      <c r="BH118" s="233"/>
      <c r="BI118" s="233"/>
      <c r="BJ118" s="233"/>
      <c r="BK118" s="233"/>
    </row>
    <row r="119" spans="1:63">
      <c r="A119" s="233"/>
      <c r="B119" s="272"/>
      <c r="C119" s="233"/>
      <c r="D119" s="272"/>
      <c r="E119" s="233"/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  <c r="AA119" s="233"/>
      <c r="AB119" s="233"/>
      <c r="AC119" s="233"/>
      <c r="AD119" s="233"/>
      <c r="AE119" s="233"/>
      <c r="AF119" s="233"/>
      <c r="AG119" s="233"/>
      <c r="AH119" s="233"/>
      <c r="AI119" s="233"/>
      <c r="AJ119" s="233"/>
      <c r="AK119" s="233"/>
      <c r="AL119" s="233"/>
      <c r="AM119" s="233"/>
      <c r="AN119" s="233"/>
      <c r="AO119" s="233"/>
      <c r="AP119" s="233"/>
      <c r="AQ119" s="233"/>
      <c r="AR119" s="233"/>
      <c r="AS119" s="233"/>
      <c r="AT119" s="233"/>
      <c r="AU119" s="233"/>
      <c r="AV119" s="233"/>
      <c r="AW119" s="233"/>
      <c r="AX119" s="233"/>
      <c r="AY119" s="233"/>
      <c r="AZ119" s="233"/>
      <c r="BA119" s="233"/>
      <c r="BB119" s="233"/>
      <c r="BC119" s="233"/>
      <c r="BD119" s="233"/>
      <c r="BE119" s="233"/>
      <c r="BF119" s="233"/>
      <c r="BG119" s="233"/>
      <c r="BH119" s="233"/>
      <c r="BI119" s="233"/>
      <c r="BJ119" s="233"/>
      <c r="BK119" s="233"/>
    </row>
    <row r="120" spans="1:63">
      <c r="A120" s="233"/>
      <c r="B120" s="272"/>
      <c r="C120" s="233"/>
      <c r="D120" s="272"/>
      <c r="E120" s="233"/>
      <c r="F120" s="233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  <c r="AA120" s="233"/>
      <c r="AB120" s="233"/>
      <c r="AC120" s="233"/>
      <c r="AD120" s="233"/>
      <c r="AE120" s="233"/>
      <c r="AF120" s="233"/>
      <c r="AG120" s="233"/>
      <c r="AH120" s="233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33"/>
      <c r="AU120" s="233"/>
      <c r="AV120" s="233"/>
      <c r="AW120" s="233"/>
      <c r="AX120" s="233"/>
      <c r="AY120" s="233"/>
      <c r="AZ120" s="233"/>
      <c r="BA120" s="233"/>
      <c r="BB120" s="233"/>
      <c r="BC120" s="233"/>
      <c r="BD120" s="233"/>
      <c r="BE120" s="233"/>
      <c r="BF120" s="233"/>
      <c r="BG120" s="233"/>
      <c r="BH120" s="233"/>
      <c r="BI120" s="233"/>
      <c r="BJ120" s="233"/>
      <c r="BK120" s="233"/>
    </row>
    <row r="121" spans="1:63">
      <c r="A121" s="233"/>
      <c r="B121" s="272"/>
      <c r="C121" s="233"/>
      <c r="D121" s="272"/>
      <c r="E121" s="233"/>
      <c r="F121" s="233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  <c r="AA121" s="233"/>
      <c r="AB121" s="233"/>
      <c r="AC121" s="233"/>
      <c r="AD121" s="233"/>
      <c r="AE121" s="233"/>
      <c r="AF121" s="233"/>
      <c r="AG121" s="233"/>
      <c r="AH121" s="233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33"/>
      <c r="AU121" s="233"/>
      <c r="AV121" s="233"/>
      <c r="AW121" s="233"/>
      <c r="AX121" s="233"/>
      <c r="AY121" s="233"/>
      <c r="AZ121" s="233"/>
      <c r="BA121" s="233"/>
      <c r="BB121" s="233"/>
      <c r="BC121" s="233"/>
      <c r="BD121" s="233"/>
      <c r="BE121" s="233"/>
      <c r="BF121" s="233"/>
      <c r="BG121" s="233"/>
      <c r="BH121" s="233"/>
      <c r="BI121" s="233"/>
      <c r="BJ121" s="233"/>
      <c r="BK121" s="233"/>
    </row>
    <row r="122" spans="1:63">
      <c r="A122" s="233"/>
      <c r="B122" s="272"/>
      <c r="C122" s="233"/>
      <c r="D122" s="272"/>
      <c r="E122" s="233"/>
      <c r="F122" s="233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  <c r="AZ122" s="233"/>
      <c r="BA122" s="233"/>
      <c r="BB122" s="233"/>
      <c r="BC122" s="233"/>
      <c r="BD122" s="233"/>
      <c r="BE122" s="233"/>
      <c r="BF122" s="233"/>
      <c r="BG122" s="233"/>
      <c r="BH122" s="233"/>
      <c r="BI122" s="233"/>
      <c r="BJ122" s="233"/>
      <c r="BK122" s="233"/>
    </row>
    <row r="123" spans="1:63">
      <c r="A123" s="233"/>
      <c r="B123" s="272"/>
      <c r="C123" s="233"/>
      <c r="D123" s="272"/>
      <c r="E123" s="233"/>
      <c r="F123" s="233"/>
      <c r="G123" s="233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  <c r="AZ123" s="233"/>
      <c r="BA123" s="233"/>
      <c r="BB123" s="233"/>
      <c r="BC123" s="233"/>
      <c r="BD123" s="233"/>
      <c r="BE123" s="233"/>
      <c r="BF123" s="233"/>
      <c r="BG123" s="233"/>
      <c r="BH123" s="233"/>
      <c r="BI123" s="233"/>
      <c r="BJ123" s="233"/>
      <c r="BK123" s="233"/>
    </row>
    <row r="124" spans="1:63">
      <c r="A124" s="233"/>
      <c r="B124" s="272"/>
      <c r="C124" s="233"/>
      <c r="D124" s="272"/>
      <c r="E124" s="233"/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233"/>
      <c r="AY124" s="233"/>
      <c r="AZ124" s="233"/>
      <c r="BA124" s="233"/>
      <c r="BB124" s="233"/>
      <c r="BC124" s="233"/>
      <c r="BD124" s="233"/>
      <c r="BE124" s="233"/>
      <c r="BF124" s="233"/>
      <c r="BG124" s="233"/>
      <c r="BH124" s="233"/>
      <c r="BI124" s="233"/>
      <c r="BJ124" s="233"/>
      <c r="BK124" s="233"/>
    </row>
    <row r="125" spans="1:63">
      <c r="A125" s="233"/>
      <c r="B125" s="272"/>
      <c r="C125" s="233"/>
      <c r="D125" s="272"/>
      <c r="E125" s="233"/>
      <c r="F125" s="233"/>
      <c r="G125" s="233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/>
      <c r="AZ125" s="233"/>
      <c r="BA125" s="233"/>
      <c r="BB125" s="233"/>
      <c r="BC125" s="233"/>
      <c r="BD125" s="233"/>
      <c r="BE125" s="233"/>
      <c r="BF125" s="233"/>
      <c r="BG125" s="233"/>
      <c r="BH125" s="233"/>
      <c r="BI125" s="233"/>
      <c r="BJ125" s="233"/>
      <c r="BK125" s="233"/>
    </row>
    <row r="126" spans="1:63">
      <c r="A126" s="233"/>
      <c r="B126" s="272"/>
      <c r="C126" s="233"/>
      <c r="D126" s="272"/>
      <c r="E126" s="233"/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33"/>
      <c r="BA126" s="233"/>
      <c r="BB126" s="233"/>
      <c r="BC126" s="233"/>
      <c r="BD126" s="233"/>
      <c r="BE126" s="233"/>
      <c r="BF126" s="233"/>
      <c r="BG126" s="233"/>
      <c r="BH126" s="233"/>
      <c r="BI126" s="233"/>
      <c r="BJ126" s="233"/>
      <c r="BK126" s="233"/>
    </row>
    <row r="127" spans="1:63">
      <c r="A127" s="233"/>
      <c r="B127" s="272"/>
      <c r="C127" s="233"/>
      <c r="D127" s="272"/>
      <c r="E127" s="233"/>
      <c r="F127" s="233"/>
      <c r="G127" s="233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3"/>
      <c r="BH127" s="233"/>
      <c r="BI127" s="233"/>
      <c r="BJ127" s="233"/>
      <c r="BK127" s="233"/>
    </row>
    <row r="128" spans="1:63">
      <c r="A128" s="233"/>
      <c r="B128" s="272"/>
      <c r="C128" s="233"/>
      <c r="D128" s="272"/>
      <c r="E128" s="233"/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  <c r="AZ128" s="233"/>
      <c r="BA128" s="233"/>
      <c r="BB128" s="233"/>
      <c r="BC128" s="233"/>
      <c r="BD128" s="233"/>
      <c r="BE128" s="233"/>
      <c r="BF128" s="233"/>
      <c r="BG128" s="233"/>
      <c r="BH128" s="233"/>
      <c r="BI128" s="233"/>
      <c r="BJ128" s="233"/>
      <c r="BK128" s="233"/>
    </row>
    <row r="129" spans="1:63">
      <c r="A129" s="233"/>
      <c r="B129" s="272"/>
      <c r="C129" s="233"/>
      <c r="D129" s="272"/>
      <c r="E129" s="233"/>
      <c r="F129" s="233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233"/>
      <c r="AW129" s="233"/>
      <c r="AX129" s="233"/>
      <c r="AY129" s="233"/>
      <c r="AZ129" s="233"/>
      <c r="BA129" s="233"/>
      <c r="BB129" s="233"/>
      <c r="BC129" s="233"/>
      <c r="BD129" s="233"/>
      <c r="BE129" s="233"/>
      <c r="BF129" s="233"/>
      <c r="BG129" s="233"/>
      <c r="BH129" s="233"/>
      <c r="BI129" s="233"/>
      <c r="BJ129" s="233"/>
      <c r="BK129" s="233"/>
    </row>
    <row r="130" spans="1:63">
      <c r="A130" s="233"/>
      <c r="B130" s="272"/>
      <c r="C130" s="233"/>
      <c r="D130" s="272"/>
      <c r="E130" s="233"/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3"/>
      <c r="BH130" s="233"/>
      <c r="BI130" s="233"/>
      <c r="BJ130" s="233"/>
      <c r="BK130" s="233"/>
    </row>
    <row r="131" spans="1:63">
      <c r="A131" s="233"/>
      <c r="B131" s="272"/>
      <c r="C131" s="233"/>
      <c r="D131" s="272"/>
      <c r="E131" s="233"/>
      <c r="F131" s="233"/>
      <c r="G131" s="233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  <c r="AY131" s="233"/>
      <c r="AZ131" s="233"/>
      <c r="BA131" s="233"/>
      <c r="BB131" s="233"/>
      <c r="BC131" s="233"/>
      <c r="BD131" s="233"/>
      <c r="BE131" s="233"/>
      <c r="BF131" s="233"/>
      <c r="BG131" s="233"/>
      <c r="BH131" s="233"/>
      <c r="BI131" s="233"/>
      <c r="BJ131" s="233"/>
      <c r="BK131" s="233"/>
    </row>
    <row r="132" spans="1:63">
      <c r="A132" s="233"/>
      <c r="B132" s="272"/>
      <c r="C132" s="233"/>
      <c r="D132" s="272"/>
      <c r="E132" s="233"/>
      <c r="F132" s="233"/>
      <c r="G132" s="233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33"/>
      <c r="AU132" s="233"/>
      <c r="AV132" s="233"/>
      <c r="AW132" s="233"/>
      <c r="AX132" s="233"/>
      <c r="AY132" s="233"/>
      <c r="AZ132" s="233"/>
      <c r="BA132" s="233"/>
      <c r="BB132" s="233"/>
      <c r="BC132" s="233"/>
      <c r="BD132" s="233"/>
      <c r="BE132" s="233"/>
      <c r="BF132" s="233"/>
      <c r="BG132" s="233"/>
      <c r="BH132" s="233"/>
      <c r="BI132" s="233"/>
      <c r="BJ132" s="233"/>
      <c r="BK132" s="233"/>
    </row>
    <row r="133" spans="1:63">
      <c r="A133" s="233"/>
      <c r="B133" s="272"/>
      <c r="C133" s="233"/>
      <c r="D133" s="272"/>
      <c r="E133" s="233"/>
      <c r="F133" s="233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/>
      <c r="AZ133" s="233"/>
      <c r="BA133" s="233"/>
      <c r="BB133" s="233"/>
      <c r="BC133" s="233"/>
      <c r="BD133" s="233"/>
      <c r="BE133" s="233"/>
      <c r="BF133" s="233"/>
      <c r="BG133" s="233"/>
      <c r="BH133" s="233"/>
      <c r="BI133" s="233"/>
      <c r="BJ133" s="233"/>
      <c r="BK133" s="233"/>
    </row>
    <row r="134" spans="1:63">
      <c r="A134" s="233"/>
      <c r="B134" s="272"/>
      <c r="C134" s="233"/>
      <c r="D134" s="272"/>
      <c r="E134" s="233"/>
      <c r="F134" s="233"/>
      <c r="G134" s="233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  <c r="AI134" s="233"/>
      <c r="AJ134" s="233"/>
      <c r="AK134" s="233"/>
      <c r="AL134" s="233"/>
      <c r="AM134" s="233"/>
      <c r="AN134" s="233"/>
      <c r="AO134" s="233"/>
      <c r="AP134" s="233"/>
      <c r="AQ134" s="233"/>
      <c r="AR134" s="233"/>
      <c r="AS134" s="233"/>
      <c r="AT134" s="233"/>
      <c r="AU134" s="233"/>
      <c r="AV134" s="233"/>
      <c r="AW134" s="233"/>
      <c r="AX134" s="233"/>
      <c r="AY134" s="233"/>
      <c r="AZ134" s="233"/>
      <c r="BA134" s="233"/>
      <c r="BB134" s="233"/>
      <c r="BC134" s="233"/>
      <c r="BD134" s="233"/>
      <c r="BE134" s="233"/>
      <c r="BF134" s="233"/>
      <c r="BG134" s="233"/>
      <c r="BH134" s="233"/>
      <c r="BI134" s="233"/>
      <c r="BJ134" s="233"/>
      <c r="BK134" s="233"/>
    </row>
    <row r="135" spans="1:63">
      <c r="A135" s="233"/>
      <c r="B135" s="272"/>
      <c r="C135" s="233"/>
      <c r="D135" s="272"/>
      <c r="E135" s="233"/>
      <c r="F135" s="233"/>
      <c r="G135" s="233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233"/>
      <c r="AU135" s="233"/>
      <c r="AV135" s="233"/>
      <c r="AW135" s="233"/>
      <c r="AX135" s="233"/>
      <c r="AY135" s="233"/>
      <c r="AZ135" s="233"/>
      <c r="BA135" s="233"/>
      <c r="BB135" s="233"/>
      <c r="BC135" s="233"/>
      <c r="BD135" s="233"/>
      <c r="BE135" s="233"/>
      <c r="BF135" s="233"/>
      <c r="BG135" s="233"/>
      <c r="BH135" s="233"/>
      <c r="BI135" s="233"/>
      <c r="BJ135" s="233"/>
      <c r="BK135" s="233"/>
    </row>
    <row r="136" spans="1:63">
      <c r="A136" s="233"/>
      <c r="B136" s="272"/>
      <c r="C136" s="233"/>
      <c r="D136" s="272"/>
      <c r="E136" s="233"/>
      <c r="F136" s="233"/>
      <c r="G136" s="233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33"/>
      <c r="AU136" s="233"/>
      <c r="AV136" s="233"/>
      <c r="AW136" s="233"/>
      <c r="AX136" s="233"/>
      <c r="AY136" s="233"/>
      <c r="AZ136" s="233"/>
      <c r="BA136" s="233"/>
      <c r="BB136" s="233"/>
      <c r="BC136" s="233"/>
      <c r="BD136" s="233"/>
      <c r="BE136" s="233"/>
      <c r="BF136" s="233"/>
      <c r="BG136" s="233"/>
      <c r="BH136" s="233"/>
      <c r="BI136" s="233"/>
      <c r="BJ136" s="233"/>
      <c r="BK136" s="233"/>
    </row>
    <row r="137" spans="1:63">
      <c r="A137" s="233"/>
      <c r="B137" s="272"/>
      <c r="C137" s="233"/>
      <c r="D137" s="272"/>
      <c r="E137" s="233"/>
      <c r="F137" s="233"/>
      <c r="G137" s="233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233"/>
      <c r="AK137" s="233"/>
      <c r="AL137" s="233"/>
      <c r="AM137" s="233"/>
      <c r="AN137" s="233"/>
      <c r="AO137" s="233"/>
      <c r="AP137" s="233"/>
      <c r="AQ137" s="233"/>
      <c r="AR137" s="233"/>
      <c r="AS137" s="233"/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3"/>
      <c r="BH137" s="233"/>
      <c r="BI137" s="233"/>
      <c r="BJ137" s="233"/>
      <c r="BK137" s="233"/>
    </row>
    <row r="138" spans="1:63">
      <c r="A138" s="233"/>
      <c r="B138" s="272"/>
      <c r="C138" s="233"/>
      <c r="D138" s="272"/>
      <c r="E138" s="233"/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33"/>
      <c r="AW138" s="233"/>
      <c r="AX138" s="233"/>
      <c r="AY138" s="233"/>
      <c r="AZ138" s="233"/>
      <c r="BA138" s="233"/>
      <c r="BB138" s="233"/>
      <c r="BC138" s="233"/>
      <c r="BD138" s="233"/>
      <c r="BE138" s="233"/>
      <c r="BF138" s="233"/>
      <c r="BG138" s="233"/>
      <c r="BH138" s="233"/>
      <c r="BI138" s="233"/>
      <c r="BJ138" s="233"/>
      <c r="BK138" s="233"/>
    </row>
    <row r="139" spans="1:63">
      <c r="A139" s="233"/>
      <c r="B139" s="272"/>
      <c r="C139" s="233"/>
      <c r="D139" s="272"/>
      <c r="E139" s="233"/>
      <c r="F139" s="233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233"/>
      <c r="AK139" s="233"/>
      <c r="AL139" s="233"/>
      <c r="AM139" s="233"/>
      <c r="AN139" s="233"/>
      <c r="AO139" s="233"/>
      <c r="AP139" s="233"/>
      <c r="AQ139" s="233"/>
      <c r="AR139" s="233"/>
      <c r="AS139" s="233"/>
      <c r="AT139" s="233"/>
      <c r="AU139" s="233"/>
      <c r="AV139" s="233"/>
      <c r="AW139" s="233"/>
      <c r="AX139" s="233"/>
      <c r="AY139" s="233"/>
      <c r="AZ139" s="233"/>
      <c r="BA139" s="233"/>
      <c r="BB139" s="233"/>
      <c r="BC139" s="233"/>
      <c r="BD139" s="233"/>
      <c r="BE139" s="233"/>
      <c r="BF139" s="233"/>
      <c r="BG139" s="233"/>
      <c r="BH139" s="233"/>
      <c r="BI139" s="233"/>
      <c r="BJ139" s="233"/>
      <c r="BK139" s="233"/>
    </row>
    <row r="140" spans="1:63">
      <c r="A140" s="233"/>
      <c r="B140" s="272"/>
      <c r="C140" s="233"/>
      <c r="D140" s="272"/>
      <c r="E140" s="233"/>
      <c r="F140" s="233"/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33"/>
      <c r="AN140" s="233"/>
      <c r="AO140" s="233"/>
      <c r="AP140" s="233"/>
      <c r="AQ140" s="233"/>
      <c r="AR140" s="233"/>
      <c r="AS140" s="233"/>
      <c r="AT140" s="233"/>
      <c r="AU140" s="233"/>
      <c r="AV140" s="233"/>
      <c r="AW140" s="233"/>
      <c r="AX140" s="233"/>
      <c r="AY140" s="233"/>
      <c r="AZ140" s="233"/>
      <c r="BA140" s="233"/>
      <c r="BB140" s="233"/>
      <c r="BC140" s="233"/>
      <c r="BD140" s="233"/>
      <c r="BE140" s="233"/>
      <c r="BF140" s="233"/>
      <c r="BG140" s="233"/>
      <c r="BH140" s="233"/>
      <c r="BI140" s="233"/>
      <c r="BJ140" s="233"/>
      <c r="BK140" s="233"/>
    </row>
    <row r="141" spans="1:63">
      <c r="A141" s="233"/>
      <c r="B141" s="272"/>
      <c r="C141" s="233"/>
      <c r="D141" s="272"/>
      <c r="E141" s="233"/>
      <c r="F141" s="233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233"/>
      <c r="AK141" s="233"/>
      <c r="AL141" s="233"/>
      <c r="AM141" s="233"/>
      <c r="AN141" s="233"/>
      <c r="AO141" s="233"/>
      <c r="AP141" s="233"/>
      <c r="AQ141" s="233"/>
      <c r="AR141" s="233"/>
      <c r="AS141" s="233"/>
      <c r="AT141" s="233"/>
      <c r="AU141" s="233"/>
      <c r="AV141" s="233"/>
      <c r="AW141" s="233"/>
      <c r="AX141" s="233"/>
      <c r="AY141" s="233"/>
      <c r="AZ141" s="233"/>
      <c r="BA141" s="233"/>
      <c r="BB141" s="233"/>
      <c r="BC141" s="233"/>
      <c r="BD141" s="233"/>
      <c r="BE141" s="233"/>
      <c r="BF141" s="233"/>
      <c r="BG141" s="233"/>
      <c r="BH141" s="233"/>
      <c r="BI141" s="233"/>
      <c r="BJ141" s="233"/>
      <c r="BK141" s="233"/>
    </row>
    <row r="142" spans="1:63">
      <c r="A142" s="233"/>
      <c r="B142" s="272"/>
      <c r="C142" s="233"/>
      <c r="D142" s="272"/>
      <c r="E142" s="233"/>
      <c r="F142" s="233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33"/>
      <c r="AJ142" s="233"/>
      <c r="AK142" s="233"/>
      <c r="AL142" s="233"/>
      <c r="AM142" s="233"/>
      <c r="AN142" s="233"/>
      <c r="AO142" s="233"/>
      <c r="AP142" s="233"/>
      <c r="AQ142" s="233"/>
      <c r="AR142" s="233"/>
      <c r="AS142" s="233"/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3"/>
      <c r="BH142" s="233"/>
      <c r="BI142" s="233"/>
      <c r="BJ142" s="233"/>
      <c r="BK142" s="233"/>
    </row>
    <row r="143" spans="1:63">
      <c r="A143" s="233"/>
      <c r="B143" s="272"/>
      <c r="C143" s="233"/>
      <c r="D143" s="272"/>
      <c r="E143" s="233"/>
      <c r="F143" s="233"/>
      <c r="G143" s="233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  <c r="AA143" s="233"/>
      <c r="AB143" s="233"/>
      <c r="AC143" s="233"/>
      <c r="AD143" s="233"/>
      <c r="AE143" s="233"/>
      <c r="AF143" s="233"/>
      <c r="AG143" s="233"/>
      <c r="AH143" s="233"/>
      <c r="AI143" s="233"/>
      <c r="AJ143" s="233"/>
      <c r="AK143" s="233"/>
      <c r="AL143" s="233"/>
      <c r="AM143" s="233"/>
      <c r="AN143" s="233"/>
      <c r="AO143" s="233"/>
      <c r="AP143" s="233"/>
      <c r="AQ143" s="233"/>
      <c r="AR143" s="233"/>
      <c r="AS143" s="233"/>
      <c r="AT143" s="233"/>
      <c r="AU143" s="233"/>
      <c r="AV143" s="233"/>
      <c r="AW143" s="233"/>
      <c r="AX143" s="233"/>
      <c r="AY143" s="233"/>
      <c r="AZ143" s="233"/>
      <c r="BA143" s="233"/>
      <c r="BB143" s="233"/>
      <c r="BC143" s="233"/>
      <c r="BD143" s="233"/>
      <c r="BE143" s="233"/>
      <c r="BF143" s="233"/>
      <c r="BG143" s="233"/>
      <c r="BH143" s="233"/>
      <c r="BI143" s="233"/>
      <c r="BJ143" s="233"/>
      <c r="BK143" s="233"/>
    </row>
    <row r="144" spans="1:63">
      <c r="A144" s="233"/>
      <c r="B144" s="272"/>
      <c r="C144" s="233"/>
      <c r="D144" s="272"/>
      <c r="E144" s="233"/>
      <c r="F144" s="233"/>
      <c r="G144" s="233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  <c r="AA144" s="233"/>
      <c r="AB144" s="233"/>
      <c r="AC144" s="233"/>
      <c r="AD144" s="233"/>
      <c r="AE144" s="233"/>
      <c r="AF144" s="233"/>
      <c r="AG144" s="233"/>
      <c r="AH144" s="233"/>
      <c r="AI144" s="233"/>
      <c r="AJ144" s="233"/>
      <c r="AK144" s="233"/>
      <c r="AL144" s="233"/>
      <c r="AM144" s="233"/>
      <c r="AN144" s="233"/>
      <c r="AO144" s="233"/>
      <c r="AP144" s="233"/>
      <c r="AQ144" s="233"/>
      <c r="AR144" s="233"/>
      <c r="AS144" s="233"/>
      <c r="AT144" s="233"/>
      <c r="AU144" s="233"/>
      <c r="AV144" s="233"/>
      <c r="AW144" s="233"/>
      <c r="AX144" s="233"/>
      <c r="AY144" s="233"/>
      <c r="AZ144" s="233"/>
      <c r="BA144" s="233"/>
      <c r="BB144" s="233"/>
      <c r="BC144" s="233"/>
      <c r="BD144" s="233"/>
      <c r="BE144" s="233"/>
      <c r="BF144" s="233"/>
      <c r="BG144" s="233"/>
      <c r="BH144" s="233"/>
      <c r="BI144" s="233"/>
      <c r="BJ144" s="233"/>
      <c r="BK144" s="233"/>
    </row>
    <row r="145" spans="1:63">
      <c r="A145" s="233"/>
      <c r="B145" s="233"/>
      <c r="C145" s="233"/>
      <c r="D145" s="233"/>
      <c r="E145" s="233"/>
      <c r="F145" s="233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  <c r="AA145" s="233"/>
      <c r="AB145" s="233"/>
      <c r="AC145" s="233"/>
      <c r="AD145" s="233"/>
      <c r="AE145" s="233"/>
      <c r="AF145" s="233"/>
      <c r="AG145" s="233"/>
      <c r="AH145" s="233"/>
      <c r="AI145" s="233"/>
      <c r="AJ145" s="233"/>
      <c r="AK145" s="233"/>
      <c r="AL145" s="233"/>
      <c r="AM145" s="233"/>
      <c r="AN145" s="233"/>
      <c r="AO145" s="233"/>
      <c r="AP145" s="233"/>
      <c r="AQ145" s="233"/>
      <c r="AR145" s="233"/>
      <c r="AS145" s="233"/>
      <c r="AT145" s="233"/>
      <c r="AU145" s="233"/>
      <c r="AV145" s="233"/>
      <c r="AW145" s="233"/>
      <c r="AX145" s="233"/>
      <c r="AY145" s="233"/>
      <c r="AZ145" s="233"/>
      <c r="BA145" s="233"/>
      <c r="BB145" s="233"/>
      <c r="BC145" s="233"/>
      <c r="BD145" s="233"/>
      <c r="BE145" s="233"/>
      <c r="BF145" s="233"/>
      <c r="BG145" s="233"/>
      <c r="BH145" s="233"/>
      <c r="BI145" s="233"/>
      <c r="BJ145" s="233"/>
      <c r="BK145" s="233"/>
    </row>
    <row r="146" spans="1:63">
      <c r="A146" s="233"/>
      <c r="B146" s="233"/>
      <c r="C146" s="233"/>
      <c r="D146" s="233"/>
      <c r="E146" s="233"/>
      <c r="F146" s="233"/>
      <c r="G146" s="233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  <c r="AA146" s="233"/>
      <c r="AB146" s="233"/>
      <c r="AC146" s="233"/>
      <c r="AD146" s="233"/>
      <c r="AE146" s="233"/>
      <c r="AF146" s="233"/>
      <c r="AG146" s="233"/>
      <c r="AH146" s="233"/>
      <c r="AI146" s="233"/>
      <c r="AJ146" s="233"/>
      <c r="AK146" s="233"/>
      <c r="AL146" s="233"/>
      <c r="AM146" s="233"/>
      <c r="AN146" s="233"/>
      <c r="AO146" s="233"/>
      <c r="AP146" s="233"/>
      <c r="AQ146" s="233"/>
      <c r="AR146" s="233"/>
      <c r="AS146" s="233"/>
      <c r="AT146" s="233"/>
      <c r="AU146" s="233"/>
      <c r="AV146" s="233"/>
      <c r="AW146" s="233"/>
      <c r="AX146" s="233"/>
      <c r="AY146" s="233"/>
      <c r="AZ146" s="233"/>
      <c r="BA146" s="233"/>
      <c r="BB146" s="233"/>
      <c r="BC146" s="233"/>
      <c r="BD146" s="233"/>
      <c r="BE146" s="233"/>
      <c r="BF146" s="233"/>
      <c r="BG146" s="233"/>
      <c r="BH146" s="233"/>
      <c r="BI146" s="233"/>
      <c r="BJ146" s="233"/>
      <c r="BK146" s="233"/>
    </row>
    <row r="147" spans="1:63">
      <c r="A147" s="233"/>
      <c r="B147" s="233"/>
      <c r="C147" s="233"/>
      <c r="D147" s="233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  <c r="AA147" s="233"/>
      <c r="AB147" s="233"/>
      <c r="AC147" s="233"/>
      <c r="AD147" s="233"/>
      <c r="AE147" s="233"/>
      <c r="AF147" s="233"/>
      <c r="AG147" s="233"/>
      <c r="AH147" s="233"/>
      <c r="AI147" s="233"/>
      <c r="AJ147" s="233"/>
      <c r="AK147" s="233"/>
      <c r="AL147" s="233"/>
      <c r="AM147" s="233"/>
      <c r="AN147" s="233"/>
      <c r="AO147" s="233"/>
      <c r="AP147" s="233"/>
      <c r="AQ147" s="233"/>
      <c r="AR147" s="233"/>
      <c r="AS147" s="233"/>
      <c r="AT147" s="233"/>
      <c r="AU147" s="233"/>
      <c r="AV147" s="233"/>
      <c r="AW147" s="233"/>
      <c r="AX147" s="233"/>
      <c r="AY147" s="233"/>
      <c r="AZ147" s="233"/>
      <c r="BA147" s="233"/>
      <c r="BB147" s="233"/>
      <c r="BC147" s="233"/>
      <c r="BD147" s="233"/>
      <c r="BE147" s="233"/>
      <c r="BF147" s="233"/>
      <c r="BG147" s="233"/>
      <c r="BH147" s="233"/>
      <c r="BI147" s="233"/>
      <c r="BJ147" s="233"/>
      <c r="BK147" s="233"/>
    </row>
    <row r="148" spans="1:63">
      <c r="A148" s="233"/>
      <c r="B148" s="233"/>
      <c r="C148" s="233"/>
      <c r="D148" s="233"/>
      <c r="E148" s="233"/>
      <c r="F148" s="233"/>
      <c r="G148" s="233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  <c r="AA148" s="233"/>
      <c r="AB148" s="233"/>
      <c r="AC148" s="233"/>
      <c r="AD148" s="233"/>
      <c r="AE148" s="233"/>
      <c r="AF148" s="233"/>
      <c r="AG148" s="233"/>
      <c r="AH148" s="233"/>
      <c r="AI148" s="233"/>
      <c r="AJ148" s="233"/>
      <c r="AK148" s="233"/>
      <c r="AL148" s="233"/>
      <c r="AM148" s="233"/>
      <c r="AN148" s="233"/>
      <c r="AO148" s="233"/>
      <c r="AP148" s="233"/>
      <c r="AQ148" s="233"/>
      <c r="AR148" s="233"/>
      <c r="AS148" s="233"/>
      <c r="AT148" s="233"/>
      <c r="AU148" s="233"/>
      <c r="AV148" s="233"/>
      <c r="AW148" s="233"/>
      <c r="AX148" s="233"/>
      <c r="AY148" s="233"/>
      <c r="AZ148" s="233"/>
      <c r="BA148" s="233"/>
      <c r="BB148" s="233"/>
      <c r="BC148" s="233"/>
      <c r="BD148" s="233"/>
      <c r="BE148" s="233"/>
      <c r="BF148" s="233"/>
      <c r="BG148" s="233"/>
      <c r="BH148" s="233"/>
      <c r="BI148" s="233"/>
      <c r="BJ148" s="233"/>
      <c r="BK148" s="233"/>
    </row>
    <row r="149" spans="1:63">
      <c r="A149" s="233"/>
      <c r="B149" s="233"/>
      <c r="C149" s="233"/>
      <c r="D149" s="233"/>
      <c r="E149" s="233"/>
      <c r="F149" s="233"/>
      <c r="G149" s="233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  <c r="AA149" s="233"/>
      <c r="AB149" s="233"/>
      <c r="AC149" s="233"/>
      <c r="AD149" s="233"/>
      <c r="AE149" s="233"/>
      <c r="AF149" s="233"/>
      <c r="AG149" s="233"/>
      <c r="AH149" s="233"/>
      <c r="AI149" s="233"/>
      <c r="AJ149" s="233"/>
      <c r="AK149" s="233"/>
      <c r="AL149" s="233"/>
      <c r="AM149" s="233"/>
      <c r="AN149" s="233"/>
      <c r="AO149" s="233"/>
      <c r="AP149" s="233"/>
      <c r="AQ149" s="233"/>
      <c r="AR149" s="233"/>
      <c r="AS149" s="233"/>
      <c r="AT149" s="233"/>
      <c r="AU149" s="233"/>
      <c r="AV149" s="233"/>
      <c r="AW149" s="233"/>
      <c r="AX149" s="233"/>
      <c r="AY149" s="233"/>
      <c r="AZ149" s="233"/>
      <c r="BA149" s="233"/>
      <c r="BB149" s="233"/>
      <c r="BC149" s="233"/>
      <c r="BD149" s="233"/>
      <c r="BE149" s="233"/>
      <c r="BF149" s="233"/>
      <c r="BG149" s="233"/>
      <c r="BH149" s="233"/>
      <c r="BI149" s="233"/>
      <c r="BJ149" s="233"/>
      <c r="BK149" s="23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4B084"/>
  </sheetPr>
  <dimension ref="A1:BK149"/>
  <sheetViews>
    <sheetView zoomScale="98" workbookViewId="0">
      <pane xSplit="4" ySplit="3" topLeftCell="E93" activePane="bottomRight" state="frozen"/>
      <selection pane="topRight"/>
      <selection pane="bottomLeft"/>
      <selection pane="bottomRight" activeCell="A3" sqref="A3:XFD3"/>
    </sheetView>
  </sheetViews>
  <sheetFormatPr defaultRowHeight="14.5"/>
  <cols>
    <col min="1" max="1" width="36.1796875" customWidth="1"/>
    <col min="2" max="2" width="4.453125" style="54" customWidth="1"/>
    <col min="3" max="3" width="19.90625" style="49" customWidth="1"/>
    <col min="4" max="4" width="7.6328125" style="54" customWidth="1"/>
    <col min="5" max="5" width="11.7265625" customWidth="1"/>
    <col min="6" max="8" width="10.7265625" style="59" customWidth="1"/>
    <col min="9" max="9" width="11.7265625" customWidth="1"/>
    <col min="10" max="10" width="12" bestFit="1" customWidth="1"/>
    <col min="11" max="11" width="10.7265625" style="218" customWidth="1"/>
    <col min="12" max="15" width="11.7265625" customWidth="1"/>
    <col min="16" max="16" width="12" bestFit="1" customWidth="1"/>
    <col min="17" max="18" width="11.7265625" customWidth="1"/>
    <col min="19" max="19" width="12" bestFit="1" customWidth="1"/>
    <col min="20" max="24" width="11.7265625" customWidth="1"/>
    <col min="28" max="28" width="19.6328125" bestFit="1" customWidth="1"/>
    <col min="29" max="29" width="13.90625" bestFit="1" customWidth="1"/>
    <col min="30" max="30" width="10.81640625" bestFit="1" customWidth="1"/>
    <col min="31" max="31" width="18.26953125" bestFit="1" customWidth="1"/>
  </cols>
  <sheetData>
    <row r="1" spans="1:63">
      <c r="A1" s="233"/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</row>
    <row r="2" spans="1:63" s="229" customFormat="1">
      <c r="A2" s="236" t="s">
        <v>0</v>
      </c>
      <c r="B2" s="237"/>
      <c r="C2" s="237"/>
      <c r="D2" s="237"/>
      <c r="E2" s="238">
        <v>45657</v>
      </c>
      <c r="F2" s="238">
        <v>45747</v>
      </c>
      <c r="G2" s="238">
        <v>45838</v>
      </c>
      <c r="H2" s="238">
        <v>45930</v>
      </c>
      <c r="I2" s="238">
        <v>46022</v>
      </c>
      <c r="J2" s="238">
        <v>46112</v>
      </c>
      <c r="K2" s="238">
        <v>46203</v>
      </c>
      <c r="L2" s="238">
        <v>45747</v>
      </c>
      <c r="M2" s="238">
        <v>45838</v>
      </c>
      <c r="N2" s="238">
        <v>45930</v>
      </c>
      <c r="O2" s="238">
        <v>46022</v>
      </c>
      <c r="P2" s="238">
        <v>46112</v>
      </c>
      <c r="Q2" s="238">
        <v>46203</v>
      </c>
      <c r="R2" s="238">
        <v>46295</v>
      </c>
      <c r="S2" s="238">
        <v>46387</v>
      </c>
      <c r="T2" s="238">
        <v>46752</v>
      </c>
      <c r="U2" s="238">
        <v>47118</v>
      </c>
      <c r="V2" s="238">
        <v>47483</v>
      </c>
      <c r="W2" s="238">
        <v>47848</v>
      </c>
      <c r="X2" s="238"/>
      <c r="Y2" s="238"/>
      <c r="Z2" s="238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39"/>
      <c r="AN2" s="239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I2" s="239"/>
      <c r="BJ2" s="239"/>
      <c r="BK2" s="239"/>
    </row>
    <row r="3" spans="1:63" s="232" customFormat="1">
      <c r="A3" s="68"/>
      <c r="B3" s="230"/>
      <c r="C3" s="230"/>
      <c r="D3" s="230"/>
      <c r="E3" s="231" t="s">
        <v>56</v>
      </c>
      <c r="F3" s="68"/>
      <c r="G3" s="68"/>
      <c r="H3" s="68"/>
      <c r="I3" s="68"/>
      <c r="J3" s="68"/>
      <c r="K3" s="231"/>
      <c r="L3" s="231" t="s">
        <v>42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</row>
    <row r="4" spans="1:63" ht="18.5" customHeight="1">
      <c r="A4" s="233"/>
      <c r="B4" s="240" t="s">
        <v>42</v>
      </c>
      <c r="C4" s="241" t="s">
        <v>43</v>
      </c>
      <c r="D4" s="240" t="s">
        <v>3</v>
      </c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</row>
    <row r="5" spans="1:63">
      <c r="A5" s="273" t="s">
        <v>336</v>
      </c>
      <c r="B5" s="246"/>
      <c r="C5" s="247"/>
      <c r="D5" s="246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74"/>
      <c r="Z5" s="274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</row>
    <row r="6" spans="1:63">
      <c r="A6" s="248" t="s">
        <v>350</v>
      </c>
      <c r="B6" s="249" t="s">
        <v>25</v>
      </c>
      <c r="C6" s="250" t="s">
        <v>322</v>
      </c>
      <c r="D6" s="251" t="s">
        <v>351</v>
      </c>
      <c r="E6" s="257"/>
      <c r="F6" s="233"/>
      <c r="G6" s="233"/>
      <c r="H6" s="233"/>
      <c r="I6" s="253">
        <v>87500</v>
      </c>
      <c r="J6" s="253">
        <v>187500</v>
      </c>
      <c r="K6" s="233"/>
      <c r="L6" s="254">
        <v>87500</v>
      </c>
      <c r="M6" s="254">
        <v>87500</v>
      </c>
      <c r="N6" s="254">
        <v>87500</v>
      </c>
      <c r="O6" s="254">
        <v>87500</v>
      </c>
      <c r="P6" s="254">
        <v>187500</v>
      </c>
      <c r="Q6" s="254">
        <v>187500</v>
      </c>
      <c r="R6" s="254">
        <v>187500</v>
      </c>
      <c r="S6" s="254">
        <v>187500</v>
      </c>
      <c r="T6" s="254">
        <v>750000</v>
      </c>
      <c r="U6" s="254">
        <v>750000</v>
      </c>
      <c r="V6" s="254">
        <v>750000</v>
      </c>
      <c r="W6" s="254">
        <v>750000</v>
      </c>
      <c r="X6" s="257"/>
      <c r="Y6" s="274"/>
      <c r="Z6" s="274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233"/>
      <c r="BG6" s="233"/>
      <c r="BH6" s="233"/>
      <c r="BI6" s="233"/>
      <c r="BJ6" s="233"/>
      <c r="BK6" s="233"/>
    </row>
    <row r="7" spans="1:63">
      <c r="A7" s="248" t="s">
        <v>352</v>
      </c>
      <c r="B7" s="249" t="s">
        <v>25</v>
      </c>
      <c r="C7" s="250" t="s">
        <v>322</v>
      </c>
      <c r="D7" s="251" t="s">
        <v>353</v>
      </c>
      <c r="E7" s="257"/>
      <c r="F7" s="233"/>
      <c r="G7" s="233"/>
      <c r="H7" s="233"/>
      <c r="I7" s="253">
        <v>46250</v>
      </c>
      <c r="J7" s="253">
        <v>46250</v>
      </c>
      <c r="K7" s="233"/>
      <c r="L7" s="254">
        <v>46250</v>
      </c>
      <c r="M7" s="254">
        <v>46250</v>
      </c>
      <c r="N7" s="254">
        <v>46250</v>
      </c>
      <c r="O7" s="254">
        <v>46250</v>
      </c>
      <c r="P7" s="254">
        <v>46250</v>
      </c>
      <c r="Q7" s="254">
        <v>46250</v>
      </c>
      <c r="R7" s="254">
        <v>46250</v>
      </c>
      <c r="S7" s="254">
        <v>46250</v>
      </c>
      <c r="T7" s="254">
        <v>185000</v>
      </c>
      <c r="U7" s="254">
        <v>185000</v>
      </c>
      <c r="V7" s="254">
        <v>185000</v>
      </c>
      <c r="W7" s="254">
        <v>185000</v>
      </c>
      <c r="X7" s="257"/>
      <c r="Y7" s="274"/>
      <c r="Z7" s="274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33"/>
      <c r="BG7" s="233"/>
      <c r="BH7" s="233"/>
      <c r="BI7" s="233"/>
      <c r="BJ7" s="233"/>
      <c r="BK7" s="233"/>
    </row>
    <row r="8" spans="1:63">
      <c r="A8" s="248" t="s">
        <v>354</v>
      </c>
      <c r="B8" s="249" t="s">
        <v>25</v>
      </c>
      <c r="C8" s="250" t="s">
        <v>322</v>
      </c>
      <c r="D8" s="251" t="s">
        <v>355</v>
      </c>
      <c r="E8" s="257"/>
      <c r="F8" s="233"/>
      <c r="G8" s="233"/>
      <c r="H8" s="233"/>
      <c r="I8" s="253">
        <v>27500</v>
      </c>
      <c r="J8" s="253">
        <v>28125</v>
      </c>
      <c r="K8" s="233"/>
      <c r="L8" s="254">
        <v>27500</v>
      </c>
      <c r="M8" s="254">
        <v>27500</v>
      </c>
      <c r="N8" s="254">
        <v>27500</v>
      </c>
      <c r="O8" s="254">
        <v>27500</v>
      </c>
      <c r="P8" s="254">
        <v>28125</v>
      </c>
      <c r="Q8" s="254">
        <v>28125</v>
      </c>
      <c r="R8" s="254">
        <v>28125</v>
      </c>
      <c r="S8" s="254">
        <v>28125</v>
      </c>
      <c r="T8" s="254">
        <v>112500</v>
      </c>
      <c r="U8" s="254">
        <v>112500</v>
      </c>
      <c r="V8" s="254">
        <v>112500</v>
      </c>
      <c r="W8" s="254">
        <v>112500</v>
      </c>
      <c r="X8" s="257"/>
      <c r="Y8" s="274"/>
      <c r="Z8" s="274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233"/>
    </row>
    <row r="9" spans="1:63">
      <c r="A9" s="248" t="s">
        <v>356</v>
      </c>
      <c r="B9" s="259" t="s">
        <v>25</v>
      </c>
      <c r="C9" s="259" t="s">
        <v>322</v>
      </c>
      <c r="D9" s="259" t="s">
        <v>357</v>
      </c>
      <c r="E9" s="257"/>
      <c r="F9" s="233"/>
      <c r="G9" s="233"/>
      <c r="H9" s="233"/>
      <c r="I9" s="253">
        <v>62500</v>
      </c>
      <c r="J9" s="253">
        <v>65000</v>
      </c>
      <c r="K9" s="233"/>
      <c r="L9" s="254">
        <v>62500</v>
      </c>
      <c r="M9" s="254">
        <v>62500</v>
      </c>
      <c r="N9" s="254">
        <v>62500</v>
      </c>
      <c r="O9" s="254">
        <v>62500</v>
      </c>
      <c r="P9" s="254">
        <v>65000</v>
      </c>
      <c r="Q9" s="254">
        <v>65000</v>
      </c>
      <c r="R9" s="254">
        <v>65000</v>
      </c>
      <c r="S9" s="254">
        <v>65000</v>
      </c>
      <c r="T9" s="254">
        <v>260000</v>
      </c>
      <c r="U9" s="254">
        <v>260000</v>
      </c>
      <c r="V9" s="254">
        <v>260000</v>
      </c>
      <c r="W9" s="254">
        <v>260000</v>
      </c>
      <c r="X9" s="257"/>
      <c r="Y9" s="274"/>
      <c r="Z9" s="274"/>
      <c r="AA9" s="233"/>
      <c r="AB9" s="233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33"/>
      <c r="AU9" s="233"/>
      <c r="AV9" s="233"/>
      <c r="AW9" s="233"/>
      <c r="AX9" s="233"/>
      <c r="AY9" s="233"/>
      <c r="AZ9" s="233"/>
      <c r="BA9" s="233"/>
      <c r="BB9" s="233"/>
      <c r="BC9" s="233"/>
      <c r="BD9" s="233"/>
      <c r="BE9" s="233"/>
      <c r="BF9" s="233"/>
      <c r="BG9" s="233"/>
      <c r="BH9" s="233"/>
      <c r="BI9" s="233"/>
      <c r="BJ9" s="233"/>
      <c r="BK9" s="233"/>
    </row>
    <row r="10" spans="1:63">
      <c r="A10" s="248" t="s">
        <v>358</v>
      </c>
      <c r="B10" s="259" t="s">
        <v>25</v>
      </c>
      <c r="C10" s="259" t="s">
        <v>322</v>
      </c>
      <c r="D10" s="259" t="s">
        <v>359</v>
      </c>
      <c r="E10" s="257"/>
      <c r="F10" s="257"/>
      <c r="G10" s="257"/>
      <c r="H10" s="257"/>
      <c r="I10" s="253">
        <v>0</v>
      </c>
      <c r="J10" s="253">
        <v>0</v>
      </c>
      <c r="K10" s="257"/>
      <c r="L10" s="254">
        <v>43750</v>
      </c>
      <c r="M10" s="254">
        <v>43750</v>
      </c>
      <c r="N10" s="254">
        <v>43750</v>
      </c>
      <c r="O10" s="254">
        <v>0</v>
      </c>
      <c r="P10" s="254">
        <v>0</v>
      </c>
      <c r="Q10" s="254">
        <v>0</v>
      </c>
      <c r="R10" s="254">
        <v>0</v>
      </c>
      <c r="S10" s="254">
        <v>0</v>
      </c>
      <c r="T10" s="254">
        <v>0</v>
      </c>
      <c r="U10" s="254">
        <v>0</v>
      </c>
      <c r="V10" s="254">
        <v>0</v>
      </c>
      <c r="W10" s="254">
        <v>0</v>
      </c>
      <c r="X10" s="257"/>
      <c r="Y10" s="274"/>
      <c r="Z10" s="274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</row>
    <row r="11" spans="1:63">
      <c r="A11" s="248" t="s">
        <v>360</v>
      </c>
      <c r="B11" s="259" t="s">
        <v>25</v>
      </c>
      <c r="C11" s="259" t="s">
        <v>322</v>
      </c>
      <c r="D11" s="259" t="s">
        <v>361</v>
      </c>
      <c r="E11" s="257"/>
      <c r="F11" s="233"/>
      <c r="G11" s="233"/>
      <c r="H11" s="233"/>
      <c r="I11" s="253">
        <v>75000</v>
      </c>
      <c r="J11" s="253">
        <v>0</v>
      </c>
      <c r="K11" s="233"/>
      <c r="L11" s="254">
        <v>75000</v>
      </c>
      <c r="M11" s="254">
        <v>75000</v>
      </c>
      <c r="N11" s="254">
        <v>75000</v>
      </c>
      <c r="O11" s="254">
        <v>75000</v>
      </c>
      <c r="P11" s="254">
        <v>0</v>
      </c>
      <c r="Q11" s="254">
        <v>0</v>
      </c>
      <c r="R11" s="254">
        <v>0</v>
      </c>
      <c r="S11" s="254">
        <v>0</v>
      </c>
      <c r="T11" s="254">
        <v>0</v>
      </c>
      <c r="U11" s="254">
        <v>0</v>
      </c>
      <c r="V11" s="254">
        <v>0</v>
      </c>
      <c r="W11" s="254">
        <v>0</v>
      </c>
      <c r="X11" s="257"/>
      <c r="Y11" s="274"/>
      <c r="Z11" s="274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</row>
    <row r="12" spans="1:63">
      <c r="A12" s="248" t="s">
        <v>362</v>
      </c>
      <c r="B12" s="259" t="s">
        <v>25</v>
      </c>
      <c r="C12" s="259" t="s">
        <v>322</v>
      </c>
      <c r="D12" s="259" t="s">
        <v>363</v>
      </c>
      <c r="E12" s="257"/>
      <c r="F12" s="261"/>
      <c r="G12" s="261"/>
      <c r="H12" s="261"/>
      <c r="I12" s="253">
        <v>45000</v>
      </c>
      <c r="J12" s="253">
        <v>47500</v>
      </c>
      <c r="K12" s="261"/>
      <c r="L12" s="254">
        <v>45000</v>
      </c>
      <c r="M12" s="254">
        <v>45000</v>
      </c>
      <c r="N12" s="254">
        <v>45000</v>
      </c>
      <c r="O12" s="254">
        <v>45000</v>
      </c>
      <c r="P12" s="254">
        <v>47500</v>
      </c>
      <c r="Q12" s="254">
        <v>47500</v>
      </c>
      <c r="R12" s="254">
        <v>47500</v>
      </c>
      <c r="S12" s="254">
        <v>47500</v>
      </c>
      <c r="T12" s="254">
        <v>190000</v>
      </c>
      <c r="U12" s="254">
        <v>190000</v>
      </c>
      <c r="V12" s="254">
        <v>190000</v>
      </c>
      <c r="W12" s="254">
        <v>190000</v>
      </c>
      <c r="X12" s="257"/>
      <c r="Y12" s="274"/>
      <c r="Z12" s="274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</row>
    <row r="13" spans="1:63">
      <c r="A13" s="248" t="s">
        <v>364</v>
      </c>
      <c r="B13" s="259" t="s">
        <v>25</v>
      </c>
      <c r="C13" s="259" t="s">
        <v>322</v>
      </c>
      <c r="D13" s="259" t="s">
        <v>365</v>
      </c>
      <c r="E13" s="257"/>
      <c r="F13" s="261"/>
      <c r="G13" s="261"/>
      <c r="H13" s="261"/>
      <c r="I13" s="253">
        <v>32500</v>
      </c>
      <c r="J13" s="253">
        <v>34375</v>
      </c>
      <c r="K13" s="261"/>
      <c r="L13" s="254">
        <v>32500</v>
      </c>
      <c r="M13" s="254">
        <v>32500</v>
      </c>
      <c r="N13" s="254">
        <v>32500</v>
      </c>
      <c r="O13" s="254">
        <v>32500</v>
      </c>
      <c r="P13" s="254">
        <v>34375</v>
      </c>
      <c r="Q13" s="254">
        <v>0</v>
      </c>
      <c r="R13" s="254">
        <v>0</v>
      </c>
      <c r="S13" s="254">
        <v>0</v>
      </c>
      <c r="T13" s="254">
        <v>0</v>
      </c>
      <c r="U13" s="254">
        <v>0</v>
      </c>
      <c r="V13" s="254">
        <v>0</v>
      </c>
      <c r="W13" s="254">
        <v>0</v>
      </c>
      <c r="X13" s="257"/>
      <c r="Y13" s="274"/>
      <c r="Z13" s="274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</row>
    <row r="14" spans="1:63">
      <c r="A14" s="248" t="s">
        <v>366</v>
      </c>
      <c r="B14" s="259" t="s">
        <v>25</v>
      </c>
      <c r="C14" s="259" t="s">
        <v>322</v>
      </c>
      <c r="D14" s="259" t="s">
        <v>367</v>
      </c>
      <c r="E14" s="257"/>
      <c r="F14" s="233"/>
      <c r="G14" s="233"/>
      <c r="H14" s="233"/>
      <c r="I14" s="253">
        <v>0</v>
      </c>
      <c r="J14" s="253">
        <v>0</v>
      </c>
      <c r="K14" s="233"/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34375</v>
      </c>
      <c r="S14" s="254">
        <v>34375</v>
      </c>
      <c r="T14" s="254">
        <v>137500</v>
      </c>
      <c r="U14" s="254">
        <v>137500</v>
      </c>
      <c r="V14" s="254">
        <v>137500</v>
      </c>
      <c r="W14" s="254">
        <v>137500</v>
      </c>
      <c r="X14" s="257"/>
      <c r="Y14" s="274"/>
      <c r="Z14" s="274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</row>
    <row r="15" spans="1:63" s="11" customFormat="1">
      <c r="A15" s="248" t="s">
        <v>368</v>
      </c>
      <c r="B15" s="277" t="s">
        <v>25</v>
      </c>
      <c r="C15" s="278" t="s">
        <v>322</v>
      </c>
      <c r="D15" s="277" t="s">
        <v>369</v>
      </c>
      <c r="E15" s="257"/>
      <c r="F15" s="233"/>
      <c r="G15" s="233"/>
      <c r="H15" s="233"/>
      <c r="I15" s="253">
        <v>27500</v>
      </c>
      <c r="J15" s="253">
        <v>27500</v>
      </c>
      <c r="K15" s="233"/>
      <c r="L15" s="254">
        <v>27500</v>
      </c>
      <c r="M15" s="254">
        <v>27500</v>
      </c>
      <c r="N15" s="254">
        <v>27500</v>
      </c>
      <c r="O15" s="254">
        <v>27500</v>
      </c>
      <c r="P15" s="254">
        <v>27500</v>
      </c>
      <c r="Q15" s="284">
        <v>27500</v>
      </c>
      <c r="R15" s="284">
        <v>27500</v>
      </c>
      <c r="S15" s="284">
        <v>27500</v>
      </c>
      <c r="T15" s="254">
        <v>110000</v>
      </c>
      <c r="U15" s="254">
        <v>110000</v>
      </c>
      <c r="V15" s="254">
        <v>110000</v>
      </c>
      <c r="W15" s="254">
        <v>110000</v>
      </c>
      <c r="X15" s="257"/>
      <c r="Y15" s="274"/>
      <c r="Z15" s="274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</row>
    <row r="16" spans="1:63" ht="14.65" customHeight="1">
      <c r="A16" s="248" t="s">
        <v>370</v>
      </c>
      <c r="B16" s="259" t="s">
        <v>25</v>
      </c>
      <c r="C16" s="259" t="s">
        <v>322</v>
      </c>
      <c r="D16" s="259" t="s">
        <v>371</v>
      </c>
      <c r="E16" s="257"/>
      <c r="F16" s="233"/>
      <c r="G16" s="233"/>
      <c r="H16" s="233"/>
      <c r="I16" s="257"/>
      <c r="J16" s="253">
        <v>50000</v>
      </c>
      <c r="K16" s="233"/>
      <c r="L16" s="254"/>
      <c r="M16" s="254"/>
      <c r="N16" s="254"/>
      <c r="O16" s="254"/>
      <c r="P16" s="254">
        <v>50000</v>
      </c>
      <c r="Q16" s="284">
        <v>50000</v>
      </c>
      <c r="R16" s="284">
        <v>50000</v>
      </c>
      <c r="S16" s="284">
        <v>50000</v>
      </c>
      <c r="T16" s="254">
        <v>200000</v>
      </c>
      <c r="U16" s="254">
        <v>200000</v>
      </c>
      <c r="V16" s="254">
        <v>200000</v>
      </c>
      <c r="W16" s="254">
        <v>200000</v>
      </c>
      <c r="X16" s="257"/>
      <c r="Y16" s="274"/>
      <c r="Z16" s="274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3"/>
      <c r="AU16" s="233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33"/>
      <c r="BG16" s="233"/>
      <c r="BH16" s="233"/>
      <c r="BI16" s="233"/>
      <c r="BJ16" s="233"/>
      <c r="BK16" s="233"/>
    </row>
    <row r="17" spans="1:63" ht="14.65" customHeight="1">
      <c r="A17" s="279" t="s">
        <v>78</v>
      </c>
      <c r="B17" s="233"/>
      <c r="C17" s="233"/>
      <c r="D17" s="233"/>
      <c r="E17" s="257"/>
      <c r="F17" s="263"/>
      <c r="G17" s="263"/>
      <c r="H17" s="263"/>
      <c r="I17" s="253">
        <v>403750</v>
      </c>
      <c r="J17" s="253">
        <v>486250</v>
      </c>
      <c r="K17" s="263"/>
      <c r="L17" s="257">
        <f t="shared" ref="L17:W17" si="0">SUM(L6:L16)</f>
        <v>447500</v>
      </c>
      <c r="M17" s="257">
        <f t="shared" si="0"/>
        <v>447500</v>
      </c>
      <c r="N17" s="257">
        <f t="shared" si="0"/>
        <v>447500</v>
      </c>
      <c r="O17" s="257">
        <f t="shared" si="0"/>
        <v>403750</v>
      </c>
      <c r="P17" s="257">
        <f t="shared" si="0"/>
        <v>486250</v>
      </c>
      <c r="Q17" s="257">
        <f t="shared" si="0"/>
        <v>451875</v>
      </c>
      <c r="R17" s="257">
        <f t="shared" si="0"/>
        <v>486250</v>
      </c>
      <c r="S17" s="257">
        <f t="shared" si="0"/>
        <v>486250</v>
      </c>
      <c r="T17" s="257">
        <f t="shared" si="0"/>
        <v>1945000</v>
      </c>
      <c r="U17" s="257">
        <f t="shared" si="0"/>
        <v>1945000</v>
      </c>
      <c r="V17" s="257">
        <f t="shared" si="0"/>
        <v>1945000</v>
      </c>
      <c r="W17" s="257">
        <f t="shared" si="0"/>
        <v>1945000</v>
      </c>
      <c r="X17" s="257"/>
      <c r="Y17" s="274"/>
      <c r="Z17" s="274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</row>
    <row r="18" spans="1:63">
      <c r="A18" s="280"/>
      <c r="B18" s="233"/>
      <c r="C18" s="233"/>
      <c r="D18" s="233"/>
      <c r="E18" s="257"/>
      <c r="F18" s="263"/>
      <c r="G18" s="263"/>
      <c r="H18" s="263"/>
      <c r="I18" s="257"/>
      <c r="J18" s="257"/>
      <c r="K18" s="263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74"/>
      <c r="Z18" s="274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33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</row>
    <row r="19" spans="1:63" ht="14.65" customHeight="1">
      <c r="A19" s="278" t="s">
        <v>333</v>
      </c>
      <c r="B19" s="233"/>
      <c r="C19" s="233"/>
      <c r="D19" s="233"/>
      <c r="E19" s="233"/>
      <c r="F19" s="257"/>
      <c r="G19" s="257"/>
      <c r="H19" s="257"/>
      <c r="I19" s="233"/>
      <c r="J19" s="233"/>
      <c r="K19" s="257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74"/>
      <c r="Z19" s="274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  <c r="AY19" s="233"/>
      <c r="AZ19" s="233"/>
      <c r="BA19" s="233"/>
      <c r="BB19" s="233"/>
      <c r="BC19" s="233"/>
      <c r="BD19" s="233"/>
      <c r="BE19" s="233"/>
      <c r="BF19" s="233"/>
      <c r="BG19" s="233"/>
      <c r="BH19" s="233"/>
      <c r="BI19" s="233"/>
      <c r="BJ19" s="233"/>
      <c r="BK19" s="233"/>
    </row>
    <row r="20" spans="1:63">
      <c r="A20" s="233" t="str">
        <f t="shared" ref="A20:A30" si="1">+A6</f>
        <v>HODS  (RB)</v>
      </c>
      <c r="B20" s="259" t="s">
        <v>25</v>
      </c>
      <c r="C20" s="259" t="s">
        <v>334</v>
      </c>
      <c r="D20" s="259" t="s">
        <v>351</v>
      </c>
      <c r="E20" s="235"/>
      <c r="F20" s="233"/>
      <c r="G20" s="233"/>
      <c r="H20" s="233"/>
      <c r="I20" s="262">
        <v>685000</v>
      </c>
      <c r="J20" s="262">
        <v>0</v>
      </c>
      <c r="K20" s="233"/>
      <c r="L20" s="256">
        <v>0</v>
      </c>
      <c r="M20" s="256">
        <v>0</v>
      </c>
      <c r="N20" s="256">
        <v>0</v>
      </c>
      <c r="O20" s="256">
        <v>685000</v>
      </c>
      <c r="P20" s="256">
        <v>0</v>
      </c>
      <c r="Q20" s="256">
        <v>0</v>
      </c>
      <c r="R20" s="256">
        <v>0</v>
      </c>
      <c r="S20" s="256">
        <v>250000</v>
      </c>
      <c r="T20" s="256">
        <v>250000</v>
      </c>
      <c r="U20" s="256">
        <v>250000</v>
      </c>
      <c r="V20" s="256">
        <v>250000</v>
      </c>
      <c r="W20" s="256">
        <v>250000</v>
      </c>
      <c r="X20" s="235"/>
      <c r="Y20" s="274"/>
      <c r="Z20" s="274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</row>
    <row r="21" spans="1:63">
      <c r="A21" s="233" t="str">
        <f t="shared" si="1"/>
        <v>Project Executive  (LS) (100%)</v>
      </c>
      <c r="B21" s="259" t="s">
        <v>25</v>
      </c>
      <c r="C21" s="259" t="s">
        <v>334</v>
      </c>
      <c r="D21" s="259" t="s">
        <v>353</v>
      </c>
      <c r="E21" s="257"/>
      <c r="F21" s="235"/>
      <c r="G21" s="235"/>
      <c r="H21" s="235"/>
      <c r="I21" s="262">
        <v>20000</v>
      </c>
      <c r="J21" s="262">
        <v>0</v>
      </c>
      <c r="K21" s="235"/>
      <c r="L21" s="256">
        <v>0</v>
      </c>
      <c r="M21" s="256">
        <v>0</v>
      </c>
      <c r="N21" s="256">
        <v>0</v>
      </c>
      <c r="O21" s="256">
        <v>20000</v>
      </c>
      <c r="P21" s="256">
        <v>0</v>
      </c>
      <c r="Q21" s="256">
        <v>0</v>
      </c>
      <c r="R21" s="256">
        <v>0</v>
      </c>
      <c r="S21" s="256">
        <v>15000</v>
      </c>
      <c r="T21" s="256">
        <v>15000</v>
      </c>
      <c r="U21" s="256">
        <v>15000</v>
      </c>
      <c r="V21" s="256">
        <v>15000</v>
      </c>
      <c r="W21" s="256">
        <v>15000</v>
      </c>
      <c r="X21" s="257"/>
      <c r="Y21" s="274"/>
      <c r="Z21" s="274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33"/>
      <c r="BG21" s="233"/>
      <c r="BH21" s="233"/>
      <c r="BI21" s="233"/>
      <c r="BJ21" s="233"/>
      <c r="BK21" s="233"/>
    </row>
    <row r="22" spans="1:63">
      <c r="A22" s="233" t="str">
        <f t="shared" si="1"/>
        <v>Project Manager (BD) (100%)</v>
      </c>
      <c r="B22" s="259" t="s">
        <v>25</v>
      </c>
      <c r="C22" s="259" t="s">
        <v>334</v>
      </c>
      <c r="D22" s="259" t="s">
        <v>355</v>
      </c>
      <c r="E22" s="257"/>
      <c r="F22" s="257"/>
      <c r="G22" s="257"/>
      <c r="H22" s="257"/>
      <c r="I22" s="262">
        <v>17500</v>
      </c>
      <c r="J22" s="262">
        <v>0</v>
      </c>
      <c r="K22" s="257"/>
      <c r="L22" s="256">
        <v>0</v>
      </c>
      <c r="M22" s="256">
        <v>0</v>
      </c>
      <c r="N22" s="256">
        <v>0</v>
      </c>
      <c r="O22" s="256">
        <v>17500</v>
      </c>
      <c r="P22" s="256">
        <v>0</v>
      </c>
      <c r="Q22" s="256">
        <v>0</v>
      </c>
      <c r="R22" s="256">
        <v>0</v>
      </c>
      <c r="S22" s="256">
        <v>15000</v>
      </c>
      <c r="T22" s="256">
        <v>15000</v>
      </c>
      <c r="U22" s="256">
        <v>15000</v>
      </c>
      <c r="V22" s="256">
        <v>15000</v>
      </c>
      <c r="W22" s="256">
        <v>15000</v>
      </c>
      <c r="X22" s="257"/>
      <c r="Y22" s="274"/>
      <c r="Z22" s="274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33"/>
      <c r="BG22" s="233"/>
      <c r="BH22" s="233"/>
      <c r="BI22" s="233"/>
      <c r="BJ22" s="233"/>
      <c r="BK22" s="233"/>
    </row>
    <row r="23" spans="1:63">
      <c r="A23" s="233" t="str">
        <f t="shared" si="1"/>
        <v>Counsel (KT)</v>
      </c>
      <c r="B23" s="259" t="s">
        <v>25</v>
      </c>
      <c r="C23" s="259" t="s">
        <v>334</v>
      </c>
      <c r="D23" s="259" t="s">
        <v>357</v>
      </c>
      <c r="E23" s="257"/>
      <c r="F23" s="257"/>
      <c r="G23" s="257"/>
      <c r="H23" s="257"/>
      <c r="I23" s="262">
        <v>230000</v>
      </c>
      <c r="J23" s="262">
        <v>0</v>
      </c>
      <c r="K23" s="257"/>
      <c r="L23" s="256">
        <v>0</v>
      </c>
      <c r="M23" s="256">
        <v>0</v>
      </c>
      <c r="N23" s="256">
        <v>0</v>
      </c>
      <c r="O23" s="256">
        <v>230000</v>
      </c>
      <c r="P23" s="256">
        <v>0</v>
      </c>
      <c r="Q23" s="256">
        <v>0</v>
      </c>
      <c r="R23" s="256">
        <v>0</v>
      </c>
      <c r="S23" s="256">
        <v>125000</v>
      </c>
      <c r="T23" s="256">
        <v>125000</v>
      </c>
      <c r="U23" s="256">
        <v>125000</v>
      </c>
      <c r="V23" s="256">
        <v>125000</v>
      </c>
      <c r="W23" s="256">
        <v>125000</v>
      </c>
      <c r="X23" s="257"/>
      <c r="Y23" s="274"/>
      <c r="Z23" s="274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3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3"/>
      <c r="BK23" s="233"/>
    </row>
    <row r="24" spans="1:63">
      <c r="A24" s="233" t="str">
        <f t="shared" si="1"/>
        <v>Development Manager??? (alexi?)</v>
      </c>
      <c r="B24" s="259" t="s">
        <v>25</v>
      </c>
      <c r="C24" s="259" t="s">
        <v>334</v>
      </c>
      <c r="D24" s="259" t="s">
        <v>359</v>
      </c>
      <c r="E24" s="257"/>
      <c r="F24" s="257"/>
      <c r="G24" s="257"/>
      <c r="H24" s="257"/>
      <c r="I24" s="262">
        <v>0</v>
      </c>
      <c r="J24" s="262">
        <v>0</v>
      </c>
      <c r="K24" s="257"/>
      <c r="L24" s="256">
        <v>0</v>
      </c>
      <c r="M24" s="256">
        <v>0</v>
      </c>
      <c r="N24" s="256">
        <v>0</v>
      </c>
      <c r="O24" s="256">
        <v>0</v>
      </c>
      <c r="P24" s="256">
        <v>0</v>
      </c>
      <c r="Q24" s="256">
        <v>0</v>
      </c>
      <c r="R24" s="256">
        <v>0</v>
      </c>
      <c r="S24" s="256">
        <v>0</v>
      </c>
      <c r="T24" s="256">
        <v>0</v>
      </c>
      <c r="U24" s="256">
        <v>0</v>
      </c>
      <c r="V24" s="256">
        <v>0</v>
      </c>
      <c r="W24" s="256">
        <v>0</v>
      </c>
      <c r="X24" s="257"/>
      <c r="Y24" s="274"/>
      <c r="Z24" s="274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3"/>
      <c r="BK24" s="233"/>
    </row>
    <row r="25" spans="1:63">
      <c r="A25" s="233" t="str">
        <f t="shared" si="1"/>
        <v>Banker (tBD)</v>
      </c>
      <c r="B25" s="259" t="s">
        <v>25</v>
      </c>
      <c r="C25" s="259" t="s">
        <v>334</v>
      </c>
      <c r="D25" s="259" t="s">
        <v>361</v>
      </c>
      <c r="E25" s="257"/>
      <c r="F25" s="257"/>
      <c r="G25" s="257"/>
      <c r="H25" s="257"/>
      <c r="I25" s="262">
        <v>50000</v>
      </c>
      <c r="J25" s="262">
        <v>0</v>
      </c>
      <c r="K25" s="257"/>
      <c r="L25" s="256">
        <v>0</v>
      </c>
      <c r="M25" s="256">
        <v>0</v>
      </c>
      <c r="N25" s="256">
        <v>0</v>
      </c>
      <c r="O25" s="256">
        <v>50000</v>
      </c>
      <c r="P25" s="256">
        <v>0</v>
      </c>
      <c r="Q25" s="256">
        <v>0</v>
      </c>
      <c r="R25" s="256">
        <v>0</v>
      </c>
      <c r="S25" s="256">
        <v>100000</v>
      </c>
      <c r="T25" s="256">
        <v>0</v>
      </c>
      <c r="U25" s="256">
        <v>0</v>
      </c>
      <c r="V25" s="256">
        <v>0</v>
      </c>
      <c r="W25" s="256">
        <v>0</v>
      </c>
      <c r="X25" s="257"/>
      <c r="Y25" s="274"/>
      <c r="Z25" s="274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</row>
    <row r="26" spans="1:63">
      <c r="A26" s="233" t="str">
        <f t="shared" si="1"/>
        <v>Senior Design Manager (AM)</v>
      </c>
      <c r="B26" s="259" t="s">
        <v>25</v>
      </c>
      <c r="C26" s="259" t="s">
        <v>334</v>
      </c>
      <c r="D26" s="259" t="s">
        <v>363</v>
      </c>
      <c r="E26" s="257"/>
      <c r="F26" s="257"/>
      <c r="G26" s="257"/>
      <c r="H26" s="257"/>
      <c r="I26" s="262">
        <v>65000</v>
      </c>
      <c r="J26" s="262">
        <v>0</v>
      </c>
      <c r="K26" s="257"/>
      <c r="L26" s="256"/>
      <c r="M26" s="256"/>
      <c r="N26" s="256"/>
      <c r="O26" s="256">
        <v>65000</v>
      </c>
      <c r="P26" s="256">
        <v>0</v>
      </c>
      <c r="Q26" s="256">
        <v>0</v>
      </c>
      <c r="R26" s="256">
        <v>0</v>
      </c>
      <c r="S26" s="256">
        <v>55000</v>
      </c>
      <c r="T26" s="256">
        <v>55000</v>
      </c>
      <c r="U26" s="256">
        <v>55000</v>
      </c>
      <c r="V26" s="256">
        <v>55000</v>
      </c>
      <c r="W26" s="256">
        <v>55000</v>
      </c>
      <c r="X26" s="257"/>
      <c r="Y26" s="274"/>
      <c r="Z26" s="274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3"/>
      <c r="BK26" s="233"/>
    </row>
    <row r="27" spans="1:63">
      <c r="A27" s="233" t="str">
        <f t="shared" si="1"/>
        <v>Design Manager (AL) (gone)</v>
      </c>
      <c r="B27" s="259" t="s">
        <v>25</v>
      </c>
      <c r="C27" s="259" t="s">
        <v>334</v>
      </c>
      <c r="D27" s="259" t="s">
        <v>365</v>
      </c>
      <c r="E27" s="257"/>
      <c r="F27" s="257"/>
      <c r="G27" s="257"/>
      <c r="H27" s="257"/>
      <c r="I27" s="262">
        <v>25000</v>
      </c>
      <c r="J27" s="262">
        <v>0</v>
      </c>
      <c r="K27" s="257"/>
      <c r="L27" s="256">
        <v>0</v>
      </c>
      <c r="M27" s="256">
        <v>0</v>
      </c>
      <c r="N27" s="256">
        <v>0</v>
      </c>
      <c r="O27" s="256">
        <v>25000</v>
      </c>
      <c r="P27" s="256">
        <v>0</v>
      </c>
      <c r="Q27" s="256">
        <v>0</v>
      </c>
      <c r="R27" s="256">
        <v>0</v>
      </c>
      <c r="S27" s="256">
        <v>0</v>
      </c>
      <c r="T27" s="256">
        <v>0</v>
      </c>
      <c r="U27" s="256">
        <v>0</v>
      </c>
      <c r="V27" s="256">
        <v>0</v>
      </c>
      <c r="W27" s="256">
        <v>0</v>
      </c>
      <c r="X27" s="257"/>
      <c r="Y27" s="274"/>
      <c r="Z27" s="274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</row>
    <row r="28" spans="1:63">
      <c r="A28" s="233" t="str">
        <f t="shared" si="1"/>
        <v>new design manager (TBD)</v>
      </c>
      <c r="B28" s="259" t="s">
        <v>25</v>
      </c>
      <c r="C28" s="259" t="s">
        <v>334</v>
      </c>
      <c r="D28" s="259" t="s">
        <v>367</v>
      </c>
      <c r="E28" s="257"/>
      <c r="F28" s="257"/>
      <c r="G28" s="257"/>
      <c r="H28" s="257"/>
      <c r="I28" s="262">
        <v>0</v>
      </c>
      <c r="J28" s="262">
        <v>0</v>
      </c>
      <c r="K28" s="257"/>
      <c r="L28" s="256">
        <v>0</v>
      </c>
      <c r="M28" s="256">
        <v>0</v>
      </c>
      <c r="N28" s="256">
        <v>0</v>
      </c>
      <c r="O28" s="256">
        <v>0</v>
      </c>
      <c r="P28" s="256">
        <v>0</v>
      </c>
      <c r="Q28" s="256">
        <v>0</v>
      </c>
      <c r="R28" s="256">
        <v>0</v>
      </c>
      <c r="S28" s="256">
        <v>11250</v>
      </c>
      <c r="T28" s="256">
        <v>22500</v>
      </c>
      <c r="U28" s="256">
        <v>22500</v>
      </c>
      <c r="V28" s="256">
        <v>22500</v>
      </c>
      <c r="W28" s="256">
        <v>22500</v>
      </c>
      <c r="X28" s="257"/>
      <c r="Y28" s="274"/>
      <c r="Z28" s="274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3"/>
      <c r="BI28" s="233"/>
      <c r="BJ28" s="233"/>
      <c r="BK28" s="233"/>
    </row>
    <row r="29" spans="1:63" ht="14.65" customHeight="1">
      <c r="A29" s="233" t="str">
        <f t="shared" si="1"/>
        <v>FF&amp;E (SB)</v>
      </c>
      <c r="B29" s="259" t="s">
        <v>25</v>
      </c>
      <c r="C29" s="259" t="s">
        <v>334</v>
      </c>
      <c r="D29" s="259" t="s">
        <v>369</v>
      </c>
      <c r="E29" s="257"/>
      <c r="F29" s="257"/>
      <c r="G29" s="257"/>
      <c r="H29" s="257"/>
      <c r="I29" s="262">
        <v>0</v>
      </c>
      <c r="J29" s="262">
        <v>0</v>
      </c>
      <c r="K29" s="257"/>
      <c r="L29" s="256">
        <v>0</v>
      </c>
      <c r="M29" s="256">
        <v>0</v>
      </c>
      <c r="N29" s="256">
        <v>0</v>
      </c>
      <c r="O29" s="256">
        <v>0</v>
      </c>
      <c r="P29" s="256">
        <v>0</v>
      </c>
      <c r="Q29" s="256">
        <v>0</v>
      </c>
      <c r="R29" s="256">
        <v>0</v>
      </c>
      <c r="S29" s="256">
        <v>15000</v>
      </c>
      <c r="T29" s="256">
        <v>15000</v>
      </c>
      <c r="U29" s="256">
        <v>15000</v>
      </c>
      <c r="V29" s="256">
        <v>15000</v>
      </c>
      <c r="W29" s="256">
        <v>15000</v>
      </c>
      <c r="X29" s="257"/>
      <c r="Y29" s="274"/>
      <c r="Z29" s="274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233"/>
    </row>
    <row r="30" spans="1:63" ht="15" customHeight="1">
      <c r="A30" s="233" t="str">
        <f t="shared" si="1"/>
        <v>Senior Financial Analyst (KS)</v>
      </c>
      <c r="B30" s="259" t="s">
        <v>25</v>
      </c>
      <c r="C30" s="259" t="s">
        <v>334</v>
      </c>
      <c r="D30" s="259" t="s">
        <v>371</v>
      </c>
      <c r="E30" s="257"/>
      <c r="F30" s="257"/>
      <c r="G30" s="257"/>
      <c r="H30" s="257"/>
      <c r="I30" s="262">
        <v>50000</v>
      </c>
      <c r="J30" s="252"/>
      <c r="K30" s="257"/>
      <c r="L30" s="256">
        <v>0</v>
      </c>
      <c r="M30" s="256">
        <v>0</v>
      </c>
      <c r="N30" s="256">
        <v>0</v>
      </c>
      <c r="O30" s="256">
        <v>50000</v>
      </c>
      <c r="P30" s="256"/>
      <c r="Q30" s="256"/>
      <c r="R30" s="256"/>
      <c r="S30" s="256">
        <v>50000</v>
      </c>
      <c r="T30" s="256">
        <v>50000</v>
      </c>
      <c r="U30" s="256">
        <v>50000</v>
      </c>
      <c r="V30" s="256">
        <v>50000</v>
      </c>
      <c r="W30" s="256">
        <v>50000</v>
      </c>
      <c r="X30" s="257"/>
      <c r="Y30" s="274"/>
      <c r="Z30" s="274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</row>
    <row r="31" spans="1:63" ht="14.65" customHeight="1">
      <c r="A31" s="279" t="s">
        <v>78</v>
      </c>
      <c r="B31" s="233"/>
      <c r="C31" s="233"/>
      <c r="D31" s="233"/>
      <c r="E31" s="257"/>
      <c r="F31" s="257"/>
      <c r="G31" s="257"/>
      <c r="H31" s="257"/>
      <c r="I31" s="262">
        <v>1142500</v>
      </c>
      <c r="J31" s="262">
        <v>0</v>
      </c>
      <c r="K31" s="257"/>
      <c r="L31" s="252">
        <v>0</v>
      </c>
      <c r="M31" s="252">
        <v>0</v>
      </c>
      <c r="N31" s="252">
        <v>0</v>
      </c>
      <c r="O31" s="252">
        <v>1142500</v>
      </c>
      <c r="P31" s="252">
        <v>0</v>
      </c>
      <c r="Q31" s="252">
        <v>0</v>
      </c>
      <c r="R31" s="252">
        <v>0</v>
      </c>
      <c r="S31" s="252">
        <v>897500</v>
      </c>
      <c r="T31" s="252">
        <v>797500</v>
      </c>
      <c r="U31" s="252">
        <v>797500</v>
      </c>
      <c r="V31" s="252">
        <v>797500</v>
      </c>
      <c r="W31" s="252">
        <v>797500</v>
      </c>
      <c r="X31" s="257"/>
      <c r="Y31" s="274"/>
      <c r="Z31" s="274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233"/>
    </row>
    <row r="32" spans="1:63">
      <c r="A32" s="280"/>
      <c r="B32" s="233"/>
      <c r="C32" s="233"/>
      <c r="D32" s="233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65"/>
      <c r="Y32" s="274"/>
      <c r="Z32" s="274"/>
      <c r="AA32" s="233"/>
      <c r="AB32" s="233"/>
      <c r="AC32" s="233"/>
      <c r="AD32" s="233"/>
      <c r="AE32" s="233"/>
      <c r="AF32" s="233"/>
      <c r="AG32" s="233"/>
      <c r="AH32" s="233"/>
      <c r="AI32" s="233"/>
      <c r="AJ32" s="281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3"/>
      <c r="BK32" s="233"/>
    </row>
    <row r="33" spans="1:63" ht="14.65" customHeight="1">
      <c r="A33" s="278" t="s">
        <v>349</v>
      </c>
      <c r="B33" s="233"/>
      <c r="C33" s="233"/>
      <c r="D33" s="233"/>
      <c r="E33" s="233"/>
      <c r="F33" s="263"/>
      <c r="G33" s="263"/>
      <c r="H33" s="263"/>
      <c r="I33" s="233"/>
      <c r="J33" s="233"/>
      <c r="K33" s="26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74"/>
      <c r="Z33" s="274"/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/>
      <c r="BC33" s="233"/>
      <c r="BD33" s="233"/>
      <c r="BE33" s="233"/>
      <c r="BF33" s="233"/>
      <c r="BG33" s="233"/>
      <c r="BH33" s="233"/>
      <c r="BI33" s="233"/>
      <c r="BJ33" s="233"/>
      <c r="BK33" s="233"/>
    </row>
    <row r="34" spans="1:63">
      <c r="A34" s="233" t="str">
        <f t="shared" ref="A34:A44" si="2">+A6</f>
        <v>HODS  (RB)</v>
      </c>
      <c r="B34" s="259" t="s">
        <v>79</v>
      </c>
      <c r="C34" s="259" t="s">
        <v>335</v>
      </c>
      <c r="D34" s="259" t="s">
        <v>351</v>
      </c>
      <c r="E34" s="270"/>
      <c r="F34" s="257"/>
      <c r="G34" s="257"/>
      <c r="H34" s="257"/>
      <c r="I34" s="282">
        <v>812515</v>
      </c>
      <c r="J34" s="282">
        <v>216000</v>
      </c>
      <c r="K34" s="257"/>
      <c r="L34" s="270">
        <f>+L6*(1+'.c12_inputs.hr'!$E$15)+(L20*(1+'.c12_inputs.hr'!$E$16))</f>
        <v>100799.99999999999</v>
      </c>
      <c r="M34" s="270">
        <f>+M6*(1+'.c12_inputs.hr'!$E$15)+(M20*(1+'.c12_inputs.hr'!$E$16))</f>
        <v>100799.99999999999</v>
      </c>
      <c r="N34" s="270">
        <f>+N6*(1+'.c12_inputs.hr'!$E$15)+(N20*(1+'.c12_inputs.hr'!$E$16))</f>
        <v>100799.99999999999</v>
      </c>
      <c r="O34" s="270">
        <f>+O6*(1+'.c12_inputs.hr'!$E$15)+(O20*(1+'.c12_inputs.hr'!$E$16))</f>
        <v>812515</v>
      </c>
      <c r="P34" s="270">
        <f>+P6*(1+'.c12_inputs.hr'!$E$15)+(P20*(1+'.c12_inputs.hr'!$E$16))</f>
        <v>215999.99999999997</v>
      </c>
      <c r="Q34" s="270">
        <f>+Q6*(1+'.c12_inputs.hr'!$E$15)+(Q20*(1+'.c12_inputs.hr'!$E$16))</f>
        <v>215999.99999999997</v>
      </c>
      <c r="R34" s="270">
        <f>+R6*(1+'.c12_inputs.hr'!$E$15)+(R20*(1+'.c12_inputs.hr'!$E$16))</f>
        <v>215999.99999999997</v>
      </c>
      <c r="S34" s="270">
        <f>+S6*(1+'.c12_inputs.hr'!$E$15)+(S20*(1+'.c12_inputs.hr'!$E$16))</f>
        <v>475749.99999999994</v>
      </c>
      <c r="T34" s="270">
        <f>+T6*(1+'.c12_inputs.hr'!$E$15)+(T20*(1+'.c12_inputs.hr'!$E$16))</f>
        <v>1123749.9999999998</v>
      </c>
      <c r="U34" s="270">
        <f>+U6*(1+'.c12_inputs.hr'!$E$15)+(U20*(1+'.c12_inputs.hr'!$E$16))</f>
        <v>1123749.9999999998</v>
      </c>
      <c r="V34" s="270">
        <f>+V6*(1+'.c12_inputs.hr'!$E$15)+(V20*(1+'.c12_inputs.hr'!$E$16))</f>
        <v>1123749.9999999998</v>
      </c>
      <c r="W34" s="270">
        <f>+W6*(1+'.c12_inputs.hr'!$E$15)+(W20*(1+'.c12_inputs.hr'!$E$16))</f>
        <v>1123749.9999999998</v>
      </c>
      <c r="X34" s="270"/>
      <c r="Y34" s="270"/>
      <c r="Z34" s="274"/>
      <c r="AA34" s="233"/>
      <c r="AB34" s="233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  <c r="BF34" s="233"/>
      <c r="BG34" s="233"/>
      <c r="BH34" s="233"/>
      <c r="BI34" s="233"/>
      <c r="BJ34" s="233"/>
      <c r="BK34" s="233"/>
    </row>
    <row r="35" spans="1:63">
      <c r="A35" s="233" t="str">
        <f t="shared" si="2"/>
        <v>Project Executive  (LS) (100%)</v>
      </c>
      <c r="B35" s="259" t="s">
        <v>79</v>
      </c>
      <c r="C35" s="259" t="s">
        <v>335</v>
      </c>
      <c r="D35" s="259" t="s">
        <v>353</v>
      </c>
      <c r="E35" s="270"/>
      <c r="F35" s="233"/>
      <c r="G35" s="233"/>
      <c r="H35" s="233"/>
      <c r="I35" s="282">
        <v>74060</v>
      </c>
      <c r="J35" s="282">
        <v>53279.999999999993</v>
      </c>
      <c r="K35" s="233"/>
      <c r="L35" s="270">
        <f>+L7*(1+'.c12_inputs.hr'!$E$15)+(L21*(1+'.c12_inputs.hr'!$E$16))</f>
        <v>53279.999999999993</v>
      </c>
      <c r="M35" s="270">
        <f>+M7*(1+'.c12_inputs.hr'!$E$15)+(M21*(1+'.c12_inputs.hr'!$E$16))</f>
        <v>53279.999999999993</v>
      </c>
      <c r="N35" s="270">
        <f>+N7*(1+'.c12_inputs.hr'!$E$15)+(N21*(1+'.c12_inputs.hr'!$E$16))</f>
        <v>53279.999999999993</v>
      </c>
      <c r="O35" s="270">
        <f>+O7*(1+'.c12_inputs.hr'!$E$15)+(O21*(1+'.c12_inputs.hr'!$E$16))</f>
        <v>74060</v>
      </c>
      <c r="P35" s="270">
        <f>+P7*(1+'.c12_inputs.hr'!$E$15)+(P21*(1+'.c12_inputs.hr'!$E$16))</f>
        <v>53279.999999999993</v>
      </c>
      <c r="Q35" s="270">
        <f>+Q7*(1+'.c12_inputs.hr'!$E$15)+(Q21*(1+'.c12_inputs.hr'!$E$16))</f>
        <v>53279.999999999993</v>
      </c>
      <c r="R35" s="270">
        <f>+R7*(1+'.c12_inputs.hr'!$E$15)+(R21*(1+'.c12_inputs.hr'!$E$16))</f>
        <v>53279.999999999993</v>
      </c>
      <c r="S35" s="270">
        <f>+S7*(1+'.c12_inputs.hr'!$E$15)+(S21*(1+'.c12_inputs.hr'!$E$16))</f>
        <v>68864.999999999985</v>
      </c>
      <c r="T35" s="270">
        <f>+T7*(1+'.c12_inputs.hr'!$E$15)+(T21*(1+'.c12_inputs.hr'!$E$16))</f>
        <v>228704.99999999997</v>
      </c>
      <c r="U35" s="270">
        <f>+U7*(1+'.c12_inputs.hr'!$E$15)+(U21*(1+'.c12_inputs.hr'!$E$16))</f>
        <v>228704.99999999997</v>
      </c>
      <c r="V35" s="270">
        <f>+V7*(1+'.c12_inputs.hr'!$E$15)+(V21*(1+'.c12_inputs.hr'!$E$16))</f>
        <v>228704.99999999997</v>
      </c>
      <c r="W35" s="270">
        <f>+W7*(1+'.c12_inputs.hr'!$E$15)+(W21*(1+'.c12_inputs.hr'!$E$16))</f>
        <v>228704.99999999997</v>
      </c>
      <c r="X35" s="270"/>
      <c r="Y35" s="270"/>
      <c r="Z35" s="274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H35" s="233"/>
      <c r="BI35" s="233"/>
      <c r="BJ35" s="233"/>
      <c r="BK35" s="233"/>
    </row>
    <row r="36" spans="1:63">
      <c r="A36" s="233" t="str">
        <f t="shared" si="2"/>
        <v>Project Manager (BD) (100%)</v>
      </c>
      <c r="B36" s="259" t="s">
        <v>79</v>
      </c>
      <c r="C36" s="259" t="s">
        <v>335</v>
      </c>
      <c r="D36" s="259" t="s">
        <v>355</v>
      </c>
      <c r="E36" s="270"/>
      <c r="F36" s="270"/>
      <c r="G36" s="270"/>
      <c r="H36" s="270"/>
      <c r="I36" s="282">
        <v>49862.5</v>
      </c>
      <c r="J36" s="282">
        <v>32400</v>
      </c>
      <c r="K36" s="270"/>
      <c r="L36" s="270">
        <f>+L8*(1+'.c12_inputs.hr'!$E$15)+(L22*(1+'.c12_inputs.hr'!$E$16))</f>
        <v>31679.999999999996</v>
      </c>
      <c r="M36" s="270">
        <f>+M8*(1+'.c12_inputs.hr'!$E$15)+(M22*(1+'.c12_inputs.hr'!$E$16))</f>
        <v>31679.999999999996</v>
      </c>
      <c r="N36" s="270">
        <f>+N8*(1+'.c12_inputs.hr'!$E$15)+(N22*(1+'.c12_inputs.hr'!$E$16))</f>
        <v>31679.999999999996</v>
      </c>
      <c r="O36" s="270">
        <f>+O8*(1+'.c12_inputs.hr'!$E$15)+(O22*(1+'.c12_inputs.hr'!$E$16))</f>
        <v>49862.5</v>
      </c>
      <c r="P36" s="270">
        <f>+P8*(1+'.c12_inputs.hr'!$E$15)+(P22*(1+'.c12_inputs.hr'!$E$16))</f>
        <v>32399.999999999996</v>
      </c>
      <c r="Q36" s="270">
        <f>+Q8*(1+'.c12_inputs.hr'!$E$15)+(Q22*(1+'.c12_inputs.hr'!$E$16))</f>
        <v>32399.999999999996</v>
      </c>
      <c r="R36" s="270">
        <f>+R8*(1+'.c12_inputs.hr'!$E$15)+(R22*(1+'.c12_inputs.hr'!$E$16))</f>
        <v>32399.999999999996</v>
      </c>
      <c r="S36" s="270">
        <f>+S8*(1+'.c12_inputs.hr'!$E$15)+(S22*(1+'.c12_inputs.hr'!$E$16))</f>
        <v>47984.999999999993</v>
      </c>
      <c r="T36" s="270">
        <f>+T8*(1+'.c12_inputs.hr'!$E$15)+(T22*(1+'.c12_inputs.hr'!$E$16))</f>
        <v>145184.99999999997</v>
      </c>
      <c r="U36" s="270">
        <f>+U8*(1+'.c12_inputs.hr'!$E$15)+(U22*(1+'.c12_inputs.hr'!$E$16))</f>
        <v>145184.99999999997</v>
      </c>
      <c r="V36" s="270">
        <f>+V8*(1+'.c12_inputs.hr'!$E$15)+(V22*(1+'.c12_inputs.hr'!$E$16))</f>
        <v>145184.99999999997</v>
      </c>
      <c r="W36" s="270">
        <f>+W8*(1+'.c12_inputs.hr'!$E$15)+(W22*(1+'.c12_inputs.hr'!$E$16))</f>
        <v>145184.99999999997</v>
      </c>
      <c r="X36" s="270"/>
      <c r="Y36" s="270"/>
      <c r="Z36" s="274"/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33"/>
      <c r="BG36" s="233"/>
      <c r="BH36" s="233"/>
      <c r="BI36" s="233"/>
      <c r="BJ36" s="233"/>
      <c r="BK36" s="233"/>
    </row>
    <row r="37" spans="1:63">
      <c r="A37" s="233" t="str">
        <f t="shared" si="2"/>
        <v>Counsel (KT)</v>
      </c>
      <c r="B37" s="259" t="s">
        <v>79</v>
      </c>
      <c r="C37" s="259" t="s">
        <v>335</v>
      </c>
      <c r="D37" s="259" t="s">
        <v>357</v>
      </c>
      <c r="E37" s="270"/>
      <c r="F37" s="270"/>
      <c r="G37" s="270"/>
      <c r="H37" s="270"/>
      <c r="I37" s="282">
        <v>310970</v>
      </c>
      <c r="J37" s="282">
        <v>74880</v>
      </c>
      <c r="K37" s="270"/>
      <c r="L37" s="270">
        <f>+L9*(1+'.c12_inputs.hr'!$E$15)+(L23*(1+'.c12_inputs.hr'!$E$16))</f>
        <v>72000</v>
      </c>
      <c r="M37" s="270">
        <f>+M9*(1+'.c12_inputs.hr'!$E$15)+(M23*(1+'.c12_inputs.hr'!$E$16))</f>
        <v>72000</v>
      </c>
      <c r="N37" s="270">
        <f>+N9*(1+'.c12_inputs.hr'!$E$15)+(N23*(1+'.c12_inputs.hr'!$E$16))</f>
        <v>72000</v>
      </c>
      <c r="O37" s="270">
        <f>+O9*(1+'.c12_inputs.hr'!$E$15)+(O23*(1+'.c12_inputs.hr'!$E$16))</f>
        <v>310970</v>
      </c>
      <c r="P37" s="270">
        <f>+P9*(1+'.c12_inputs.hr'!$E$15)+(P23*(1+'.c12_inputs.hr'!$E$16))</f>
        <v>74880</v>
      </c>
      <c r="Q37" s="270">
        <f>+Q9*(1+'.c12_inputs.hr'!$E$15)+(Q23*(1+'.c12_inputs.hr'!$E$16))</f>
        <v>74880</v>
      </c>
      <c r="R37" s="270">
        <f>+R9*(1+'.c12_inputs.hr'!$E$15)+(R23*(1+'.c12_inputs.hr'!$E$16))</f>
        <v>74880</v>
      </c>
      <c r="S37" s="270">
        <f>+S9*(1+'.c12_inputs.hr'!$E$15)+(S23*(1+'.c12_inputs.hr'!$E$16))</f>
        <v>204755</v>
      </c>
      <c r="T37" s="270">
        <f>+T9*(1+'.c12_inputs.hr'!$E$15)+(T23*(1+'.c12_inputs.hr'!$E$16))</f>
        <v>429395</v>
      </c>
      <c r="U37" s="270">
        <f>+U9*(1+'.c12_inputs.hr'!$E$15)+(U23*(1+'.c12_inputs.hr'!$E$16))</f>
        <v>429395</v>
      </c>
      <c r="V37" s="270">
        <f>+V9*(1+'.c12_inputs.hr'!$E$15)+(V23*(1+'.c12_inputs.hr'!$E$16))</f>
        <v>429395</v>
      </c>
      <c r="W37" s="270">
        <f>+W9*(1+'.c12_inputs.hr'!$E$15)+(W23*(1+'.c12_inputs.hr'!$E$16))</f>
        <v>429395</v>
      </c>
      <c r="X37" s="270"/>
      <c r="Y37" s="270"/>
      <c r="Z37" s="274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H37" s="233"/>
      <c r="BI37" s="233"/>
      <c r="BJ37" s="233"/>
      <c r="BK37" s="233"/>
    </row>
    <row r="38" spans="1:63">
      <c r="A38" s="233" t="str">
        <f t="shared" si="2"/>
        <v>Development Manager??? (alexi?)</v>
      </c>
      <c r="B38" s="259" t="s">
        <v>79</v>
      </c>
      <c r="C38" s="259" t="s">
        <v>335</v>
      </c>
      <c r="D38" s="259" t="s">
        <v>359</v>
      </c>
      <c r="E38" s="270"/>
      <c r="F38" s="270"/>
      <c r="G38" s="270"/>
      <c r="H38" s="270"/>
      <c r="I38" s="282">
        <v>0</v>
      </c>
      <c r="J38" s="282">
        <v>0</v>
      </c>
      <c r="K38" s="270"/>
      <c r="L38" s="270">
        <f>+L10*(1+'.c12_inputs.hr'!$E$15)+(L24*(1+'.c12_inputs.hr'!$E$16))</f>
        <v>50399.999999999993</v>
      </c>
      <c r="M38" s="270">
        <f>+M10*(1+'.c12_inputs.hr'!$E$15)+(M24*(1+'.c12_inputs.hr'!$E$16))</f>
        <v>50399.999999999993</v>
      </c>
      <c r="N38" s="270">
        <f>+N10*(1+'.c12_inputs.hr'!$E$15)+(N24*(1+'.c12_inputs.hr'!$E$16))</f>
        <v>50399.999999999993</v>
      </c>
      <c r="O38" s="270">
        <f>+O10*(1+'.c12_inputs.hr'!$E$15)+(O24*(1+'.c12_inputs.hr'!$E$16))</f>
        <v>0</v>
      </c>
      <c r="P38" s="270">
        <f>+P10*(1+'.c12_inputs.hr'!$E$15)+(P24*(1+'.c12_inputs.hr'!$E$16))</f>
        <v>0</v>
      </c>
      <c r="Q38" s="270">
        <f>+Q10*(1+'.c12_inputs.hr'!$E$15)+(Q24*(1+'.c12_inputs.hr'!$E$16))</f>
        <v>0</v>
      </c>
      <c r="R38" s="270">
        <f>+R10*(1+'.c12_inputs.hr'!$E$15)+(R24*(1+'.c12_inputs.hr'!$E$16))</f>
        <v>0</v>
      </c>
      <c r="S38" s="270">
        <f>+S10*(1+'.c12_inputs.hr'!$E$15)+(S24*(1+'.c12_inputs.hr'!$E$16))</f>
        <v>0</v>
      </c>
      <c r="T38" s="270">
        <f>+T10*(1+'.c12_inputs.hr'!$E$15)+(T24*(1+'.c12_inputs.hr'!$E$16))</f>
        <v>0</v>
      </c>
      <c r="U38" s="270">
        <f>+U10*(1+'.c12_inputs.hr'!$E$15)+(U24*(1+'.c12_inputs.hr'!$E$16))</f>
        <v>0</v>
      </c>
      <c r="V38" s="270">
        <f>+V10*(1+'.c12_inputs.hr'!$E$15)+(V24*(1+'.c12_inputs.hr'!$E$16))</f>
        <v>0</v>
      </c>
      <c r="W38" s="270">
        <f>+W10*(1+'.c12_inputs.hr'!$E$15)+(W24*(1+'.c12_inputs.hr'!$E$16))</f>
        <v>0</v>
      </c>
      <c r="X38" s="270"/>
      <c r="Y38" s="270"/>
      <c r="Z38" s="274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</row>
    <row r="39" spans="1:63">
      <c r="A39" s="233" t="str">
        <f t="shared" si="2"/>
        <v>Banker (tBD)</v>
      </c>
      <c r="B39" s="259" t="s">
        <v>79</v>
      </c>
      <c r="C39" s="259" t="s">
        <v>335</v>
      </c>
      <c r="D39" s="259" t="s">
        <v>361</v>
      </c>
      <c r="E39" s="270"/>
      <c r="F39" s="270"/>
      <c r="G39" s="270"/>
      <c r="H39" s="270"/>
      <c r="I39" s="282">
        <v>138350</v>
      </c>
      <c r="J39" s="282">
        <v>0</v>
      </c>
      <c r="K39" s="270"/>
      <c r="L39" s="270">
        <f>+L11*(1+'.c12_inputs.hr'!$E$15)+(L25*(1+'.c12_inputs.hr'!$E$16))</f>
        <v>86400</v>
      </c>
      <c r="M39" s="270">
        <f>+M11*(1+'.c12_inputs.hr'!$E$15)+(M25*(1+'.c12_inputs.hr'!$E$16))</f>
        <v>86400</v>
      </c>
      <c r="N39" s="270">
        <f>+N11*(1+'.c12_inputs.hr'!$E$15)+(N25*(1+'.c12_inputs.hr'!$E$16))</f>
        <v>86400</v>
      </c>
      <c r="O39" s="270">
        <f>+O11*(1+'.c12_inputs.hr'!$E$15)+(O25*(1+'.c12_inputs.hr'!$E$16))</f>
        <v>138350</v>
      </c>
      <c r="P39" s="270">
        <f>+P11*(1+'.c12_inputs.hr'!$E$15)+(P25*(1+'.c12_inputs.hr'!$E$16))</f>
        <v>0</v>
      </c>
      <c r="Q39" s="270">
        <f>+Q11*(1+'.c12_inputs.hr'!$E$15)+(Q25*(1+'.c12_inputs.hr'!$E$16))</f>
        <v>0</v>
      </c>
      <c r="R39" s="270">
        <f>+R11*(1+'.c12_inputs.hr'!$E$15)+(R25*(1+'.c12_inputs.hr'!$E$16))</f>
        <v>0</v>
      </c>
      <c r="S39" s="270">
        <f>+S11*(1+'.c12_inputs.hr'!$E$15)+(S25*(1+'.c12_inputs.hr'!$E$16))</f>
        <v>103899.99999999999</v>
      </c>
      <c r="T39" s="270">
        <f>+T11*(1+'.c12_inputs.hr'!$E$15)+(T25*(1+'.c12_inputs.hr'!$E$16))</f>
        <v>0</v>
      </c>
      <c r="U39" s="270">
        <f>+U11*(1+'.c12_inputs.hr'!$E$15)+(U25*(1+'.c12_inputs.hr'!$E$16))</f>
        <v>0</v>
      </c>
      <c r="V39" s="270">
        <f>+V11*(1+'.c12_inputs.hr'!$E$15)+(V25*(1+'.c12_inputs.hr'!$E$16))</f>
        <v>0</v>
      </c>
      <c r="W39" s="270">
        <f>+W11*(1+'.c12_inputs.hr'!$E$15)+(W25*(1+'.c12_inputs.hr'!$E$16))</f>
        <v>0</v>
      </c>
      <c r="X39" s="270"/>
      <c r="Y39" s="270"/>
      <c r="Z39" s="274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</row>
    <row r="40" spans="1:63">
      <c r="A40" s="233" t="str">
        <f t="shared" si="2"/>
        <v>Senior Design Manager (AM)</v>
      </c>
      <c r="B40" s="259" t="s">
        <v>79</v>
      </c>
      <c r="C40" s="259" t="s">
        <v>335</v>
      </c>
      <c r="D40" s="259" t="s">
        <v>363</v>
      </c>
      <c r="E40" s="270"/>
      <c r="F40" s="257"/>
      <c r="G40" s="257"/>
      <c r="H40" s="257"/>
      <c r="I40" s="282">
        <v>119375</v>
      </c>
      <c r="J40" s="282">
        <v>54719.999999999993</v>
      </c>
      <c r="K40" s="257"/>
      <c r="L40" s="270">
        <f>+L12*(1+'.c12_inputs.hr'!$E$15)+(L26*(1+'.c12_inputs.hr'!$E$16))</f>
        <v>51839.999999999993</v>
      </c>
      <c r="M40" s="270">
        <f>+M12*(1+'.c12_inputs.hr'!$E$15)+(M26*(1+'.c12_inputs.hr'!$E$16))</f>
        <v>51839.999999999993</v>
      </c>
      <c r="N40" s="270">
        <f>+N12*(1+'.c12_inputs.hr'!$E$15)+(N26*(1+'.c12_inputs.hr'!$E$16))</f>
        <v>51839.999999999993</v>
      </c>
      <c r="O40" s="270">
        <f>+O12*(1+'.c12_inputs.hr'!$E$15)+(O26*(1+'.c12_inputs.hr'!$E$16))</f>
        <v>119375</v>
      </c>
      <c r="P40" s="270">
        <f>+P12*(1+'.c12_inputs.hr'!$E$15)+(P26*(1+'.c12_inputs.hr'!$E$16))</f>
        <v>54719.999999999993</v>
      </c>
      <c r="Q40" s="270">
        <f>+Q12*(1+'.c12_inputs.hr'!$E$15)+(Q26*(1+'.c12_inputs.hr'!$E$16))</f>
        <v>54719.999999999993</v>
      </c>
      <c r="R40" s="270">
        <f>+R12*(1+'.c12_inputs.hr'!$E$15)+(R26*(1+'.c12_inputs.hr'!$E$16))</f>
        <v>54719.999999999993</v>
      </c>
      <c r="S40" s="270">
        <f>+S12*(1+'.c12_inputs.hr'!$E$15)+(S26*(1+'.c12_inputs.hr'!$E$16))</f>
        <v>111864.99999999999</v>
      </c>
      <c r="T40" s="270">
        <f>+T12*(1+'.c12_inputs.hr'!$E$15)+(T26*(1+'.c12_inputs.hr'!$E$16))</f>
        <v>276024.99999999994</v>
      </c>
      <c r="U40" s="270">
        <f>+U12*(1+'.c12_inputs.hr'!$E$15)+(U26*(1+'.c12_inputs.hr'!$E$16))</f>
        <v>276024.99999999994</v>
      </c>
      <c r="V40" s="270">
        <f>+V12*(1+'.c12_inputs.hr'!$E$15)+(V26*(1+'.c12_inputs.hr'!$E$16))</f>
        <v>276024.99999999994</v>
      </c>
      <c r="W40" s="270">
        <f>+W12*(1+'.c12_inputs.hr'!$E$15)+(W26*(1+'.c12_inputs.hr'!$E$16))</f>
        <v>276024.99999999994</v>
      </c>
      <c r="X40" s="270"/>
      <c r="Y40" s="270"/>
      <c r="Z40" s="274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</row>
    <row r="41" spans="1:63">
      <c r="A41" s="233" t="str">
        <f t="shared" si="2"/>
        <v>Design Manager (AL) (gone)</v>
      </c>
      <c r="B41" s="259" t="s">
        <v>79</v>
      </c>
      <c r="C41" s="259" t="s">
        <v>335</v>
      </c>
      <c r="D41" s="259" t="s">
        <v>365</v>
      </c>
      <c r="E41" s="270"/>
      <c r="F41" s="270"/>
      <c r="G41" s="270"/>
      <c r="H41" s="270"/>
      <c r="I41" s="282">
        <v>63415</v>
      </c>
      <c r="J41" s="282">
        <v>39600</v>
      </c>
      <c r="K41" s="270"/>
      <c r="L41" s="270">
        <f>+L13*(1+'.c12_inputs.hr'!$E$15)+(L27*(1+'.c12_inputs.hr'!$E$16))</f>
        <v>37440</v>
      </c>
      <c r="M41" s="270">
        <f>+M13*(1+'.c12_inputs.hr'!$E$15)+(M27*(1+'.c12_inputs.hr'!$E$16))</f>
        <v>37440</v>
      </c>
      <c r="N41" s="270">
        <f>+N13*(1+'.c12_inputs.hr'!$E$15)+(N27*(1+'.c12_inputs.hr'!$E$16))</f>
        <v>37440</v>
      </c>
      <c r="O41" s="270">
        <f>+O13*(1+'.c12_inputs.hr'!$E$15)+(O27*(1+'.c12_inputs.hr'!$E$16))</f>
        <v>63415</v>
      </c>
      <c r="P41" s="270">
        <f>+P13*(1+'.c12_inputs.hr'!$E$15)+(P27*(1+'.c12_inputs.hr'!$E$16))</f>
        <v>39600</v>
      </c>
      <c r="Q41" s="270">
        <f>+Q13*(1+'.c12_inputs.hr'!$E$15)+(Q27*(1+'.c12_inputs.hr'!$E$16))</f>
        <v>0</v>
      </c>
      <c r="R41" s="270">
        <f>+R13*(1+'.c12_inputs.hr'!$E$15)+(R27*(1+'.c12_inputs.hr'!$E$16))</f>
        <v>0</v>
      </c>
      <c r="S41" s="270">
        <f>+S13*(1+'.c12_inputs.hr'!$E$15)+(S27*(1+'.c12_inputs.hr'!$E$16))</f>
        <v>0</v>
      </c>
      <c r="T41" s="270">
        <f>+T13*(1+'.c12_inputs.hr'!$E$15)+(T27*(1+'.c12_inputs.hr'!$E$16))</f>
        <v>0</v>
      </c>
      <c r="U41" s="270">
        <f>+U13*(1+'.c12_inputs.hr'!$E$15)+(U27*(1+'.c12_inputs.hr'!$E$16))</f>
        <v>0</v>
      </c>
      <c r="V41" s="270">
        <f>+V13*(1+'.c12_inputs.hr'!$E$15)+(V27*(1+'.c12_inputs.hr'!$E$16))</f>
        <v>0</v>
      </c>
      <c r="W41" s="270">
        <f>+W13*(1+'.c12_inputs.hr'!$E$15)+(W27*(1+'.c12_inputs.hr'!$E$16))</f>
        <v>0</v>
      </c>
      <c r="X41" s="270"/>
      <c r="Y41" s="270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3"/>
      <c r="BH41" s="233"/>
      <c r="BI41" s="233"/>
      <c r="BJ41" s="233"/>
      <c r="BK41" s="233"/>
    </row>
    <row r="42" spans="1:63">
      <c r="A42" s="233" t="str">
        <f t="shared" si="2"/>
        <v>new design manager (TBD)</v>
      </c>
      <c r="B42" s="259" t="s">
        <v>79</v>
      </c>
      <c r="C42" s="259" t="s">
        <v>335</v>
      </c>
      <c r="D42" s="259" t="s">
        <v>367</v>
      </c>
      <c r="E42" s="270"/>
      <c r="F42" s="270"/>
      <c r="G42" s="270"/>
      <c r="H42" s="270"/>
      <c r="I42" s="282">
        <v>0</v>
      </c>
      <c r="J42" s="282">
        <v>0</v>
      </c>
      <c r="K42" s="270"/>
      <c r="L42" s="270">
        <f>+L14*(1+'.c12_inputs.hr'!$E$15)+(L28*(1+'.c12_inputs.hr'!$E$16))</f>
        <v>0</v>
      </c>
      <c r="M42" s="270">
        <f>+M14*(1+'.c12_inputs.hr'!$E$15)+(M28*(1+'.c12_inputs.hr'!$E$16))</f>
        <v>0</v>
      </c>
      <c r="N42" s="270">
        <f>+N14*(1+'.c12_inputs.hr'!$E$15)+(N28*(1+'.c12_inputs.hr'!$E$16))</f>
        <v>0</v>
      </c>
      <c r="O42" s="270">
        <f>+O14*(1+'.c12_inputs.hr'!$E$15)+(O28*(1+'.c12_inputs.hr'!$E$16))</f>
        <v>0</v>
      </c>
      <c r="P42" s="270">
        <f>+P14*(1+'.c12_inputs.hr'!$E$15)+(P28*(1+'.c12_inputs.hr'!$E$16))</f>
        <v>0</v>
      </c>
      <c r="Q42" s="270">
        <f>+Q14*(1+'.c12_inputs.hr'!$E$15)+(Q28*(1+'.c12_inputs.hr'!$E$16))</f>
        <v>0</v>
      </c>
      <c r="R42" s="270">
        <f>+R14*(1+'.c12_inputs.hr'!$E$15)+(R28*(1+'.c12_inputs.hr'!$E$16))</f>
        <v>39600</v>
      </c>
      <c r="S42" s="270">
        <f>+S14*(1+'.c12_inputs.hr'!$E$15)+(S28*(1+'.c12_inputs.hr'!$E$16))</f>
        <v>51288.75</v>
      </c>
      <c r="T42" s="270">
        <f>+T14*(1+'.c12_inputs.hr'!$E$15)+(T28*(1+'.c12_inputs.hr'!$E$16))</f>
        <v>181777.5</v>
      </c>
      <c r="U42" s="270">
        <f>+U14*(1+'.c12_inputs.hr'!$E$15)+(U28*(1+'.c12_inputs.hr'!$E$16))</f>
        <v>181777.5</v>
      </c>
      <c r="V42" s="270">
        <f>+V14*(1+'.c12_inputs.hr'!$E$15)+(V28*(1+'.c12_inputs.hr'!$E$16))</f>
        <v>181777.5</v>
      </c>
      <c r="W42" s="270">
        <f>+W14*(1+'.c12_inputs.hr'!$E$15)+(W28*(1+'.c12_inputs.hr'!$E$16))</f>
        <v>181777.5</v>
      </c>
      <c r="X42" s="270"/>
      <c r="Y42" s="270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</row>
    <row r="43" spans="1:63">
      <c r="A43" s="233" t="str">
        <f t="shared" si="2"/>
        <v>FF&amp;E (SB)</v>
      </c>
      <c r="B43" s="259" t="s">
        <v>79</v>
      </c>
      <c r="C43" s="259" t="s">
        <v>335</v>
      </c>
      <c r="D43" s="259" t="s">
        <v>369</v>
      </c>
      <c r="E43" s="270"/>
      <c r="F43" s="270"/>
      <c r="G43" s="270"/>
      <c r="H43" s="270"/>
      <c r="I43" s="282">
        <v>31680</v>
      </c>
      <c r="J43" s="282">
        <v>31680</v>
      </c>
      <c r="K43" s="270"/>
      <c r="L43" s="270">
        <f>+L15*(1+'.c12_inputs.hr'!$E$15)+(L29*(1+'.c12_inputs.hr'!$E$16))</f>
        <v>31679.999999999996</v>
      </c>
      <c r="M43" s="270">
        <f>+M15*(1+'.c12_inputs.hr'!$E$15)+(M29*(1+'.c12_inputs.hr'!$E$16))</f>
        <v>31679.999999999996</v>
      </c>
      <c r="N43" s="270">
        <f>+N15*(1+'.c12_inputs.hr'!$E$15)+(N29*(1+'.c12_inputs.hr'!$E$16))</f>
        <v>31679.999999999996</v>
      </c>
      <c r="O43" s="270">
        <f>+O15*(1+'.c12_inputs.hr'!$E$15)+(O29*(1+'.c12_inputs.hr'!$E$16))</f>
        <v>31679.999999999996</v>
      </c>
      <c r="P43" s="270">
        <f>+P15*(1+'.c12_inputs.hr'!$E$15)+(P29*(1+'.c12_inputs.hr'!$E$16))</f>
        <v>31679.999999999996</v>
      </c>
      <c r="Q43" s="270">
        <f>+Q15*(1+'.c12_inputs.hr'!$E$15)+(Q29*(1+'.c12_inputs.hr'!$E$16))</f>
        <v>31679.999999999996</v>
      </c>
      <c r="R43" s="270">
        <f>+R15*(1+'.c12_inputs.hr'!$E$15)+(R29*(1+'.c12_inputs.hr'!$E$16))</f>
        <v>31679.999999999996</v>
      </c>
      <c r="S43" s="270">
        <f>+S15*(1+'.c12_inputs.hr'!$E$15)+(S29*(1+'.c12_inputs.hr'!$E$16))</f>
        <v>47264.999999999993</v>
      </c>
      <c r="T43" s="270">
        <f>+T15*(1+'.c12_inputs.hr'!$E$15)+(T29*(1+'.c12_inputs.hr'!$E$16))</f>
        <v>142304.99999999997</v>
      </c>
      <c r="U43" s="270">
        <f>+U15*(1+'.c12_inputs.hr'!$E$15)+(U29*(1+'.c12_inputs.hr'!$E$16))</f>
        <v>142304.99999999997</v>
      </c>
      <c r="V43" s="270">
        <f>+V15*(1+'.c12_inputs.hr'!$E$15)+(V29*(1+'.c12_inputs.hr'!$E$16))</f>
        <v>142304.99999999997</v>
      </c>
      <c r="W43" s="270">
        <f>+W15*(1+'.c12_inputs.hr'!$E$15)+(W29*(1+'.c12_inputs.hr'!$E$16))</f>
        <v>142304.99999999997</v>
      </c>
      <c r="X43" s="270"/>
      <c r="Y43" s="270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</row>
    <row r="44" spans="1:63" ht="14.65" customHeight="1">
      <c r="A44" s="233" t="str">
        <f t="shared" si="2"/>
        <v>Senior Financial Analyst (KS)</v>
      </c>
      <c r="B44" s="259" t="s">
        <v>79</v>
      </c>
      <c r="C44" s="259" t="s">
        <v>335</v>
      </c>
      <c r="D44" s="259" t="s">
        <v>371</v>
      </c>
      <c r="E44" s="270"/>
      <c r="F44" s="270"/>
      <c r="G44" s="270"/>
      <c r="H44" s="270"/>
      <c r="I44" s="282">
        <v>51949.999999999993</v>
      </c>
      <c r="J44" s="282">
        <v>57599.999999999993</v>
      </c>
      <c r="K44" s="270"/>
      <c r="L44" s="270">
        <f>+L16*(1+'.c12_inputs.hr'!$E$15)+(L30*(1+'.c12_inputs.hr'!$E$16))</f>
        <v>0</v>
      </c>
      <c r="M44" s="270">
        <f>+M16*(1+'.c12_inputs.hr'!$E$15)+(M30*(1+'.c12_inputs.hr'!$E$16))</f>
        <v>0</v>
      </c>
      <c r="N44" s="270">
        <f>+N16*(1+'.c12_inputs.hr'!$E$15)+(N30*(1+'.c12_inputs.hr'!$E$16))</f>
        <v>0</v>
      </c>
      <c r="O44" s="270">
        <f>+O16*(1+'.c12_inputs.hr'!$E$15)+(O30*(1+'.c12_inputs.hr'!$E$16))</f>
        <v>51949.999999999993</v>
      </c>
      <c r="P44" s="270">
        <f>+P16*(1+'.c12_inputs.hr'!$E$15)+(P30*(1+'.c12_inputs.hr'!$E$16))</f>
        <v>57599.999999999993</v>
      </c>
      <c r="Q44" s="270">
        <f>+Q16*(1+'.c12_inputs.hr'!$E$15)+(Q30*(1+'.c12_inputs.hr'!$E$16))</f>
        <v>57599.999999999993</v>
      </c>
      <c r="R44" s="270">
        <f>+R16*(1+'.c12_inputs.hr'!$E$15)+(R30*(1+'.c12_inputs.hr'!$E$16))</f>
        <v>57599.999999999993</v>
      </c>
      <c r="S44" s="270">
        <f>+S16*(1+'.c12_inputs.hr'!$E$15)+(S30*(1+'.c12_inputs.hr'!$E$16))</f>
        <v>109549.99999999999</v>
      </c>
      <c r="T44" s="270">
        <f>+T16*(1+'.c12_inputs.hr'!$E$15)+(T30*(1+'.c12_inputs.hr'!$E$16))</f>
        <v>282349.99999999994</v>
      </c>
      <c r="U44" s="270">
        <f>+U16*(1+'.c12_inputs.hr'!$E$15)+(U30*(1+'.c12_inputs.hr'!$E$16))</f>
        <v>282349.99999999994</v>
      </c>
      <c r="V44" s="270">
        <f>+V16*(1+'.c12_inputs.hr'!$E$15)+(V30*(1+'.c12_inputs.hr'!$E$16))</f>
        <v>282349.99999999994</v>
      </c>
      <c r="W44" s="270">
        <f>+W16*(1+'.c12_inputs.hr'!$E$15)+(W30*(1+'.c12_inputs.hr'!$E$16))</f>
        <v>282349.99999999994</v>
      </c>
      <c r="X44" s="270"/>
      <c r="Y44" s="270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233"/>
      <c r="BC44" s="233"/>
      <c r="BD44" s="233"/>
      <c r="BE44" s="233"/>
      <c r="BF44" s="233"/>
      <c r="BG44" s="233"/>
      <c r="BH44" s="233"/>
      <c r="BI44" s="233"/>
      <c r="BJ44" s="233"/>
      <c r="BK44" s="233"/>
    </row>
    <row r="45" spans="1:63" ht="14.65" customHeight="1">
      <c r="A45" s="279" t="s">
        <v>249</v>
      </c>
      <c r="B45" s="259" t="s">
        <v>9</v>
      </c>
      <c r="C45" s="259" t="s">
        <v>250</v>
      </c>
      <c r="D45" s="233"/>
      <c r="E45" s="270"/>
      <c r="F45" s="270"/>
      <c r="G45" s="270"/>
      <c r="H45" s="270"/>
      <c r="I45" s="282">
        <v>1652177.5</v>
      </c>
      <c r="J45" s="282">
        <v>560159.99999999988</v>
      </c>
      <c r="K45" s="270"/>
      <c r="L45" s="283">
        <f t="shared" ref="L45:W45" si="3">SUM(L34:L44)</f>
        <v>515519.99999999994</v>
      </c>
      <c r="M45" s="283">
        <f t="shared" si="3"/>
        <v>515519.99999999994</v>
      </c>
      <c r="N45" s="283">
        <f t="shared" si="3"/>
        <v>515519.99999999994</v>
      </c>
      <c r="O45" s="283">
        <f t="shared" si="3"/>
        <v>1652177.5</v>
      </c>
      <c r="P45" s="283">
        <f t="shared" si="3"/>
        <v>560159.99999999988</v>
      </c>
      <c r="Q45" s="283">
        <f t="shared" si="3"/>
        <v>520559.99999999994</v>
      </c>
      <c r="R45" s="283">
        <f t="shared" si="3"/>
        <v>560159.99999999988</v>
      </c>
      <c r="S45" s="283">
        <f t="shared" si="3"/>
        <v>1221223.75</v>
      </c>
      <c r="T45" s="283">
        <f t="shared" si="3"/>
        <v>2809492.4999999995</v>
      </c>
      <c r="U45" s="283">
        <f t="shared" si="3"/>
        <v>2809492.4999999995</v>
      </c>
      <c r="V45" s="283">
        <f t="shared" si="3"/>
        <v>2809492.4999999995</v>
      </c>
      <c r="W45" s="283">
        <f t="shared" si="3"/>
        <v>2809492.4999999995</v>
      </c>
      <c r="X45" s="270"/>
      <c r="Y45" s="274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3"/>
      <c r="AV45" s="233"/>
      <c r="AW45" s="233"/>
      <c r="AX45" s="233"/>
      <c r="AY45" s="233"/>
      <c r="AZ45" s="233"/>
      <c r="BA45" s="233"/>
      <c r="BB45" s="233"/>
      <c r="BC45" s="233"/>
      <c r="BD45" s="233"/>
      <c r="BE45" s="233"/>
      <c r="BF45" s="233"/>
      <c r="BG45" s="233"/>
      <c r="BH45" s="233"/>
      <c r="BI45" s="233"/>
      <c r="BJ45" s="233"/>
      <c r="BK45" s="233"/>
    </row>
    <row r="46" spans="1:63">
      <c r="A46" s="260" t="s">
        <v>251</v>
      </c>
      <c r="B46" s="259" t="s">
        <v>9</v>
      </c>
      <c r="C46" s="259" t="s">
        <v>252</v>
      </c>
      <c r="D46" s="233"/>
      <c r="E46" s="265"/>
      <c r="F46" s="270"/>
      <c r="G46" s="270"/>
      <c r="H46" s="270"/>
      <c r="I46" s="267">
        <v>123922.5</v>
      </c>
      <c r="J46" s="267">
        <v>85679.999999999985</v>
      </c>
      <c r="K46" s="270"/>
      <c r="L46" s="268">
        <f>SUMPRODUCT('.c12_alloc'!$H$24:$H$34,'.c12_d&amp;s_hr'!L$34:L$44)</f>
        <v>84959.999999999985</v>
      </c>
      <c r="M46" s="268">
        <f>SUMPRODUCT('.c12_alloc'!$H$24:$H$34,'.c12_d&amp;s_hr'!M$34:M$44)</f>
        <v>84959.999999999985</v>
      </c>
      <c r="N46" s="268">
        <f>SUMPRODUCT('.c12_alloc'!$H$24:$H$34,'.c12_d&amp;s_hr'!N$34:N$44)</f>
        <v>84959.999999999985</v>
      </c>
      <c r="O46" s="268">
        <f>SUMPRODUCT('.c12_alloc'!$H$24:$H$34,'.c12_d&amp;s_hr'!O$34:O$44)</f>
        <v>123922.5</v>
      </c>
      <c r="P46" s="268">
        <f>SUMPRODUCT('.c12_alloc'!$H$24:$H$34,'.c12_d&amp;s_hr'!P$34:P$44)</f>
        <v>85679.999999999985</v>
      </c>
      <c r="Q46" s="268">
        <f>SUMPRODUCT('.c12_alloc'!$H$24:$H$34,'.c12_d&amp;s_hr'!Q$34:Q$44)</f>
        <v>85679.999999999985</v>
      </c>
      <c r="R46" s="268">
        <f>SUMPRODUCT('.c12_alloc'!$H$24:$H$34,'.c12_d&amp;s_hr'!R$34:R$44)</f>
        <v>85679.999999999985</v>
      </c>
      <c r="S46" s="268">
        <f>SUMPRODUCT('.c12_alloc'!$H$24:$H$34,'.c12_d&amp;s_hr'!S$34:S$44)</f>
        <v>116849.99999999997</v>
      </c>
      <c r="T46" s="268">
        <f>SUMPRODUCT('.c12_alloc'!$H$24:$H$34,'.c12_d&amp;s_hr'!T$34:T$44)</f>
        <v>373889.99999999994</v>
      </c>
      <c r="U46" s="268">
        <f>SUMPRODUCT('.c12_alloc'!$H$24:$H$34,'.c12_d&amp;s_hr'!U$34:U$44)</f>
        <v>373889.99999999994</v>
      </c>
      <c r="V46" s="268">
        <f>SUMPRODUCT('.c12_alloc'!$H$24:$H$34,'.c12_d&amp;s_hr'!V$34:V$44)</f>
        <v>373889.99999999994</v>
      </c>
      <c r="W46" s="268">
        <f>SUMPRODUCT('.c12_alloc'!$H$24:$H$34,'.c12_d&amp;s_hr'!W$34:W$44)</f>
        <v>373889.99999999994</v>
      </c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H46" s="233"/>
      <c r="BI46" s="233"/>
      <c r="BJ46" s="233"/>
      <c r="BK46" s="233"/>
    </row>
    <row r="47" spans="1:63">
      <c r="A47" s="260" t="s">
        <v>253</v>
      </c>
      <c r="B47" s="259" t="s">
        <v>9</v>
      </c>
      <c r="C47" s="259" t="s">
        <v>254</v>
      </c>
      <c r="D47" s="233"/>
      <c r="E47" s="265"/>
      <c r="F47" s="270"/>
      <c r="G47" s="270"/>
      <c r="H47" s="270"/>
      <c r="I47" s="267">
        <v>1528255</v>
      </c>
      <c r="J47" s="267">
        <v>474480</v>
      </c>
      <c r="K47" s="270"/>
      <c r="L47" s="268">
        <f>SUMPRODUCT('.c12_alloc'!$G$24:$G$34,'.c12_d&amp;s_hr'!L$34:L$44)</f>
        <v>430560</v>
      </c>
      <c r="M47" s="268">
        <f>SUMPRODUCT('.c12_alloc'!$G$24:$G$34,'.c12_d&amp;s_hr'!M$34:M$44)</f>
        <v>430560</v>
      </c>
      <c r="N47" s="268">
        <f>SUMPRODUCT('.c12_alloc'!$G$24:$G$34,'.c12_d&amp;s_hr'!N$34:N$44)</f>
        <v>430560</v>
      </c>
      <c r="O47" s="268">
        <f>SUMPRODUCT('.c12_alloc'!$G$24:$G$34,'.c12_d&amp;s_hr'!O$34:O$44)</f>
        <v>1528255</v>
      </c>
      <c r="P47" s="268">
        <f>SUMPRODUCT('.c12_alloc'!$G$24:$G$34,'.c12_d&amp;s_hr'!P$34:P$44)</f>
        <v>474480</v>
      </c>
      <c r="Q47" s="268">
        <f>SUMPRODUCT('.c12_alloc'!$G$24:$G$34,'.c12_d&amp;s_hr'!Q$34:Q$44)</f>
        <v>434880</v>
      </c>
      <c r="R47" s="268">
        <f>SUMPRODUCT('.c12_alloc'!$G$24:$G$34,'.c12_d&amp;s_hr'!R$34:R$44)</f>
        <v>474480</v>
      </c>
      <c r="S47" s="268">
        <f>SUMPRODUCT('.c12_alloc'!$G$24:$G$34,'.c12_d&amp;s_hr'!S$34:S$44)</f>
        <v>1104373.75</v>
      </c>
      <c r="T47" s="268">
        <f>SUMPRODUCT('.c12_alloc'!$G$24:$G$34,'.c12_d&amp;s_hr'!T$34:T$44)</f>
        <v>2435602.4999999995</v>
      </c>
      <c r="U47" s="268">
        <f>SUMPRODUCT('.c12_alloc'!$G$24:$G$34,'.c12_d&amp;s_hr'!U$34:U$44)</f>
        <v>2435602.4999999995</v>
      </c>
      <c r="V47" s="268">
        <f>SUMPRODUCT('.c12_alloc'!$G$24:$G$34,'.c12_d&amp;s_hr'!V$34:V$44)</f>
        <v>2435602.4999999995</v>
      </c>
      <c r="W47" s="268">
        <f>SUMPRODUCT('.c12_alloc'!$G$24:$G$34,'.c12_d&amp;s_hr'!W$34:W$44)</f>
        <v>2435602.4999999995</v>
      </c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  <c r="BD47" s="233"/>
      <c r="BE47" s="233"/>
      <c r="BF47" s="233"/>
      <c r="BG47" s="233"/>
      <c r="BH47" s="233"/>
      <c r="BI47" s="233"/>
      <c r="BJ47" s="233"/>
      <c r="BK47" s="233"/>
    </row>
    <row r="48" spans="1:63">
      <c r="A48" s="260" t="s">
        <v>255</v>
      </c>
      <c r="B48" s="259" t="s">
        <v>9</v>
      </c>
      <c r="C48" s="259" t="s">
        <v>256</v>
      </c>
      <c r="D48" s="233"/>
      <c r="E48" s="265"/>
      <c r="F48" s="265"/>
      <c r="G48" s="265"/>
      <c r="H48" s="265"/>
      <c r="I48" s="267">
        <v>0</v>
      </c>
      <c r="J48" s="267">
        <v>0</v>
      </c>
      <c r="K48" s="265"/>
      <c r="L48" s="268">
        <f>SUMPRODUCT('.c12_alloc'!$E$24:$E$34,'.c12_d&amp;s_hr'!L$34:L$44)</f>
        <v>0</v>
      </c>
      <c r="M48" s="268">
        <f>SUMPRODUCT('.c12_alloc'!$E$24:$E$34,'.c12_d&amp;s_hr'!M$34:M$44)</f>
        <v>0</v>
      </c>
      <c r="N48" s="268">
        <f>SUMPRODUCT('.c12_alloc'!$E$24:$E$34,'.c12_d&amp;s_hr'!N$34:N$44)</f>
        <v>0</v>
      </c>
      <c r="O48" s="268">
        <f>SUMPRODUCT('.c12_alloc'!$E$24:$E$34,'.c12_d&amp;s_hr'!O$34:O$44)</f>
        <v>0</v>
      </c>
      <c r="P48" s="268">
        <f>SUMPRODUCT('.c12_alloc'!$E$24:$E$34,'.c12_d&amp;s_hr'!P$34:P$44)</f>
        <v>0</v>
      </c>
      <c r="Q48" s="268">
        <f>SUMPRODUCT('.c12_alloc'!$E$24:$E$34,'.c12_d&amp;s_hr'!Q$34:Q$44)</f>
        <v>0</v>
      </c>
      <c r="R48" s="268">
        <f>SUMPRODUCT('.c12_alloc'!$E$24:$E$34,'.c12_d&amp;s_hr'!R$34:R$44)</f>
        <v>0</v>
      </c>
      <c r="S48" s="268">
        <f>SUMPRODUCT('.c12_alloc'!$E$24:$E$34,'.c12_d&amp;s_hr'!S$34:S$44)</f>
        <v>0</v>
      </c>
      <c r="T48" s="268">
        <f>SUMPRODUCT('.c12_alloc'!$E$24:$E$34,'.c12_d&amp;s_hr'!T$34:T$44)</f>
        <v>0</v>
      </c>
      <c r="U48" s="268">
        <f>SUMPRODUCT('.c12_alloc'!$E$24:$E$34,'.c12_d&amp;s_hr'!U$34:U$44)</f>
        <v>0</v>
      </c>
      <c r="V48" s="268">
        <f>SUMPRODUCT('.c12_alloc'!$E$24:$E$34,'.c12_d&amp;s_hr'!V$34:V$44)</f>
        <v>0</v>
      </c>
      <c r="W48" s="268">
        <f>SUMPRODUCT('.c12_alloc'!$E$24:$E$34,'.c12_d&amp;s_hr'!W$34:W$44)</f>
        <v>0</v>
      </c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33"/>
      <c r="BG48" s="233"/>
      <c r="BH48" s="233"/>
      <c r="BI48" s="233"/>
      <c r="BJ48" s="233"/>
      <c r="BK48" s="233"/>
    </row>
    <row r="49" spans="1:63">
      <c r="A49" s="233"/>
      <c r="B49" s="233"/>
      <c r="C49" s="233"/>
      <c r="D49" s="233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</row>
    <row r="50" spans="1:63">
      <c r="A50" s="233"/>
      <c r="B50" s="233"/>
      <c r="C50" s="233"/>
      <c r="D50" s="233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</row>
    <row r="51" spans="1:63">
      <c r="A51" s="233"/>
      <c r="B51" s="233"/>
      <c r="C51" s="233"/>
      <c r="D51" s="233"/>
      <c r="E51" s="233"/>
      <c r="F51" s="265"/>
      <c r="G51" s="265"/>
      <c r="H51" s="265"/>
      <c r="I51" s="233"/>
      <c r="J51" s="233"/>
      <c r="K51" s="265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</row>
    <row r="52" spans="1:63">
      <c r="A52" s="233"/>
      <c r="B52" s="233"/>
      <c r="C52" s="233"/>
      <c r="D52" s="233"/>
      <c r="E52" s="233"/>
      <c r="F52" s="265"/>
      <c r="G52" s="265"/>
      <c r="H52" s="265"/>
      <c r="I52" s="233"/>
      <c r="J52" s="233"/>
      <c r="K52" s="265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/>
      <c r="AO52" s="233"/>
      <c r="AP52" s="233"/>
      <c r="AQ52" s="233"/>
      <c r="AR52" s="233"/>
      <c r="AS52" s="233"/>
      <c r="AT52" s="233"/>
      <c r="AU52" s="233"/>
      <c r="AV52" s="233"/>
      <c r="AW52" s="233"/>
      <c r="AX52" s="233"/>
      <c r="AY52" s="233"/>
      <c r="AZ52" s="233"/>
      <c r="BA52" s="233"/>
      <c r="BB52" s="233"/>
      <c r="BC52" s="233"/>
      <c r="BD52" s="233"/>
      <c r="BE52" s="233"/>
      <c r="BF52" s="233"/>
      <c r="BG52" s="233"/>
      <c r="BH52" s="233"/>
      <c r="BI52" s="233"/>
      <c r="BJ52" s="233"/>
      <c r="BK52" s="233"/>
    </row>
    <row r="53" spans="1:63">
      <c r="A53" s="233"/>
      <c r="B53" s="233"/>
      <c r="C53" s="233"/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3"/>
      <c r="AP53" s="233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</row>
    <row r="54" spans="1:63">
      <c r="A54" s="233"/>
      <c r="B54" s="233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33"/>
      <c r="AN54" s="233"/>
      <c r="AO54" s="233"/>
      <c r="AP54" s="233"/>
      <c r="AQ54" s="233"/>
      <c r="AR54" s="233"/>
      <c r="AS54" s="233"/>
      <c r="AT54" s="233"/>
      <c r="AU54" s="233"/>
      <c r="AV54" s="233"/>
      <c r="AW54" s="233"/>
      <c r="AX54" s="233"/>
      <c r="AY54" s="233"/>
      <c r="AZ54" s="233"/>
      <c r="BA54" s="233"/>
      <c r="BB54" s="233"/>
      <c r="BC54" s="233"/>
      <c r="BD54" s="233"/>
      <c r="BE54" s="233"/>
      <c r="BF54" s="233"/>
      <c r="BG54" s="233"/>
      <c r="BH54" s="233"/>
      <c r="BI54" s="233"/>
      <c r="BJ54" s="233"/>
      <c r="BK54" s="233"/>
    </row>
    <row r="55" spans="1:63">
      <c r="A55" s="233"/>
      <c r="B55" s="233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3"/>
      <c r="AU55" s="233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33"/>
      <c r="BG55" s="233"/>
      <c r="BH55" s="233"/>
      <c r="BI55" s="233"/>
      <c r="BJ55" s="233"/>
      <c r="BK55" s="233"/>
    </row>
    <row r="56" spans="1:63">
      <c r="A56" s="233"/>
      <c r="B56" s="233"/>
      <c r="C56" s="233"/>
      <c r="D56" s="233"/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33"/>
      <c r="BG56" s="233"/>
      <c r="BH56" s="233"/>
      <c r="BI56" s="233"/>
      <c r="BJ56" s="233"/>
      <c r="BK56" s="233"/>
    </row>
    <row r="57" spans="1:63">
      <c r="A57" s="233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3"/>
      <c r="AU57" s="233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</row>
    <row r="58" spans="1:63">
      <c r="A58" s="233"/>
      <c r="B58" s="233"/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3"/>
      <c r="AU58" s="233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</row>
    <row r="59" spans="1:63">
      <c r="A59" s="233"/>
      <c r="B59" s="233"/>
      <c r="C59" s="233"/>
      <c r="D59" s="233"/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  <c r="AA59" s="233"/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/>
      <c r="AO59" s="233"/>
      <c r="AP59" s="233"/>
      <c r="AQ59" s="233"/>
      <c r="AR59" s="233"/>
      <c r="AS59" s="233"/>
      <c r="AT59" s="233"/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</row>
    <row r="60" spans="1:63">
      <c r="A60" s="233"/>
      <c r="B60" s="233"/>
      <c r="C60" s="233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/>
      <c r="AO60" s="233"/>
      <c r="AP60" s="233"/>
      <c r="AQ60" s="233"/>
      <c r="AR60" s="233"/>
      <c r="AS60" s="233"/>
      <c r="AT60" s="233"/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</row>
    <row r="61" spans="1:63">
      <c r="A61" s="233"/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</row>
    <row r="62" spans="1:63">
      <c r="A62" s="233"/>
      <c r="B62" s="233"/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/>
      <c r="AO62" s="233"/>
      <c r="AP62" s="233"/>
      <c r="AQ62" s="233"/>
      <c r="AR62" s="233"/>
      <c r="AS62" s="233"/>
      <c r="AT62" s="233"/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</row>
    <row r="63" spans="1:63">
      <c r="A63" s="233"/>
      <c r="B63" s="233"/>
      <c r="C63" s="233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</row>
    <row r="64" spans="1:63">
      <c r="A64" s="233"/>
      <c r="B64" s="233"/>
      <c r="C64" s="233"/>
      <c r="D64" s="233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  <c r="AA64" s="233"/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  <c r="AR64" s="233"/>
      <c r="AS64" s="233"/>
      <c r="AT64" s="233"/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</row>
    <row r="65" spans="1:63">
      <c r="A65" s="233"/>
      <c r="B65" s="233"/>
      <c r="C65" s="233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33"/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</row>
    <row r="66" spans="1:63">
      <c r="A66" s="233"/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</row>
    <row r="67" spans="1:63">
      <c r="A67" s="233"/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</row>
    <row r="68" spans="1:63">
      <c r="A68" s="233"/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</row>
    <row r="69" spans="1:63">
      <c r="A69" s="233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</row>
    <row r="70" spans="1:63">
      <c r="A70" s="233"/>
      <c r="B70" s="233"/>
      <c r="C70" s="233"/>
      <c r="D70" s="233"/>
      <c r="E70" s="233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</row>
    <row r="71" spans="1:63">
      <c r="A71" s="233"/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</row>
    <row r="72" spans="1:63">
      <c r="A72" s="233"/>
      <c r="B72" s="233"/>
      <c r="C72" s="233"/>
      <c r="D72" s="233"/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</row>
    <row r="73" spans="1:63">
      <c r="A73" s="233"/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</row>
    <row r="74" spans="1:63">
      <c r="A74" s="233"/>
      <c r="B74" s="233"/>
      <c r="C74" s="233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33"/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</row>
    <row r="75" spans="1:63">
      <c r="A75" s="233"/>
      <c r="B75" s="233"/>
      <c r="C75" s="233"/>
      <c r="D75" s="233"/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33"/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</row>
    <row r="76" spans="1:63">
      <c r="A76" s="233"/>
      <c r="B76" s="233"/>
      <c r="C76" s="233"/>
      <c r="D76" s="233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3"/>
      <c r="AP76" s="233"/>
      <c r="AQ76" s="233"/>
      <c r="AR76" s="233"/>
      <c r="AS76" s="233"/>
      <c r="AT76" s="233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</row>
    <row r="77" spans="1:63">
      <c r="A77" s="233"/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</row>
    <row r="78" spans="1:63">
      <c r="A78" s="233"/>
      <c r="B78" s="233"/>
      <c r="C78" s="233"/>
      <c r="D78" s="233"/>
      <c r="E78" s="233"/>
      <c r="F78" s="233"/>
      <c r="G78" s="233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33"/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</row>
    <row r="79" spans="1:63">
      <c r="A79" s="233"/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33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</row>
    <row r="80" spans="1:63">
      <c r="A80" s="233"/>
      <c r="B80" s="233"/>
      <c r="C80" s="233"/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3"/>
      <c r="AP80" s="233"/>
      <c r="AQ80" s="233"/>
      <c r="AR80" s="233"/>
      <c r="AS80" s="233"/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</row>
    <row r="81" spans="1:63">
      <c r="A81" s="233"/>
      <c r="B81" s="233"/>
      <c r="C81" s="233"/>
      <c r="D81" s="233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3"/>
      <c r="AP81" s="233"/>
      <c r="AQ81" s="233"/>
      <c r="AR81" s="233"/>
      <c r="AS81" s="233"/>
      <c r="AT81" s="233"/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</row>
    <row r="82" spans="1:63">
      <c r="A82" s="233"/>
      <c r="B82" s="233"/>
      <c r="C82" s="233"/>
      <c r="D82" s="233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3"/>
      <c r="AP82" s="233"/>
      <c r="AQ82" s="233"/>
      <c r="AR82" s="233"/>
      <c r="AS82" s="233"/>
      <c r="AT82" s="233"/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</row>
    <row r="83" spans="1:63">
      <c r="A83" s="233"/>
      <c r="B83" s="233"/>
      <c r="C83" s="233"/>
      <c r="D83" s="233"/>
      <c r="E83" s="233"/>
      <c r="F83" s="233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33"/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</row>
    <row r="84" spans="1:63">
      <c r="A84" s="233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3"/>
      <c r="AP84" s="233"/>
      <c r="AQ84" s="233"/>
      <c r="AR84" s="233"/>
      <c r="AS84" s="233"/>
      <c r="AT84" s="233"/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</row>
    <row r="85" spans="1:63">
      <c r="A85" s="233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</row>
    <row r="86" spans="1:63">
      <c r="A86" s="233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</row>
    <row r="87" spans="1:63">
      <c r="A87" s="233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33"/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33"/>
      <c r="BH87" s="233"/>
      <c r="BI87" s="233"/>
      <c r="BJ87" s="233"/>
      <c r="BK87" s="233"/>
    </row>
    <row r="88" spans="1:63">
      <c r="A88" s="233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33"/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33"/>
      <c r="BH88" s="233"/>
      <c r="BI88" s="233"/>
      <c r="BJ88" s="233"/>
      <c r="BK88" s="233"/>
    </row>
    <row r="89" spans="1:63">
      <c r="A89" s="233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/>
      <c r="AR89" s="233"/>
      <c r="AS89" s="233"/>
      <c r="AT89" s="233"/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33"/>
      <c r="BH89" s="233"/>
      <c r="BI89" s="233"/>
      <c r="BJ89" s="233"/>
      <c r="BK89" s="233"/>
    </row>
    <row r="90" spans="1:63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/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3"/>
      <c r="AP90" s="233"/>
      <c r="AQ90" s="233"/>
      <c r="AR90" s="233"/>
      <c r="AS90" s="233"/>
      <c r="AT90" s="233"/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33"/>
      <c r="BH90" s="233"/>
      <c r="BI90" s="233"/>
      <c r="BJ90" s="233"/>
      <c r="BK90" s="233"/>
    </row>
    <row r="91" spans="1:63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/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3"/>
      <c r="AP91" s="233"/>
      <c r="AQ91" s="233"/>
      <c r="AR91" s="233"/>
      <c r="AS91" s="233"/>
      <c r="AT91" s="233"/>
      <c r="AU91" s="233"/>
      <c r="AV91" s="233"/>
      <c r="AW91" s="233"/>
      <c r="AX91" s="233"/>
      <c r="AY91" s="233"/>
      <c r="AZ91" s="233"/>
      <c r="BA91" s="233"/>
      <c r="BB91" s="233"/>
      <c r="BC91" s="233"/>
      <c r="BD91" s="233"/>
      <c r="BE91" s="233"/>
      <c r="BF91" s="233"/>
      <c r="BG91" s="233"/>
      <c r="BH91" s="233"/>
      <c r="BI91" s="233"/>
      <c r="BJ91" s="233"/>
      <c r="BK91" s="233"/>
    </row>
    <row r="92" spans="1:63">
      <c r="A92" s="233"/>
      <c r="B92" s="233"/>
      <c r="C92" s="233"/>
      <c r="D92" s="233"/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3"/>
      <c r="AP92" s="233"/>
      <c r="AQ92" s="233"/>
      <c r="AR92" s="233"/>
      <c r="AS92" s="233"/>
      <c r="AT92" s="233"/>
      <c r="AU92" s="233"/>
      <c r="AV92" s="233"/>
      <c r="AW92" s="233"/>
      <c r="AX92" s="233"/>
      <c r="AY92" s="233"/>
      <c r="AZ92" s="233"/>
      <c r="BA92" s="233"/>
      <c r="BB92" s="233"/>
      <c r="BC92" s="233"/>
      <c r="BD92" s="233"/>
      <c r="BE92" s="233"/>
      <c r="BF92" s="233"/>
      <c r="BG92" s="233"/>
      <c r="BH92" s="233"/>
      <c r="BI92" s="233"/>
      <c r="BJ92" s="233"/>
      <c r="BK92" s="233"/>
    </row>
    <row r="93" spans="1:63">
      <c r="A93" s="233"/>
      <c r="B93" s="233"/>
      <c r="C93" s="233"/>
      <c r="D93" s="233"/>
      <c r="E93" s="233"/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/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3"/>
      <c r="AP93" s="233"/>
      <c r="AQ93" s="233"/>
      <c r="AR93" s="233"/>
      <c r="AS93" s="233"/>
      <c r="AT93" s="233"/>
      <c r="AU93" s="233"/>
      <c r="AV93" s="233"/>
      <c r="AW93" s="233"/>
      <c r="AX93" s="233"/>
      <c r="AY93" s="233"/>
      <c r="AZ93" s="233"/>
      <c r="BA93" s="233"/>
      <c r="BB93" s="233"/>
      <c r="BC93" s="233"/>
      <c r="BD93" s="233"/>
      <c r="BE93" s="233"/>
      <c r="BF93" s="233"/>
      <c r="BG93" s="233"/>
      <c r="BH93" s="233"/>
      <c r="BI93" s="233"/>
      <c r="BJ93" s="233"/>
      <c r="BK93" s="233"/>
    </row>
    <row r="94" spans="1:63">
      <c r="A94" s="233"/>
      <c r="B94" s="233"/>
      <c r="C94" s="233"/>
      <c r="D94" s="233"/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  <c r="BC94" s="233"/>
      <c r="BD94" s="233"/>
      <c r="BE94" s="233"/>
      <c r="BF94" s="233"/>
      <c r="BG94" s="233"/>
      <c r="BH94" s="233"/>
      <c r="BI94" s="233"/>
      <c r="BJ94" s="233"/>
      <c r="BK94" s="233"/>
    </row>
    <row r="95" spans="1:63">
      <c r="A95" s="233"/>
      <c r="B95" s="233"/>
      <c r="C95" s="233"/>
      <c r="D95" s="233"/>
      <c r="E95" s="233"/>
      <c r="F95" s="233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3"/>
      <c r="BH95" s="233"/>
      <c r="BI95" s="233"/>
      <c r="BJ95" s="233"/>
      <c r="BK95" s="233"/>
    </row>
    <row r="96" spans="1:63">
      <c r="A96" s="233"/>
      <c r="B96" s="233"/>
      <c r="C96" s="233"/>
      <c r="D96" s="233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  <c r="AZ96" s="233"/>
      <c r="BA96" s="233"/>
      <c r="BB96" s="233"/>
      <c r="BC96" s="233"/>
      <c r="BD96" s="233"/>
      <c r="BE96" s="233"/>
      <c r="BF96" s="233"/>
      <c r="BG96" s="233"/>
      <c r="BH96" s="233"/>
      <c r="BI96" s="233"/>
      <c r="BJ96" s="233"/>
      <c r="BK96" s="233"/>
    </row>
    <row r="97" spans="1:63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3"/>
      <c r="BH97" s="233"/>
      <c r="BI97" s="233"/>
      <c r="BJ97" s="233"/>
      <c r="BK97" s="233"/>
    </row>
    <row r="98" spans="1:63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3"/>
      <c r="BA98" s="233"/>
      <c r="BB98" s="233"/>
      <c r="BC98" s="233"/>
      <c r="BD98" s="233"/>
      <c r="BE98" s="233"/>
      <c r="BF98" s="233"/>
      <c r="BG98" s="233"/>
      <c r="BH98" s="233"/>
      <c r="BI98" s="233"/>
      <c r="BJ98" s="233"/>
      <c r="BK98" s="233"/>
    </row>
    <row r="99" spans="1:63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3"/>
      <c r="BH99" s="233"/>
      <c r="BI99" s="233"/>
      <c r="BJ99" s="233"/>
      <c r="BK99" s="233"/>
    </row>
    <row r="100" spans="1:63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3"/>
      <c r="AP100" s="233"/>
      <c r="AQ100" s="233"/>
      <c r="AR100" s="233"/>
      <c r="AS100" s="233"/>
      <c r="AT100" s="233"/>
      <c r="AU100" s="233"/>
      <c r="AV100" s="233"/>
      <c r="AW100" s="233"/>
      <c r="AX100" s="233"/>
      <c r="AY100" s="233"/>
      <c r="AZ100" s="233"/>
      <c r="BA100" s="233"/>
      <c r="BB100" s="233"/>
      <c r="BC100" s="233"/>
      <c r="BD100" s="233"/>
      <c r="BE100" s="233"/>
      <c r="BF100" s="233"/>
      <c r="BG100" s="233"/>
      <c r="BH100" s="233"/>
      <c r="BI100" s="233"/>
      <c r="BJ100" s="233"/>
      <c r="BK100" s="233"/>
    </row>
    <row r="101" spans="1:63">
      <c r="A101" s="233"/>
      <c r="B101" s="233"/>
      <c r="C101" s="233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233"/>
      <c r="AZ101" s="233"/>
      <c r="BA101" s="233"/>
      <c r="BB101" s="233"/>
      <c r="BC101" s="233"/>
      <c r="BD101" s="233"/>
      <c r="BE101" s="233"/>
      <c r="BF101" s="233"/>
      <c r="BG101" s="233"/>
      <c r="BH101" s="233"/>
      <c r="BI101" s="233"/>
      <c r="BJ101" s="233"/>
      <c r="BK101" s="233"/>
    </row>
    <row r="102" spans="1:63">
      <c r="A102" s="233"/>
      <c r="B102" s="233"/>
      <c r="C102" s="233"/>
      <c r="D102" s="233"/>
      <c r="E102" s="233"/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3"/>
      <c r="BH102" s="233"/>
      <c r="BI102" s="233"/>
      <c r="BJ102" s="233"/>
      <c r="BK102" s="233"/>
    </row>
    <row r="103" spans="1:63">
      <c r="A103" s="233"/>
      <c r="B103" s="233"/>
      <c r="C103" s="233"/>
      <c r="D103" s="233"/>
      <c r="E103" s="233"/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233"/>
      <c r="AO103" s="233"/>
      <c r="AP103" s="233"/>
      <c r="AQ103" s="233"/>
      <c r="AR103" s="233"/>
      <c r="AS103" s="233"/>
      <c r="AT103" s="233"/>
      <c r="AU103" s="233"/>
      <c r="AV103" s="233"/>
      <c r="AW103" s="233"/>
      <c r="AX103" s="233"/>
      <c r="AY103" s="233"/>
      <c r="AZ103" s="233"/>
      <c r="BA103" s="233"/>
      <c r="BB103" s="233"/>
      <c r="BC103" s="233"/>
      <c r="BD103" s="233"/>
      <c r="BE103" s="233"/>
      <c r="BF103" s="233"/>
      <c r="BG103" s="233"/>
      <c r="BH103" s="233"/>
      <c r="BI103" s="233"/>
      <c r="BJ103" s="233"/>
      <c r="BK103" s="233"/>
    </row>
    <row r="104" spans="1:63">
      <c r="A104" s="233"/>
      <c r="B104" s="233"/>
      <c r="C104" s="233"/>
      <c r="D104" s="233"/>
      <c r="E104" s="233"/>
      <c r="F104" s="233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33"/>
      <c r="AU104" s="233"/>
      <c r="AV104" s="233"/>
      <c r="AW104" s="233"/>
      <c r="AX104" s="233"/>
      <c r="AY104" s="233"/>
      <c r="AZ104" s="233"/>
      <c r="BA104" s="233"/>
      <c r="BB104" s="233"/>
      <c r="BC104" s="233"/>
      <c r="BD104" s="233"/>
      <c r="BE104" s="233"/>
      <c r="BF104" s="233"/>
      <c r="BG104" s="233"/>
      <c r="BH104" s="233"/>
      <c r="BI104" s="233"/>
      <c r="BJ104" s="233"/>
      <c r="BK104" s="233"/>
    </row>
    <row r="105" spans="1:63">
      <c r="A105" s="233"/>
      <c r="B105" s="233"/>
      <c r="C105" s="233"/>
      <c r="D105" s="233"/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  <c r="AM105" s="233"/>
      <c r="AN105" s="233"/>
      <c r="AO105" s="233"/>
      <c r="AP105" s="233"/>
      <c r="AQ105" s="233"/>
      <c r="AR105" s="233"/>
      <c r="AS105" s="233"/>
      <c r="AT105" s="233"/>
      <c r="AU105" s="233"/>
      <c r="AV105" s="233"/>
      <c r="AW105" s="233"/>
      <c r="AX105" s="233"/>
      <c r="AY105" s="233"/>
      <c r="AZ105" s="233"/>
      <c r="BA105" s="233"/>
      <c r="BB105" s="233"/>
      <c r="BC105" s="233"/>
      <c r="BD105" s="233"/>
      <c r="BE105" s="233"/>
      <c r="BF105" s="233"/>
      <c r="BG105" s="233"/>
      <c r="BH105" s="233"/>
      <c r="BI105" s="233"/>
      <c r="BJ105" s="233"/>
      <c r="BK105" s="233"/>
    </row>
    <row r="106" spans="1:63">
      <c r="A106" s="233"/>
      <c r="B106" s="233"/>
      <c r="C106" s="233"/>
      <c r="D106" s="233"/>
      <c r="E106" s="233"/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  <c r="AI106" s="233"/>
      <c r="AJ106" s="233"/>
      <c r="AK106" s="233"/>
      <c r="AL106" s="233"/>
      <c r="AM106" s="233"/>
      <c r="AN106" s="233"/>
      <c r="AO106" s="233"/>
      <c r="AP106" s="233"/>
      <c r="AQ106" s="233"/>
      <c r="AR106" s="233"/>
      <c r="AS106" s="233"/>
      <c r="AT106" s="233"/>
      <c r="AU106" s="233"/>
      <c r="AV106" s="233"/>
      <c r="AW106" s="233"/>
      <c r="AX106" s="233"/>
      <c r="AY106" s="233"/>
      <c r="AZ106" s="233"/>
      <c r="BA106" s="233"/>
      <c r="BB106" s="233"/>
      <c r="BC106" s="233"/>
      <c r="BD106" s="233"/>
      <c r="BE106" s="233"/>
      <c r="BF106" s="233"/>
      <c r="BG106" s="233"/>
      <c r="BH106" s="233"/>
      <c r="BI106" s="233"/>
      <c r="BJ106" s="233"/>
      <c r="BK106" s="233"/>
    </row>
    <row r="107" spans="1:63">
      <c r="A107" s="233"/>
      <c r="B107" s="233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3"/>
      <c r="BH107" s="233"/>
      <c r="BI107" s="233"/>
      <c r="BJ107" s="233"/>
      <c r="BK107" s="233"/>
    </row>
    <row r="108" spans="1:63">
      <c r="A108" s="233"/>
      <c r="B108" s="233"/>
      <c r="C108" s="233"/>
      <c r="D108" s="233"/>
      <c r="E108" s="233"/>
      <c r="F108" s="233"/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  <c r="AK108" s="233"/>
      <c r="AL108" s="233"/>
      <c r="AM108" s="233"/>
      <c r="AN108" s="233"/>
      <c r="AO108" s="233"/>
      <c r="AP108" s="233"/>
      <c r="AQ108" s="233"/>
      <c r="AR108" s="233"/>
      <c r="AS108" s="233"/>
      <c r="AT108" s="233"/>
      <c r="AU108" s="233"/>
      <c r="AV108" s="233"/>
      <c r="AW108" s="233"/>
      <c r="AX108" s="233"/>
      <c r="AY108" s="233"/>
      <c r="AZ108" s="233"/>
      <c r="BA108" s="233"/>
      <c r="BB108" s="233"/>
      <c r="BC108" s="233"/>
      <c r="BD108" s="233"/>
      <c r="BE108" s="233"/>
      <c r="BF108" s="233"/>
      <c r="BG108" s="233"/>
      <c r="BH108" s="233"/>
      <c r="BI108" s="233"/>
      <c r="BJ108" s="233"/>
      <c r="BK108" s="233"/>
    </row>
    <row r="109" spans="1:63">
      <c r="A109" s="233"/>
      <c r="B109" s="233"/>
      <c r="C109" s="233"/>
      <c r="D109" s="233"/>
      <c r="E109" s="233"/>
      <c r="F109" s="233"/>
      <c r="G109" s="233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  <c r="AR109" s="233"/>
      <c r="AS109" s="233"/>
      <c r="AT109" s="233"/>
      <c r="AU109" s="233"/>
      <c r="AV109" s="233"/>
      <c r="AW109" s="233"/>
      <c r="AX109" s="233"/>
      <c r="AY109" s="233"/>
      <c r="AZ109" s="233"/>
      <c r="BA109" s="233"/>
      <c r="BB109" s="233"/>
      <c r="BC109" s="233"/>
      <c r="BD109" s="233"/>
      <c r="BE109" s="233"/>
      <c r="BF109" s="233"/>
      <c r="BG109" s="233"/>
      <c r="BH109" s="233"/>
      <c r="BI109" s="233"/>
      <c r="BJ109" s="233"/>
      <c r="BK109" s="233"/>
    </row>
    <row r="110" spans="1:63">
      <c r="A110" s="233"/>
      <c r="B110" s="233"/>
      <c r="C110" s="233"/>
      <c r="D110" s="233"/>
      <c r="E110" s="233"/>
      <c r="F110" s="233"/>
      <c r="G110" s="233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233"/>
      <c r="AK110" s="233"/>
      <c r="AL110" s="233"/>
      <c r="AM110" s="233"/>
      <c r="AN110" s="233"/>
      <c r="AO110" s="233"/>
      <c r="AP110" s="233"/>
      <c r="AQ110" s="233"/>
      <c r="AR110" s="233"/>
      <c r="AS110" s="233"/>
      <c r="AT110" s="233"/>
      <c r="AU110" s="233"/>
      <c r="AV110" s="233"/>
      <c r="AW110" s="233"/>
      <c r="AX110" s="233"/>
      <c r="AY110" s="233"/>
      <c r="AZ110" s="233"/>
      <c r="BA110" s="233"/>
      <c r="BB110" s="233"/>
      <c r="BC110" s="233"/>
      <c r="BD110" s="233"/>
      <c r="BE110" s="233"/>
      <c r="BF110" s="233"/>
      <c r="BG110" s="233"/>
      <c r="BH110" s="233"/>
      <c r="BI110" s="233"/>
      <c r="BJ110" s="233"/>
      <c r="BK110" s="233"/>
    </row>
    <row r="111" spans="1:63">
      <c r="A111" s="233"/>
      <c r="B111" s="272"/>
      <c r="C111" s="233"/>
      <c r="D111" s="272"/>
      <c r="E111" s="233"/>
      <c r="F111" s="233"/>
      <c r="G111" s="233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233"/>
      <c r="AK111" s="233"/>
      <c r="AL111" s="233"/>
      <c r="AM111" s="233"/>
      <c r="AN111" s="233"/>
      <c r="AO111" s="233"/>
      <c r="AP111" s="233"/>
      <c r="AQ111" s="233"/>
      <c r="AR111" s="233"/>
      <c r="AS111" s="233"/>
      <c r="AT111" s="233"/>
      <c r="AU111" s="233"/>
      <c r="AV111" s="233"/>
      <c r="AW111" s="233"/>
      <c r="AX111" s="233"/>
      <c r="AY111" s="233"/>
      <c r="AZ111" s="233"/>
      <c r="BA111" s="233"/>
      <c r="BB111" s="233"/>
      <c r="BC111" s="233"/>
      <c r="BD111" s="233"/>
      <c r="BE111" s="233"/>
      <c r="BF111" s="233"/>
      <c r="BG111" s="233"/>
      <c r="BH111" s="233"/>
      <c r="BI111" s="233"/>
      <c r="BJ111" s="233"/>
      <c r="BK111" s="233"/>
    </row>
    <row r="112" spans="1:63">
      <c r="A112" s="233"/>
      <c r="B112" s="272"/>
      <c r="C112" s="233"/>
      <c r="D112" s="272"/>
      <c r="E112" s="233"/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233"/>
      <c r="AK112" s="233"/>
      <c r="AL112" s="233"/>
      <c r="AM112" s="233"/>
      <c r="AN112" s="233"/>
      <c r="AO112" s="233"/>
      <c r="AP112" s="233"/>
      <c r="AQ112" s="233"/>
      <c r="AR112" s="233"/>
      <c r="AS112" s="233"/>
      <c r="AT112" s="233"/>
      <c r="AU112" s="233"/>
      <c r="AV112" s="233"/>
      <c r="AW112" s="233"/>
      <c r="AX112" s="233"/>
      <c r="AY112" s="233"/>
      <c r="AZ112" s="233"/>
      <c r="BA112" s="233"/>
      <c r="BB112" s="233"/>
      <c r="BC112" s="233"/>
      <c r="BD112" s="233"/>
      <c r="BE112" s="233"/>
      <c r="BF112" s="233"/>
      <c r="BG112" s="233"/>
      <c r="BH112" s="233"/>
      <c r="BI112" s="233"/>
      <c r="BJ112" s="233"/>
      <c r="BK112" s="233"/>
    </row>
    <row r="113" spans="1:63">
      <c r="A113" s="233"/>
      <c r="B113" s="272"/>
      <c r="C113" s="233"/>
      <c r="D113" s="272"/>
      <c r="E113" s="233"/>
      <c r="F113" s="233"/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233"/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33"/>
      <c r="AU113" s="233"/>
      <c r="AV113" s="233"/>
      <c r="AW113" s="233"/>
      <c r="AX113" s="233"/>
      <c r="AY113" s="233"/>
      <c r="AZ113" s="233"/>
      <c r="BA113" s="233"/>
      <c r="BB113" s="233"/>
      <c r="BC113" s="233"/>
      <c r="BD113" s="233"/>
      <c r="BE113" s="233"/>
      <c r="BF113" s="233"/>
      <c r="BG113" s="233"/>
      <c r="BH113" s="233"/>
      <c r="BI113" s="233"/>
      <c r="BJ113" s="233"/>
      <c r="BK113" s="233"/>
    </row>
    <row r="114" spans="1:63">
      <c r="A114" s="233"/>
      <c r="B114" s="272"/>
      <c r="C114" s="233"/>
      <c r="D114" s="272"/>
      <c r="E114" s="233"/>
      <c r="F114" s="233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233"/>
      <c r="AK114" s="233"/>
      <c r="AL114" s="233"/>
      <c r="AM114" s="233"/>
      <c r="AN114" s="233"/>
      <c r="AO114" s="233"/>
      <c r="AP114" s="233"/>
      <c r="AQ114" s="233"/>
      <c r="AR114" s="233"/>
      <c r="AS114" s="233"/>
      <c r="AT114" s="233"/>
      <c r="AU114" s="233"/>
      <c r="AV114" s="233"/>
      <c r="AW114" s="233"/>
      <c r="AX114" s="233"/>
      <c r="AY114" s="233"/>
      <c r="AZ114" s="233"/>
      <c r="BA114" s="233"/>
      <c r="BB114" s="233"/>
      <c r="BC114" s="233"/>
      <c r="BD114" s="233"/>
      <c r="BE114" s="233"/>
      <c r="BF114" s="233"/>
      <c r="BG114" s="233"/>
      <c r="BH114" s="233"/>
      <c r="BI114" s="233"/>
      <c r="BJ114" s="233"/>
      <c r="BK114" s="233"/>
    </row>
    <row r="115" spans="1:63">
      <c r="A115" s="233"/>
      <c r="B115" s="272"/>
      <c r="C115" s="233"/>
      <c r="D115" s="272"/>
      <c r="E115" s="233"/>
      <c r="F115" s="233"/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  <c r="AA115" s="233"/>
      <c r="AB115" s="233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  <c r="AM115" s="233"/>
      <c r="AN115" s="233"/>
      <c r="AO115" s="233"/>
      <c r="AP115" s="233"/>
      <c r="AQ115" s="233"/>
      <c r="AR115" s="233"/>
      <c r="AS115" s="233"/>
      <c r="AT115" s="233"/>
      <c r="AU115" s="233"/>
      <c r="AV115" s="233"/>
      <c r="AW115" s="233"/>
      <c r="AX115" s="233"/>
      <c r="AY115" s="233"/>
      <c r="AZ115" s="233"/>
      <c r="BA115" s="233"/>
      <c r="BB115" s="233"/>
      <c r="BC115" s="233"/>
      <c r="BD115" s="233"/>
      <c r="BE115" s="233"/>
      <c r="BF115" s="233"/>
      <c r="BG115" s="233"/>
      <c r="BH115" s="233"/>
      <c r="BI115" s="233"/>
      <c r="BJ115" s="233"/>
      <c r="BK115" s="233"/>
    </row>
    <row r="116" spans="1:63">
      <c r="A116" s="233"/>
      <c r="B116" s="272"/>
      <c r="C116" s="233"/>
      <c r="D116" s="272"/>
      <c r="E116" s="233"/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  <c r="AA116" s="233"/>
      <c r="AB116" s="233"/>
      <c r="AC116" s="233"/>
      <c r="AD116" s="233"/>
      <c r="AE116" s="233"/>
      <c r="AF116" s="233"/>
      <c r="AG116" s="233"/>
      <c r="AH116" s="233"/>
      <c r="AI116" s="233"/>
      <c r="AJ116" s="233"/>
      <c r="AK116" s="233"/>
      <c r="AL116" s="233"/>
      <c r="AM116" s="233"/>
      <c r="AN116" s="233"/>
      <c r="AO116" s="233"/>
      <c r="AP116" s="233"/>
      <c r="AQ116" s="233"/>
      <c r="AR116" s="233"/>
      <c r="AS116" s="233"/>
      <c r="AT116" s="233"/>
      <c r="AU116" s="233"/>
      <c r="AV116" s="233"/>
      <c r="AW116" s="233"/>
      <c r="AX116" s="233"/>
      <c r="AY116" s="233"/>
      <c r="AZ116" s="233"/>
      <c r="BA116" s="233"/>
      <c r="BB116" s="233"/>
      <c r="BC116" s="233"/>
      <c r="BD116" s="233"/>
      <c r="BE116" s="233"/>
      <c r="BF116" s="233"/>
      <c r="BG116" s="233"/>
      <c r="BH116" s="233"/>
      <c r="BI116" s="233"/>
      <c r="BJ116" s="233"/>
      <c r="BK116" s="233"/>
    </row>
    <row r="117" spans="1:63">
      <c r="A117" s="233"/>
      <c r="B117" s="272"/>
      <c r="C117" s="233"/>
      <c r="D117" s="272"/>
      <c r="E117" s="233"/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  <c r="AA117" s="233"/>
      <c r="AB117" s="233"/>
      <c r="AC117" s="233"/>
      <c r="AD117" s="233"/>
      <c r="AE117" s="233"/>
      <c r="AF117" s="233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33"/>
      <c r="AU117" s="233"/>
      <c r="AV117" s="233"/>
      <c r="AW117" s="233"/>
      <c r="AX117" s="233"/>
      <c r="AY117" s="233"/>
      <c r="AZ117" s="233"/>
      <c r="BA117" s="233"/>
      <c r="BB117" s="233"/>
      <c r="BC117" s="233"/>
      <c r="BD117" s="233"/>
      <c r="BE117" s="233"/>
      <c r="BF117" s="233"/>
      <c r="BG117" s="233"/>
      <c r="BH117" s="233"/>
      <c r="BI117" s="233"/>
      <c r="BJ117" s="233"/>
      <c r="BK117" s="233"/>
    </row>
    <row r="118" spans="1:63">
      <c r="A118" s="233"/>
      <c r="B118" s="272"/>
      <c r="C118" s="233"/>
      <c r="D118" s="272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  <c r="AA118" s="233"/>
      <c r="AB118" s="233"/>
      <c r="AC118" s="233"/>
      <c r="AD118" s="233"/>
      <c r="AE118" s="233"/>
      <c r="AF118" s="233"/>
      <c r="AG118" s="233"/>
      <c r="AH118" s="233"/>
      <c r="AI118" s="233"/>
      <c r="AJ118" s="233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33"/>
      <c r="AU118" s="233"/>
      <c r="AV118" s="233"/>
      <c r="AW118" s="233"/>
      <c r="AX118" s="233"/>
      <c r="AY118" s="233"/>
      <c r="AZ118" s="233"/>
      <c r="BA118" s="233"/>
      <c r="BB118" s="233"/>
      <c r="BC118" s="233"/>
      <c r="BD118" s="233"/>
      <c r="BE118" s="233"/>
      <c r="BF118" s="233"/>
      <c r="BG118" s="233"/>
      <c r="BH118" s="233"/>
      <c r="BI118" s="233"/>
      <c r="BJ118" s="233"/>
      <c r="BK118" s="233"/>
    </row>
    <row r="119" spans="1:63">
      <c r="A119" s="233"/>
      <c r="B119" s="272"/>
      <c r="C119" s="233"/>
      <c r="D119" s="272"/>
      <c r="E119" s="233"/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  <c r="AA119" s="233"/>
      <c r="AB119" s="233"/>
      <c r="AC119" s="233"/>
      <c r="AD119" s="233"/>
      <c r="AE119" s="233"/>
      <c r="AF119" s="233"/>
      <c r="AG119" s="233"/>
      <c r="AH119" s="233"/>
      <c r="AI119" s="233"/>
      <c r="AJ119" s="233"/>
      <c r="AK119" s="233"/>
      <c r="AL119" s="233"/>
      <c r="AM119" s="233"/>
      <c r="AN119" s="233"/>
      <c r="AO119" s="233"/>
      <c r="AP119" s="233"/>
      <c r="AQ119" s="233"/>
      <c r="AR119" s="233"/>
      <c r="AS119" s="233"/>
      <c r="AT119" s="233"/>
      <c r="AU119" s="233"/>
      <c r="AV119" s="233"/>
      <c r="AW119" s="233"/>
      <c r="AX119" s="233"/>
      <c r="AY119" s="233"/>
      <c r="AZ119" s="233"/>
      <c r="BA119" s="233"/>
      <c r="BB119" s="233"/>
      <c r="BC119" s="233"/>
      <c r="BD119" s="233"/>
      <c r="BE119" s="233"/>
      <c r="BF119" s="233"/>
      <c r="BG119" s="233"/>
      <c r="BH119" s="233"/>
      <c r="BI119" s="233"/>
      <c r="BJ119" s="233"/>
      <c r="BK119" s="233"/>
    </row>
    <row r="120" spans="1:63">
      <c r="A120" s="233"/>
      <c r="B120" s="272"/>
      <c r="C120" s="233"/>
      <c r="D120" s="272"/>
      <c r="E120" s="233"/>
      <c r="F120" s="233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  <c r="AA120" s="233"/>
      <c r="AB120" s="233"/>
      <c r="AC120" s="233"/>
      <c r="AD120" s="233"/>
      <c r="AE120" s="233"/>
      <c r="AF120" s="233"/>
      <c r="AG120" s="233"/>
      <c r="AH120" s="233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33"/>
      <c r="AU120" s="233"/>
      <c r="AV120" s="233"/>
      <c r="AW120" s="233"/>
      <c r="AX120" s="233"/>
      <c r="AY120" s="233"/>
      <c r="AZ120" s="233"/>
      <c r="BA120" s="233"/>
      <c r="BB120" s="233"/>
      <c r="BC120" s="233"/>
      <c r="BD120" s="233"/>
      <c r="BE120" s="233"/>
      <c r="BF120" s="233"/>
      <c r="BG120" s="233"/>
      <c r="BH120" s="233"/>
      <c r="BI120" s="233"/>
      <c r="BJ120" s="233"/>
      <c r="BK120" s="233"/>
    </row>
    <row r="121" spans="1:63">
      <c r="A121" s="233"/>
      <c r="B121" s="272"/>
      <c r="C121" s="233"/>
      <c r="D121" s="272"/>
      <c r="E121" s="233"/>
      <c r="F121" s="233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  <c r="AA121" s="233"/>
      <c r="AB121" s="233"/>
      <c r="AC121" s="233"/>
      <c r="AD121" s="233"/>
      <c r="AE121" s="233"/>
      <c r="AF121" s="233"/>
      <c r="AG121" s="233"/>
      <c r="AH121" s="233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33"/>
      <c r="AU121" s="233"/>
      <c r="AV121" s="233"/>
      <c r="AW121" s="233"/>
      <c r="AX121" s="233"/>
      <c r="AY121" s="233"/>
      <c r="AZ121" s="233"/>
      <c r="BA121" s="233"/>
      <c r="BB121" s="233"/>
      <c r="BC121" s="233"/>
      <c r="BD121" s="233"/>
      <c r="BE121" s="233"/>
      <c r="BF121" s="233"/>
      <c r="BG121" s="233"/>
      <c r="BH121" s="233"/>
      <c r="BI121" s="233"/>
      <c r="BJ121" s="233"/>
      <c r="BK121" s="233"/>
    </row>
    <row r="122" spans="1:63">
      <c r="A122" s="233"/>
      <c r="B122" s="272"/>
      <c r="C122" s="233"/>
      <c r="D122" s="272"/>
      <c r="E122" s="233"/>
      <c r="F122" s="233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  <c r="AZ122" s="233"/>
      <c r="BA122" s="233"/>
      <c r="BB122" s="233"/>
      <c r="BC122" s="233"/>
      <c r="BD122" s="233"/>
      <c r="BE122" s="233"/>
      <c r="BF122" s="233"/>
      <c r="BG122" s="233"/>
      <c r="BH122" s="233"/>
      <c r="BI122" s="233"/>
      <c r="BJ122" s="233"/>
      <c r="BK122" s="233"/>
    </row>
    <row r="123" spans="1:63">
      <c r="A123" s="233"/>
      <c r="B123" s="272"/>
      <c r="C123" s="233"/>
      <c r="D123" s="272"/>
      <c r="E123" s="233"/>
      <c r="F123" s="233"/>
      <c r="G123" s="233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  <c r="AZ123" s="233"/>
      <c r="BA123" s="233"/>
      <c r="BB123" s="233"/>
      <c r="BC123" s="233"/>
      <c r="BD123" s="233"/>
      <c r="BE123" s="233"/>
      <c r="BF123" s="233"/>
      <c r="BG123" s="233"/>
      <c r="BH123" s="233"/>
      <c r="BI123" s="233"/>
      <c r="BJ123" s="233"/>
      <c r="BK123" s="233"/>
    </row>
    <row r="124" spans="1:63">
      <c r="A124" s="233"/>
      <c r="B124" s="272"/>
      <c r="C124" s="233"/>
      <c r="D124" s="272"/>
      <c r="E124" s="233"/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233"/>
      <c r="AY124" s="233"/>
      <c r="AZ124" s="233"/>
      <c r="BA124" s="233"/>
      <c r="BB124" s="233"/>
      <c r="BC124" s="233"/>
      <c r="BD124" s="233"/>
      <c r="BE124" s="233"/>
      <c r="BF124" s="233"/>
      <c r="BG124" s="233"/>
      <c r="BH124" s="233"/>
      <c r="BI124" s="233"/>
      <c r="BJ124" s="233"/>
      <c r="BK124" s="233"/>
    </row>
    <row r="125" spans="1:63">
      <c r="A125" s="233"/>
      <c r="B125" s="272"/>
      <c r="C125" s="233"/>
      <c r="D125" s="272"/>
      <c r="E125" s="233"/>
      <c r="F125" s="233"/>
      <c r="G125" s="233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/>
      <c r="AZ125" s="233"/>
      <c r="BA125" s="233"/>
      <c r="BB125" s="233"/>
      <c r="BC125" s="233"/>
      <c r="BD125" s="233"/>
      <c r="BE125" s="233"/>
      <c r="BF125" s="233"/>
      <c r="BG125" s="233"/>
      <c r="BH125" s="233"/>
      <c r="BI125" s="233"/>
      <c r="BJ125" s="233"/>
      <c r="BK125" s="233"/>
    </row>
    <row r="126" spans="1:63">
      <c r="A126" s="233"/>
      <c r="B126" s="272"/>
      <c r="C126" s="233"/>
      <c r="D126" s="272"/>
      <c r="E126" s="233"/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33"/>
      <c r="BA126" s="233"/>
      <c r="BB126" s="233"/>
      <c r="BC126" s="233"/>
      <c r="BD126" s="233"/>
      <c r="BE126" s="233"/>
      <c r="BF126" s="233"/>
      <c r="BG126" s="233"/>
      <c r="BH126" s="233"/>
      <c r="BI126" s="233"/>
      <c r="BJ126" s="233"/>
      <c r="BK126" s="233"/>
    </row>
    <row r="127" spans="1:63">
      <c r="A127" s="233"/>
      <c r="B127" s="272"/>
      <c r="C127" s="233"/>
      <c r="D127" s="272"/>
      <c r="E127" s="233"/>
      <c r="F127" s="233"/>
      <c r="G127" s="233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3"/>
      <c r="BH127" s="233"/>
      <c r="BI127" s="233"/>
      <c r="BJ127" s="233"/>
      <c r="BK127" s="233"/>
    </row>
    <row r="128" spans="1:63">
      <c r="A128" s="233"/>
      <c r="B128" s="272"/>
      <c r="C128" s="233"/>
      <c r="D128" s="272"/>
      <c r="E128" s="233"/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  <c r="AZ128" s="233"/>
      <c r="BA128" s="233"/>
      <c r="BB128" s="233"/>
      <c r="BC128" s="233"/>
      <c r="BD128" s="233"/>
      <c r="BE128" s="233"/>
      <c r="BF128" s="233"/>
      <c r="BG128" s="233"/>
      <c r="BH128" s="233"/>
      <c r="BI128" s="233"/>
      <c r="BJ128" s="233"/>
      <c r="BK128" s="233"/>
    </row>
    <row r="129" spans="1:63">
      <c r="A129" s="233"/>
      <c r="B129" s="272"/>
      <c r="C129" s="233"/>
      <c r="D129" s="272"/>
      <c r="E129" s="233"/>
      <c r="F129" s="233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233"/>
      <c r="AW129" s="233"/>
      <c r="AX129" s="233"/>
      <c r="AY129" s="233"/>
      <c r="AZ129" s="233"/>
      <c r="BA129" s="233"/>
      <c r="BB129" s="233"/>
      <c r="BC129" s="233"/>
      <c r="BD129" s="233"/>
      <c r="BE129" s="233"/>
      <c r="BF129" s="233"/>
      <c r="BG129" s="233"/>
      <c r="BH129" s="233"/>
      <c r="BI129" s="233"/>
      <c r="BJ129" s="233"/>
      <c r="BK129" s="233"/>
    </row>
    <row r="130" spans="1:63">
      <c r="A130" s="233"/>
      <c r="B130" s="272"/>
      <c r="C130" s="233"/>
      <c r="D130" s="272"/>
      <c r="E130" s="233"/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3"/>
      <c r="BH130" s="233"/>
      <c r="BI130" s="233"/>
      <c r="BJ130" s="233"/>
      <c r="BK130" s="233"/>
    </row>
    <row r="131" spans="1:63">
      <c r="A131" s="233"/>
      <c r="B131" s="272"/>
      <c r="C131" s="233"/>
      <c r="D131" s="272"/>
      <c r="E131" s="233"/>
      <c r="F131" s="233"/>
      <c r="G131" s="233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  <c r="AY131" s="233"/>
      <c r="AZ131" s="233"/>
      <c r="BA131" s="233"/>
      <c r="BB131" s="233"/>
      <c r="BC131" s="233"/>
      <c r="BD131" s="233"/>
      <c r="BE131" s="233"/>
      <c r="BF131" s="233"/>
      <c r="BG131" s="233"/>
      <c r="BH131" s="233"/>
      <c r="BI131" s="233"/>
      <c r="BJ131" s="233"/>
      <c r="BK131" s="233"/>
    </row>
    <row r="132" spans="1:63">
      <c r="A132" s="233"/>
      <c r="B132" s="272"/>
      <c r="C132" s="233"/>
      <c r="D132" s="272"/>
      <c r="E132" s="233"/>
      <c r="F132" s="233"/>
      <c r="G132" s="233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33"/>
      <c r="AU132" s="233"/>
      <c r="AV132" s="233"/>
      <c r="AW132" s="233"/>
      <c r="AX132" s="233"/>
      <c r="AY132" s="233"/>
      <c r="AZ132" s="233"/>
      <c r="BA132" s="233"/>
      <c r="BB132" s="233"/>
      <c r="BC132" s="233"/>
      <c r="BD132" s="233"/>
      <c r="BE132" s="233"/>
      <c r="BF132" s="233"/>
      <c r="BG132" s="233"/>
      <c r="BH132" s="233"/>
      <c r="BI132" s="233"/>
      <c r="BJ132" s="233"/>
      <c r="BK132" s="233"/>
    </row>
    <row r="133" spans="1:63">
      <c r="A133" s="233"/>
      <c r="B133" s="272"/>
      <c r="C133" s="233"/>
      <c r="D133" s="272"/>
      <c r="E133" s="233"/>
      <c r="F133" s="233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/>
      <c r="AZ133" s="233"/>
      <c r="BA133" s="233"/>
      <c r="BB133" s="233"/>
      <c r="BC133" s="233"/>
      <c r="BD133" s="233"/>
      <c r="BE133" s="233"/>
      <c r="BF133" s="233"/>
      <c r="BG133" s="233"/>
      <c r="BH133" s="233"/>
      <c r="BI133" s="233"/>
      <c r="BJ133" s="233"/>
      <c r="BK133" s="233"/>
    </row>
    <row r="134" spans="1:63">
      <c r="A134" s="233"/>
      <c r="B134" s="272"/>
      <c r="C134" s="233"/>
      <c r="D134" s="272"/>
      <c r="E134" s="233"/>
      <c r="F134" s="233"/>
      <c r="G134" s="233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  <c r="AI134" s="233"/>
      <c r="AJ134" s="233"/>
      <c r="AK134" s="233"/>
      <c r="AL134" s="233"/>
      <c r="AM134" s="233"/>
      <c r="AN134" s="233"/>
      <c r="AO134" s="233"/>
      <c r="AP134" s="233"/>
      <c r="AQ134" s="233"/>
      <c r="AR134" s="233"/>
      <c r="AS134" s="233"/>
      <c r="AT134" s="233"/>
      <c r="AU134" s="233"/>
      <c r="AV134" s="233"/>
      <c r="AW134" s="233"/>
      <c r="AX134" s="233"/>
      <c r="AY134" s="233"/>
      <c r="AZ134" s="233"/>
      <c r="BA134" s="233"/>
      <c r="BB134" s="233"/>
      <c r="BC134" s="233"/>
      <c r="BD134" s="233"/>
      <c r="BE134" s="233"/>
      <c r="BF134" s="233"/>
      <c r="BG134" s="233"/>
      <c r="BH134" s="233"/>
      <c r="BI134" s="233"/>
      <c r="BJ134" s="233"/>
      <c r="BK134" s="233"/>
    </row>
    <row r="135" spans="1:63">
      <c r="A135" s="233"/>
      <c r="B135" s="272"/>
      <c r="C135" s="233"/>
      <c r="D135" s="272"/>
      <c r="E135" s="233"/>
      <c r="F135" s="233"/>
      <c r="G135" s="233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233"/>
      <c r="AU135" s="233"/>
      <c r="AV135" s="233"/>
      <c r="AW135" s="233"/>
      <c r="AX135" s="233"/>
      <c r="AY135" s="233"/>
      <c r="AZ135" s="233"/>
      <c r="BA135" s="233"/>
      <c r="BB135" s="233"/>
      <c r="BC135" s="233"/>
      <c r="BD135" s="233"/>
      <c r="BE135" s="233"/>
      <c r="BF135" s="233"/>
      <c r="BG135" s="233"/>
      <c r="BH135" s="233"/>
      <c r="BI135" s="233"/>
      <c r="BJ135" s="233"/>
      <c r="BK135" s="233"/>
    </row>
    <row r="136" spans="1:63">
      <c r="A136" s="233"/>
      <c r="B136" s="272"/>
      <c r="C136" s="233"/>
      <c r="D136" s="272"/>
      <c r="E136" s="233"/>
      <c r="F136" s="233"/>
      <c r="G136" s="233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33"/>
      <c r="AU136" s="233"/>
      <c r="AV136" s="233"/>
      <c r="AW136" s="233"/>
      <c r="AX136" s="233"/>
      <c r="AY136" s="233"/>
      <c r="AZ136" s="233"/>
      <c r="BA136" s="233"/>
      <c r="BB136" s="233"/>
      <c r="BC136" s="233"/>
      <c r="BD136" s="233"/>
      <c r="BE136" s="233"/>
      <c r="BF136" s="233"/>
      <c r="BG136" s="233"/>
      <c r="BH136" s="233"/>
      <c r="BI136" s="233"/>
      <c r="BJ136" s="233"/>
      <c r="BK136" s="233"/>
    </row>
    <row r="137" spans="1:63">
      <c r="A137" s="233"/>
      <c r="B137" s="272"/>
      <c r="C137" s="233"/>
      <c r="D137" s="272"/>
      <c r="E137" s="233"/>
      <c r="F137" s="233"/>
      <c r="G137" s="233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233"/>
      <c r="AK137" s="233"/>
      <c r="AL137" s="233"/>
      <c r="AM137" s="233"/>
      <c r="AN137" s="233"/>
      <c r="AO137" s="233"/>
      <c r="AP137" s="233"/>
      <c r="AQ137" s="233"/>
      <c r="AR137" s="233"/>
      <c r="AS137" s="233"/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3"/>
      <c r="BH137" s="233"/>
      <c r="BI137" s="233"/>
      <c r="BJ137" s="233"/>
      <c r="BK137" s="233"/>
    </row>
    <row r="138" spans="1:63">
      <c r="A138" s="233"/>
      <c r="B138" s="272"/>
      <c r="C138" s="233"/>
      <c r="D138" s="272"/>
      <c r="E138" s="233"/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33"/>
      <c r="AW138" s="233"/>
      <c r="AX138" s="233"/>
      <c r="AY138" s="233"/>
      <c r="AZ138" s="233"/>
      <c r="BA138" s="233"/>
      <c r="BB138" s="233"/>
      <c r="BC138" s="233"/>
      <c r="BD138" s="233"/>
      <c r="BE138" s="233"/>
      <c r="BF138" s="233"/>
      <c r="BG138" s="233"/>
      <c r="BH138" s="233"/>
      <c r="BI138" s="233"/>
      <c r="BJ138" s="233"/>
      <c r="BK138" s="233"/>
    </row>
    <row r="139" spans="1:63">
      <c r="A139" s="233"/>
      <c r="B139" s="272"/>
      <c r="C139" s="233"/>
      <c r="D139" s="272"/>
      <c r="E139" s="233"/>
      <c r="F139" s="233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233"/>
      <c r="AK139" s="233"/>
      <c r="AL139" s="233"/>
      <c r="AM139" s="233"/>
      <c r="AN139" s="233"/>
      <c r="AO139" s="233"/>
      <c r="AP139" s="233"/>
      <c r="AQ139" s="233"/>
      <c r="AR139" s="233"/>
      <c r="AS139" s="233"/>
      <c r="AT139" s="233"/>
      <c r="AU139" s="233"/>
      <c r="AV139" s="233"/>
      <c r="AW139" s="233"/>
      <c r="AX139" s="233"/>
      <c r="AY139" s="233"/>
      <c r="AZ139" s="233"/>
      <c r="BA139" s="233"/>
      <c r="BB139" s="233"/>
      <c r="BC139" s="233"/>
      <c r="BD139" s="233"/>
      <c r="BE139" s="233"/>
      <c r="BF139" s="233"/>
      <c r="BG139" s="233"/>
      <c r="BH139" s="233"/>
      <c r="BI139" s="233"/>
      <c r="BJ139" s="233"/>
      <c r="BK139" s="233"/>
    </row>
    <row r="140" spans="1:63">
      <c r="A140" s="233"/>
      <c r="B140" s="272"/>
      <c r="C140" s="233"/>
      <c r="D140" s="272"/>
      <c r="E140" s="233"/>
      <c r="F140" s="233"/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33"/>
      <c r="AN140" s="233"/>
      <c r="AO140" s="233"/>
      <c r="AP140" s="233"/>
      <c r="AQ140" s="233"/>
      <c r="AR140" s="233"/>
      <c r="AS140" s="233"/>
      <c r="AT140" s="233"/>
      <c r="AU140" s="233"/>
      <c r="AV140" s="233"/>
      <c r="AW140" s="233"/>
      <c r="AX140" s="233"/>
      <c r="AY140" s="233"/>
      <c r="AZ140" s="233"/>
      <c r="BA140" s="233"/>
      <c r="BB140" s="233"/>
      <c r="BC140" s="233"/>
      <c r="BD140" s="233"/>
      <c r="BE140" s="233"/>
      <c r="BF140" s="233"/>
      <c r="BG140" s="233"/>
      <c r="BH140" s="233"/>
      <c r="BI140" s="233"/>
      <c r="BJ140" s="233"/>
      <c r="BK140" s="233"/>
    </row>
    <row r="141" spans="1:63">
      <c r="A141" s="233"/>
      <c r="B141" s="272"/>
      <c r="C141" s="233"/>
      <c r="D141" s="272"/>
      <c r="E141" s="233"/>
      <c r="F141" s="233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233"/>
      <c r="AK141" s="233"/>
      <c r="AL141" s="233"/>
      <c r="AM141" s="233"/>
      <c r="AN141" s="233"/>
      <c r="AO141" s="233"/>
      <c r="AP141" s="233"/>
      <c r="AQ141" s="233"/>
      <c r="AR141" s="233"/>
      <c r="AS141" s="233"/>
      <c r="AT141" s="233"/>
      <c r="AU141" s="233"/>
      <c r="AV141" s="233"/>
      <c r="AW141" s="233"/>
      <c r="AX141" s="233"/>
      <c r="AY141" s="233"/>
      <c r="AZ141" s="233"/>
      <c r="BA141" s="233"/>
      <c r="BB141" s="233"/>
      <c r="BC141" s="233"/>
      <c r="BD141" s="233"/>
      <c r="BE141" s="233"/>
      <c r="BF141" s="233"/>
      <c r="BG141" s="233"/>
      <c r="BH141" s="233"/>
      <c r="BI141" s="233"/>
      <c r="BJ141" s="233"/>
      <c r="BK141" s="233"/>
    </row>
    <row r="142" spans="1:63">
      <c r="A142" s="233"/>
      <c r="B142" s="272"/>
      <c r="C142" s="233"/>
      <c r="D142" s="272"/>
      <c r="E142" s="233"/>
      <c r="F142" s="233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33"/>
      <c r="AJ142" s="233"/>
      <c r="AK142" s="233"/>
      <c r="AL142" s="233"/>
      <c r="AM142" s="233"/>
      <c r="AN142" s="233"/>
      <c r="AO142" s="233"/>
      <c r="AP142" s="233"/>
      <c r="AQ142" s="233"/>
      <c r="AR142" s="233"/>
      <c r="AS142" s="233"/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3"/>
      <c r="BH142" s="233"/>
      <c r="BI142" s="233"/>
      <c r="BJ142" s="233"/>
      <c r="BK142" s="233"/>
    </row>
    <row r="143" spans="1:63">
      <c r="A143" s="233"/>
      <c r="B143" s="272"/>
      <c r="C143" s="233"/>
      <c r="D143" s="272"/>
      <c r="E143" s="233"/>
      <c r="F143" s="233"/>
      <c r="G143" s="233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  <c r="AA143" s="233"/>
      <c r="AB143" s="233"/>
      <c r="AC143" s="233"/>
      <c r="AD143" s="233"/>
      <c r="AE143" s="233"/>
      <c r="AF143" s="233"/>
      <c r="AG143" s="233"/>
      <c r="AH143" s="233"/>
      <c r="AI143" s="233"/>
      <c r="AJ143" s="233"/>
      <c r="AK143" s="233"/>
      <c r="AL143" s="233"/>
      <c r="AM143" s="233"/>
      <c r="AN143" s="233"/>
      <c r="AO143" s="233"/>
      <c r="AP143" s="233"/>
      <c r="AQ143" s="233"/>
      <c r="AR143" s="233"/>
      <c r="AS143" s="233"/>
      <c r="AT143" s="233"/>
      <c r="AU143" s="233"/>
      <c r="AV143" s="233"/>
      <c r="AW143" s="233"/>
      <c r="AX143" s="233"/>
      <c r="AY143" s="233"/>
      <c r="AZ143" s="233"/>
      <c r="BA143" s="233"/>
      <c r="BB143" s="233"/>
      <c r="BC143" s="233"/>
      <c r="BD143" s="233"/>
      <c r="BE143" s="233"/>
      <c r="BF143" s="233"/>
      <c r="BG143" s="233"/>
      <c r="BH143" s="233"/>
      <c r="BI143" s="233"/>
      <c r="BJ143" s="233"/>
      <c r="BK143" s="233"/>
    </row>
    <row r="144" spans="1:63">
      <c r="A144" s="233"/>
      <c r="B144" s="272"/>
      <c r="C144" s="233"/>
      <c r="D144" s="272"/>
      <c r="E144" s="233"/>
      <c r="F144" s="233"/>
      <c r="G144" s="233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  <c r="AA144" s="233"/>
      <c r="AB144" s="233"/>
      <c r="AC144" s="233"/>
      <c r="AD144" s="233"/>
      <c r="AE144" s="233"/>
      <c r="AF144" s="233"/>
      <c r="AG144" s="233"/>
      <c r="AH144" s="233"/>
      <c r="AI144" s="233"/>
      <c r="AJ144" s="233"/>
      <c r="AK144" s="233"/>
      <c r="AL144" s="233"/>
      <c r="AM144" s="233"/>
      <c r="AN144" s="233"/>
      <c r="AO144" s="233"/>
      <c r="AP144" s="233"/>
      <c r="AQ144" s="233"/>
      <c r="AR144" s="233"/>
      <c r="AS144" s="233"/>
      <c r="AT144" s="233"/>
      <c r="AU144" s="233"/>
      <c r="AV144" s="233"/>
      <c r="AW144" s="233"/>
      <c r="AX144" s="233"/>
      <c r="AY144" s="233"/>
      <c r="AZ144" s="233"/>
      <c r="BA144" s="233"/>
      <c r="BB144" s="233"/>
      <c r="BC144" s="233"/>
      <c r="BD144" s="233"/>
      <c r="BE144" s="233"/>
      <c r="BF144" s="233"/>
      <c r="BG144" s="233"/>
      <c r="BH144" s="233"/>
      <c r="BI144" s="233"/>
      <c r="BJ144" s="233"/>
      <c r="BK144" s="233"/>
    </row>
    <row r="145" spans="1:63">
      <c r="A145" s="233"/>
      <c r="B145" s="272"/>
      <c r="C145" s="233"/>
      <c r="D145" s="272"/>
      <c r="E145" s="233"/>
      <c r="F145" s="233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  <c r="AA145" s="233"/>
      <c r="AB145" s="233"/>
      <c r="AC145" s="233"/>
      <c r="AD145" s="233"/>
      <c r="AE145" s="233"/>
      <c r="AF145" s="233"/>
      <c r="AG145" s="233"/>
      <c r="AH145" s="233"/>
      <c r="AI145" s="233"/>
      <c r="AJ145" s="233"/>
      <c r="AK145" s="233"/>
      <c r="AL145" s="233"/>
      <c r="AM145" s="233"/>
      <c r="AN145" s="233"/>
      <c r="AO145" s="233"/>
      <c r="AP145" s="233"/>
      <c r="AQ145" s="233"/>
      <c r="AR145" s="233"/>
      <c r="AS145" s="233"/>
      <c r="AT145" s="233"/>
      <c r="AU145" s="233"/>
      <c r="AV145" s="233"/>
      <c r="AW145" s="233"/>
      <c r="AX145" s="233"/>
      <c r="AY145" s="233"/>
      <c r="AZ145" s="233"/>
      <c r="BA145" s="233"/>
      <c r="BB145" s="233"/>
      <c r="BC145" s="233"/>
      <c r="BD145" s="233"/>
      <c r="BE145" s="233"/>
      <c r="BF145" s="233"/>
      <c r="BG145" s="233"/>
      <c r="BH145" s="233"/>
      <c r="BI145" s="233"/>
      <c r="BJ145" s="233"/>
      <c r="BK145" s="233"/>
    </row>
    <row r="146" spans="1:63">
      <c r="A146" s="233"/>
      <c r="B146" s="272"/>
      <c r="C146" s="233"/>
      <c r="D146" s="272"/>
      <c r="E146" s="233"/>
      <c r="F146" s="233"/>
      <c r="G146" s="233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  <c r="AA146" s="233"/>
      <c r="AB146" s="233"/>
      <c r="AC146" s="233"/>
      <c r="AD146" s="233"/>
      <c r="AE146" s="233"/>
      <c r="AF146" s="233"/>
      <c r="AG146" s="233"/>
      <c r="AH146" s="233"/>
      <c r="AI146" s="233"/>
      <c r="AJ146" s="233"/>
      <c r="AK146" s="233"/>
      <c r="AL146" s="233"/>
      <c r="AM146" s="233"/>
      <c r="AN146" s="233"/>
      <c r="AO146" s="233"/>
      <c r="AP146" s="233"/>
      <c r="AQ146" s="233"/>
      <c r="AR146" s="233"/>
      <c r="AS146" s="233"/>
      <c r="AT146" s="233"/>
      <c r="AU146" s="233"/>
      <c r="AV146" s="233"/>
      <c r="AW146" s="233"/>
      <c r="AX146" s="233"/>
      <c r="AY146" s="233"/>
      <c r="AZ146" s="233"/>
      <c r="BA146" s="233"/>
      <c r="BB146" s="233"/>
      <c r="BC146" s="233"/>
      <c r="BD146" s="233"/>
      <c r="BE146" s="233"/>
      <c r="BF146" s="233"/>
      <c r="BG146" s="233"/>
      <c r="BH146" s="233"/>
      <c r="BI146" s="233"/>
      <c r="BJ146" s="233"/>
      <c r="BK146" s="233"/>
    </row>
    <row r="147" spans="1:63">
      <c r="A147" s="233"/>
      <c r="B147" s="272"/>
      <c r="C147" s="233"/>
      <c r="D147" s="272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  <c r="AA147" s="233"/>
      <c r="AB147" s="233"/>
      <c r="AC147" s="233"/>
      <c r="AD147" s="233"/>
      <c r="AE147" s="233"/>
      <c r="AF147" s="233"/>
      <c r="AG147" s="233"/>
      <c r="AH147" s="233"/>
      <c r="AI147" s="233"/>
      <c r="AJ147" s="233"/>
      <c r="AK147" s="233"/>
      <c r="AL147" s="233"/>
      <c r="AM147" s="233"/>
      <c r="AN147" s="233"/>
      <c r="AO147" s="233"/>
      <c r="AP147" s="233"/>
      <c r="AQ147" s="233"/>
      <c r="AR147" s="233"/>
      <c r="AS147" s="233"/>
      <c r="AT147" s="233"/>
      <c r="AU147" s="233"/>
      <c r="AV147" s="233"/>
      <c r="AW147" s="233"/>
      <c r="AX147" s="233"/>
      <c r="AY147" s="233"/>
      <c r="AZ147" s="233"/>
      <c r="BA147" s="233"/>
      <c r="BB147" s="233"/>
      <c r="BC147" s="233"/>
      <c r="BD147" s="233"/>
      <c r="BE147" s="233"/>
      <c r="BF147" s="233"/>
      <c r="BG147" s="233"/>
      <c r="BH147" s="233"/>
      <c r="BI147" s="233"/>
      <c r="BJ147" s="233"/>
      <c r="BK147" s="233"/>
    </row>
    <row r="148" spans="1:63">
      <c r="A148" s="233"/>
      <c r="B148" s="272"/>
      <c r="C148" s="233"/>
      <c r="D148" s="272"/>
      <c r="E148" s="233"/>
      <c r="F148" s="233"/>
      <c r="G148" s="233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  <c r="AA148" s="233"/>
      <c r="AB148" s="233"/>
      <c r="AC148" s="233"/>
      <c r="AD148" s="233"/>
      <c r="AE148" s="233"/>
      <c r="AF148" s="233"/>
      <c r="AG148" s="233"/>
      <c r="AH148" s="233"/>
      <c r="AI148" s="233"/>
      <c r="AJ148" s="233"/>
      <c r="AK148" s="233"/>
      <c r="AL148" s="233"/>
      <c r="AM148" s="233"/>
      <c r="AN148" s="233"/>
      <c r="AO148" s="233"/>
      <c r="AP148" s="233"/>
      <c r="AQ148" s="233"/>
      <c r="AR148" s="233"/>
      <c r="AS148" s="233"/>
      <c r="AT148" s="233"/>
      <c r="AU148" s="233"/>
      <c r="AV148" s="233"/>
      <c r="AW148" s="233"/>
      <c r="AX148" s="233"/>
      <c r="AY148" s="233"/>
      <c r="AZ148" s="233"/>
      <c r="BA148" s="233"/>
      <c r="BB148" s="233"/>
      <c r="BC148" s="233"/>
      <c r="BD148" s="233"/>
      <c r="BE148" s="233"/>
      <c r="BF148" s="233"/>
      <c r="BG148" s="233"/>
      <c r="BH148" s="233"/>
      <c r="BI148" s="233"/>
      <c r="BJ148" s="233"/>
      <c r="BK148" s="233"/>
    </row>
    <row r="149" spans="1:63">
      <c r="A149" s="233"/>
      <c r="B149" s="272"/>
      <c r="C149" s="233"/>
      <c r="D149" s="272"/>
      <c r="E149" s="233"/>
      <c r="F149" s="233"/>
      <c r="G149" s="233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  <c r="AA149" s="233"/>
      <c r="AB149" s="233"/>
      <c r="AC149" s="233"/>
      <c r="AD149" s="233"/>
      <c r="AE149" s="233"/>
      <c r="AF149" s="233"/>
      <c r="AG149" s="233"/>
      <c r="AH149" s="233"/>
      <c r="AI149" s="233"/>
      <c r="AJ149" s="233"/>
      <c r="AK149" s="233"/>
      <c r="AL149" s="233"/>
      <c r="AM149" s="233"/>
      <c r="AN149" s="233"/>
      <c r="AO149" s="233"/>
      <c r="AP149" s="233"/>
      <c r="AQ149" s="233"/>
      <c r="AR149" s="233"/>
      <c r="AS149" s="233"/>
      <c r="AT149" s="233"/>
      <c r="AU149" s="233"/>
      <c r="AV149" s="233"/>
      <c r="AW149" s="233"/>
      <c r="AX149" s="233"/>
      <c r="AY149" s="233"/>
      <c r="AZ149" s="233"/>
      <c r="BA149" s="233"/>
      <c r="BB149" s="233"/>
      <c r="BC149" s="233"/>
      <c r="BD149" s="233"/>
      <c r="BE149" s="233"/>
      <c r="BF149" s="233"/>
      <c r="BG149" s="233"/>
      <c r="BH149" s="233"/>
      <c r="BI149" s="233"/>
      <c r="BJ149" s="233"/>
      <c r="BK149" s="23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4B084"/>
  </sheetPr>
  <dimension ref="A1:BK149"/>
  <sheetViews>
    <sheetView zoomScale="98" workbookViewId="0">
      <pane xSplit="4" ySplit="3" topLeftCell="E4" activePane="bottomRight" state="frozen"/>
      <selection pane="topRight"/>
      <selection pane="bottomLeft"/>
      <selection pane="bottomRight" activeCell="A3" sqref="A3:XFD3"/>
    </sheetView>
  </sheetViews>
  <sheetFormatPr defaultRowHeight="14.5"/>
  <cols>
    <col min="1" max="1" width="42.08984375" customWidth="1"/>
    <col min="2" max="2" width="4.453125" style="54" customWidth="1"/>
    <col min="3" max="3" width="19.90625" style="49" customWidth="1"/>
    <col min="4" max="4" width="7.6328125" style="54" customWidth="1"/>
    <col min="5" max="5" width="11.7265625" customWidth="1"/>
    <col min="6" max="8" width="10.7265625" style="59" customWidth="1"/>
    <col min="9" max="9" width="11.7265625" customWidth="1"/>
    <col min="10" max="10" width="12" bestFit="1" customWidth="1"/>
    <col min="11" max="11" width="10.7265625" style="218" customWidth="1"/>
    <col min="12" max="15" width="11.7265625" customWidth="1"/>
    <col min="16" max="16" width="12" bestFit="1" customWidth="1"/>
    <col min="17" max="24" width="11.7265625" customWidth="1"/>
    <col min="25" max="27" width="8.7265625" customWidth="1"/>
    <col min="28" max="28" width="19.6328125" bestFit="1" customWidth="1"/>
    <col min="29" max="29" width="13.90625" bestFit="1" customWidth="1"/>
    <col min="30" max="30" width="10.81640625" bestFit="1" customWidth="1"/>
    <col min="31" max="31" width="18.26953125" bestFit="1" customWidth="1"/>
  </cols>
  <sheetData>
    <row r="1" spans="1:63">
      <c r="A1" s="233"/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</row>
    <row r="2" spans="1:63" s="229" customFormat="1">
      <c r="A2" s="236" t="s">
        <v>0</v>
      </c>
      <c r="B2" s="237"/>
      <c r="C2" s="237"/>
      <c r="D2" s="237"/>
      <c r="E2" s="238">
        <v>45657</v>
      </c>
      <c r="F2" s="238">
        <v>45747</v>
      </c>
      <c r="G2" s="238">
        <v>45838</v>
      </c>
      <c r="H2" s="238">
        <v>45930</v>
      </c>
      <c r="I2" s="238">
        <v>46022</v>
      </c>
      <c r="J2" s="238">
        <v>46112</v>
      </c>
      <c r="K2" s="238">
        <v>46203</v>
      </c>
      <c r="L2" s="238">
        <v>45747</v>
      </c>
      <c r="M2" s="238">
        <v>45838</v>
      </c>
      <c r="N2" s="238">
        <v>45930</v>
      </c>
      <c r="O2" s="238">
        <v>46022</v>
      </c>
      <c r="P2" s="238">
        <v>46112</v>
      </c>
      <c r="Q2" s="238">
        <v>46203</v>
      </c>
      <c r="R2" s="238">
        <v>46295</v>
      </c>
      <c r="S2" s="238">
        <v>46387</v>
      </c>
      <c r="T2" s="238">
        <v>46752</v>
      </c>
      <c r="U2" s="238">
        <v>47118</v>
      </c>
      <c r="V2" s="238">
        <v>47483</v>
      </c>
      <c r="W2" s="238">
        <v>47848</v>
      </c>
      <c r="X2" s="238"/>
      <c r="Y2" s="238"/>
      <c r="Z2" s="238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39"/>
      <c r="AN2" s="239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I2" s="239"/>
      <c r="BJ2" s="239"/>
      <c r="BK2" s="239"/>
    </row>
    <row r="3" spans="1:63" s="232" customFormat="1">
      <c r="A3" s="68"/>
      <c r="B3" s="230"/>
      <c r="C3" s="230"/>
      <c r="D3" s="230"/>
      <c r="E3" s="231" t="s">
        <v>56</v>
      </c>
      <c r="F3" s="68"/>
      <c r="G3" s="68"/>
      <c r="H3" s="68"/>
      <c r="I3" s="68"/>
      <c r="J3" s="68"/>
      <c r="K3" s="231"/>
      <c r="L3" s="231" t="s">
        <v>42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</row>
    <row r="4" spans="1:63" ht="18.5" customHeight="1">
      <c r="A4" s="233"/>
      <c r="B4" s="240" t="s">
        <v>42</v>
      </c>
      <c r="C4" s="241" t="s">
        <v>43</v>
      </c>
      <c r="D4" s="240" t="s">
        <v>3</v>
      </c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</row>
    <row r="5" spans="1:63">
      <c r="A5" s="273" t="s">
        <v>336</v>
      </c>
      <c r="B5" s="246"/>
      <c r="C5" s="247"/>
      <c r="D5" s="246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74"/>
      <c r="Z5" s="274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</row>
    <row r="6" spans="1:63" s="4" customFormat="1">
      <c r="A6" s="248" t="s">
        <v>372</v>
      </c>
      <c r="B6" s="249" t="s">
        <v>25</v>
      </c>
      <c r="C6" s="250" t="s">
        <v>322</v>
      </c>
      <c r="D6" s="251" t="s">
        <v>373</v>
      </c>
      <c r="E6" s="233"/>
      <c r="F6" s="233"/>
      <c r="G6" s="233"/>
      <c r="H6" s="233"/>
      <c r="I6" s="253">
        <v>93750</v>
      </c>
      <c r="J6" s="285">
        <v>93750</v>
      </c>
      <c r="K6" s="233"/>
      <c r="L6" s="254">
        <v>93750</v>
      </c>
      <c r="M6" s="254">
        <v>93750</v>
      </c>
      <c r="N6" s="254">
        <v>93750</v>
      </c>
      <c r="O6" s="254">
        <v>93750</v>
      </c>
      <c r="P6" s="255">
        <v>93750</v>
      </c>
      <c r="Q6" s="254">
        <v>93750</v>
      </c>
      <c r="R6" s="254">
        <v>93750</v>
      </c>
      <c r="S6" s="254">
        <v>93750</v>
      </c>
      <c r="T6" s="254">
        <v>375000</v>
      </c>
      <c r="U6" s="254">
        <v>375000</v>
      </c>
      <c r="V6" s="254">
        <v>375000</v>
      </c>
      <c r="W6" s="254">
        <v>375000</v>
      </c>
      <c r="X6" s="233"/>
      <c r="Y6" s="274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233"/>
      <c r="BG6" s="233"/>
      <c r="BH6" s="233"/>
      <c r="BI6" s="233"/>
      <c r="BJ6" s="233"/>
      <c r="BK6" s="233"/>
    </row>
    <row r="7" spans="1:63" s="4" customFormat="1">
      <c r="A7" s="248" t="s">
        <v>374</v>
      </c>
      <c r="B7" s="249" t="s">
        <v>25</v>
      </c>
      <c r="C7" s="250" t="s">
        <v>322</v>
      </c>
      <c r="D7" s="251" t="s">
        <v>375</v>
      </c>
      <c r="E7" s="233"/>
      <c r="F7" s="233"/>
      <c r="G7" s="233"/>
      <c r="H7" s="233"/>
      <c r="I7" s="253">
        <v>0</v>
      </c>
      <c r="J7" s="253">
        <v>0</v>
      </c>
      <c r="K7" s="233"/>
      <c r="L7" s="254">
        <v>0</v>
      </c>
      <c r="M7" s="254">
        <v>0</v>
      </c>
      <c r="N7" s="254">
        <v>0</v>
      </c>
      <c r="O7" s="254">
        <v>0</v>
      </c>
      <c r="P7" s="254">
        <v>0</v>
      </c>
      <c r="Q7" s="254">
        <v>125000</v>
      </c>
      <c r="R7" s="254">
        <v>125000</v>
      </c>
      <c r="S7" s="254">
        <v>125000</v>
      </c>
      <c r="T7" s="254">
        <v>375000</v>
      </c>
      <c r="U7" s="254">
        <v>375000</v>
      </c>
      <c r="V7" s="254">
        <v>375000</v>
      </c>
      <c r="W7" s="254">
        <v>375000</v>
      </c>
      <c r="X7" s="233"/>
      <c r="Y7" s="274"/>
      <c r="Z7" s="233"/>
      <c r="AA7" s="233"/>
      <c r="AB7" s="281"/>
      <c r="AC7" s="286"/>
      <c r="AD7" s="281"/>
      <c r="AE7" s="281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33"/>
      <c r="BG7" s="233"/>
      <c r="BH7" s="233"/>
      <c r="BI7" s="233"/>
      <c r="BJ7" s="233"/>
      <c r="BK7" s="233"/>
    </row>
    <row r="8" spans="1:63" s="4" customFormat="1">
      <c r="A8" s="248" t="s">
        <v>376</v>
      </c>
      <c r="B8" s="249" t="s">
        <v>25</v>
      </c>
      <c r="C8" s="250" t="s">
        <v>322</v>
      </c>
      <c r="D8" s="251" t="s">
        <v>377</v>
      </c>
      <c r="E8" s="233"/>
      <c r="F8" s="233"/>
      <c r="G8" s="233"/>
      <c r="H8" s="233"/>
      <c r="I8" s="253">
        <v>21250</v>
      </c>
      <c r="J8" s="285">
        <v>21250</v>
      </c>
      <c r="K8" s="233"/>
      <c r="L8" s="254">
        <v>0</v>
      </c>
      <c r="M8" s="254">
        <v>0</v>
      </c>
      <c r="N8" s="254">
        <v>21250</v>
      </c>
      <c r="O8" s="254">
        <v>21250</v>
      </c>
      <c r="P8" s="255">
        <v>21250</v>
      </c>
      <c r="Q8" s="284">
        <v>21250</v>
      </c>
      <c r="R8" s="284">
        <v>21250</v>
      </c>
      <c r="S8" s="284">
        <v>21250</v>
      </c>
      <c r="T8" s="284">
        <v>85000</v>
      </c>
      <c r="U8" s="284">
        <v>85000</v>
      </c>
      <c r="V8" s="284">
        <v>85000</v>
      </c>
      <c r="W8" s="284">
        <v>85000</v>
      </c>
      <c r="X8" s="233"/>
      <c r="Y8" s="274"/>
      <c r="Z8" s="233"/>
      <c r="AA8" s="233"/>
      <c r="AB8" s="233"/>
      <c r="AC8" s="234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233"/>
    </row>
    <row r="9" spans="1:63" s="4" customFormat="1">
      <c r="A9" s="248" t="s">
        <v>378</v>
      </c>
      <c r="B9" s="277" t="s">
        <v>25</v>
      </c>
      <c r="C9" s="278" t="s">
        <v>322</v>
      </c>
      <c r="D9" s="277" t="s">
        <v>379</v>
      </c>
      <c r="E9" s="233"/>
      <c r="F9" s="233"/>
      <c r="G9" s="233"/>
      <c r="H9" s="233"/>
      <c r="I9" s="253">
        <v>46250</v>
      </c>
      <c r="J9" s="285">
        <v>48750</v>
      </c>
      <c r="K9" s="233"/>
      <c r="L9" s="254">
        <v>46250</v>
      </c>
      <c r="M9" s="254">
        <v>46250</v>
      </c>
      <c r="N9" s="254">
        <v>46250</v>
      </c>
      <c r="O9" s="254">
        <v>46250</v>
      </c>
      <c r="P9" s="255">
        <v>48750</v>
      </c>
      <c r="Q9" s="284">
        <v>48750</v>
      </c>
      <c r="R9" s="284">
        <v>48750</v>
      </c>
      <c r="S9" s="284">
        <v>48750</v>
      </c>
      <c r="T9" s="284">
        <v>195000</v>
      </c>
      <c r="U9" s="284">
        <v>195000</v>
      </c>
      <c r="V9" s="284">
        <v>195000</v>
      </c>
      <c r="W9" s="284">
        <v>195000</v>
      </c>
      <c r="X9" s="233"/>
      <c r="Y9" s="274"/>
      <c r="Z9" s="233"/>
      <c r="AA9" s="233"/>
      <c r="AB9" s="287"/>
      <c r="AC9" s="288"/>
      <c r="AD9" s="289"/>
      <c r="AE9" s="252"/>
      <c r="AF9" s="233"/>
      <c r="AG9" s="233"/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33"/>
      <c r="AU9" s="233"/>
      <c r="AV9" s="233"/>
      <c r="AW9" s="233"/>
      <c r="AX9" s="233"/>
      <c r="AY9" s="233"/>
      <c r="AZ9" s="233"/>
      <c r="BA9" s="233"/>
      <c r="BB9" s="233"/>
      <c r="BC9" s="233"/>
      <c r="BD9" s="233"/>
      <c r="BE9" s="233"/>
      <c r="BF9" s="233"/>
      <c r="BG9" s="233"/>
      <c r="BH9" s="233"/>
      <c r="BI9" s="233"/>
      <c r="BJ9" s="233"/>
      <c r="BK9" s="233"/>
    </row>
    <row r="10" spans="1:63" s="14" customFormat="1">
      <c r="A10" s="259" t="s">
        <v>380</v>
      </c>
      <c r="B10" s="277" t="s">
        <v>25</v>
      </c>
      <c r="C10" s="278" t="s">
        <v>322</v>
      </c>
      <c r="D10" s="277" t="s">
        <v>363</v>
      </c>
      <c r="E10" s="257"/>
      <c r="F10" s="257"/>
      <c r="G10" s="257"/>
      <c r="H10" s="257"/>
      <c r="I10" s="253">
        <v>31250</v>
      </c>
      <c r="J10" s="253">
        <v>0</v>
      </c>
      <c r="K10" s="257"/>
      <c r="L10" s="254">
        <v>37500</v>
      </c>
      <c r="M10" s="254">
        <v>37500</v>
      </c>
      <c r="N10" s="254">
        <v>37500</v>
      </c>
      <c r="O10" s="254">
        <v>31250</v>
      </c>
      <c r="P10" s="254">
        <v>0</v>
      </c>
      <c r="Q10" s="254">
        <v>0</v>
      </c>
      <c r="R10" s="254">
        <v>0</v>
      </c>
      <c r="S10" s="254">
        <v>0</v>
      </c>
      <c r="T10" s="284">
        <v>0</v>
      </c>
      <c r="U10" s="284">
        <v>0</v>
      </c>
      <c r="V10" s="284">
        <v>0</v>
      </c>
      <c r="W10" s="284">
        <v>0</v>
      </c>
      <c r="X10" s="233"/>
      <c r="Y10" s="274"/>
      <c r="Z10" s="233"/>
      <c r="AA10" s="233"/>
      <c r="AB10" s="287"/>
      <c r="AC10" s="288"/>
      <c r="AD10" s="289"/>
      <c r="AE10" s="252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</row>
    <row r="11" spans="1:63">
      <c r="A11" s="248" t="s">
        <v>381</v>
      </c>
      <c r="B11" s="259" t="s">
        <v>25</v>
      </c>
      <c r="C11" s="259" t="s">
        <v>322</v>
      </c>
      <c r="D11" s="259" t="s">
        <v>382</v>
      </c>
      <c r="E11" s="233"/>
      <c r="F11" s="233"/>
      <c r="G11" s="233"/>
      <c r="H11" s="233"/>
      <c r="I11" s="253">
        <v>0</v>
      </c>
      <c r="J11" s="253">
        <v>0</v>
      </c>
      <c r="K11" s="233"/>
      <c r="L11" s="254">
        <v>0</v>
      </c>
      <c r="M11" s="254">
        <v>0</v>
      </c>
      <c r="N11" s="254">
        <v>0</v>
      </c>
      <c r="O11" s="254">
        <v>0</v>
      </c>
      <c r="P11" s="254">
        <v>0</v>
      </c>
      <c r="Q11" s="256">
        <v>36250</v>
      </c>
      <c r="R11" s="256">
        <v>36250</v>
      </c>
      <c r="S11" s="256">
        <v>36250</v>
      </c>
      <c r="T11" s="254">
        <v>145000</v>
      </c>
      <c r="U11" s="256">
        <v>145000</v>
      </c>
      <c r="V11" s="256">
        <v>145000</v>
      </c>
      <c r="W11" s="256">
        <v>145000</v>
      </c>
      <c r="X11" s="257"/>
      <c r="Y11" s="234"/>
      <c r="Z11" s="234"/>
      <c r="AA11" s="233"/>
      <c r="AB11" s="233"/>
      <c r="AC11" s="233"/>
      <c r="AD11" s="233"/>
      <c r="AE11" s="233"/>
      <c r="AF11" s="233"/>
      <c r="AG11" s="233"/>
      <c r="AH11" s="233"/>
      <c r="AI11" s="235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</row>
    <row r="12" spans="1:63" s="11" customFormat="1">
      <c r="A12" s="248" t="s">
        <v>383</v>
      </c>
      <c r="B12" s="277" t="s">
        <v>25</v>
      </c>
      <c r="C12" s="278" t="s">
        <v>322</v>
      </c>
      <c r="D12" s="277" t="s">
        <v>384</v>
      </c>
      <c r="E12" s="261"/>
      <c r="F12" s="261"/>
      <c r="G12" s="261"/>
      <c r="H12" s="261"/>
      <c r="I12" s="275">
        <v>53750</v>
      </c>
      <c r="J12" s="275">
        <v>53750</v>
      </c>
      <c r="K12" s="261"/>
      <c r="L12" s="254">
        <v>0</v>
      </c>
      <c r="M12" s="254">
        <v>0</v>
      </c>
      <c r="N12" s="276">
        <v>53750</v>
      </c>
      <c r="O12" s="276">
        <v>53750</v>
      </c>
      <c r="P12" s="276">
        <v>53750</v>
      </c>
      <c r="Q12" s="256">
        <v>53750</v>
      </c>
      <c r="R12" s="256">
        <v>53750</v>
      </c>
      <c r="S12" s="256">
        <v>53750</v>
      </c>
      <c r="T12" s="284">
        <v>215000</v>
      </c>
      <c r="U12" s="284">
        <v>215000</v>
      </c>
      <c r="V12" s="284">
        <v>215000</v>
      </c>
      <c r="W12" s="284">
        <v>215000</v>
      </c>
      <c r="X12" s="233"/>
      <c r="Y12" s="233"/>
      <c r="Z12" s="233"/>
      <c r="AA12" s="233"/>
      <c r="AB12" s="257"/>
      <c r="AC12" s="274"/>
      <c r="AD12" s="274"/>
      <c r="AE12" s="233"/>
      <c r="AF12" s="287"/>
      <c r="AG12" s="288"/>
      <c r="AH12" s="289"/>
      <c r="AI12" s="257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</row>
    <row r="13" spans="1:63" s="11" customFormat="1">
      <c r="A13" s="248" t="s">
        <v>385</v>
      </c>
      <c r="B13" s="277" t="s">
        <v>25</v>
      </c>
      <c r="C13" s="278" t="s">
        <v>322</v>
      </c>
      <c r="D13" s="277" t="s">
        <v>386</v>
      </c>
      <c r="E13" s="261"/>
      <c r="F13" s="261"/>
      <c r="G13" s="261"/>
      <c r="H13" s="261"/>
      <c r="I13" s="262">
        <v>40000</v>
      </c>
      <c r="J13" s="262">
        <v>40000</v>
      </c>
      <c r="K13" s="261"/>
      <c r="L13" s="256">
        <v>40000</v>
      </c>
      <c r="M13" s="256">
        <v>40000</v>
      </c>
      <c r="N13" s="256">
        <v>40000</v>
      </c>
      <c r="O13" s="256">
        <v>40000</v>
      </c>
      <c r="P13" s="256">
        <v>40000</v>
      </c>
      <c r="Q13" s="256">
        <v>40000</v>
      </c>
      <c r="R13" s="256">
        <v>40000</v>
      </c>
      <c r="S13" s="256">
        <v>40000</v>
      </c>
      <c r="T13" s="276">
        <v>200000</v>
      </c>
      <c r="U13" s="276">
        <v>200000</v>
      </c>
      <c r="V13" s="276">
        <v>200000</v>
      </c>
      <c r="W13" s="276">
        <v>200000</v>
      </c>
      <c r="X13" s="252"/>
      <c r="Y13" s="252"/>
      <c r="Z13" s="252"/>
      <c r="AA13" s="252"/>
      <c r="AB13" s="257"/>
      <c r="AC13" s="274"/>
      <c r="AD13" s="274"/>
      <c r="AE13" s="233"/>
      <c r="AF13" s="287"/>
      <c r="AG13" s="288"/>
      <c r="AH13" s="289"/>
      <c r="AI13" s="257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</row>
    <row r="14" spans="1:63" s="14" customFormat="1">
      <c r="A14" s="259" t="s">
        <v>387</v>
      </c>
      <c r="B14" s="277" t="s">
        <v>25</v>
      </c>
      <c r="C14" s="278" t="s">
        <v>322</v>
      </c>
      <c r="D14" s="277" t="s">
        <v>388</v>
      </c>
      <c r="E14" s="233"/>
      <c r="F14" s="233"/>
      <c r="G14" s="233"/>
      <c r="H14" s="233"/>
      <c r="I14" s="253">
        <v>0</v>
      </c>
      <c r="J14" s="253">
        <v>0</v>
      </c>
      <c r="K14" s="233"/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84">
        <v>0</v>
      </c>
      <c r="R14" s="256">
        <v>37500</v>
      </c>
      <c r="S14" s="256">
        <v>37500</v>
      </c>
      <c r="T14" s="284">
        <v>150000</v>
      </c>
      <c r="U14" s="284">
        <v>150000</v>
      </c>
      <c r="V14" s="284">
        <v>150000</v>
      </c>
      <c r="W14" s="284">
        <v>150000</v>
      </c>
      <c r="X14" s="233"/>
      <c r="Y14" s="274"/>
      <c r="Z14" s="233"/>
      <c r="AA14" s="233"/>
      <c r="AB14" s="287"/>
      <c r="AC14" s="288"/>
      <c r="AD14" s="289"/>
      <c r="AE14" s="252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</row>
    <row r="15" spans="1:63" s="14" customFormat="1">
      <c r="A15" s="259" t="s">
        <v>389</v>
      </c>
      <c r="B15" s="277" t="s">
        <v>25</v>
      </c>
      <c r="C15" s="278" t="s">
        <v>322</v>
      </c>
      <c r="D15" s="277" t="s">
        <v>390</v>
      </c>
      <c r="E15" s="233"/>
      <c r="F15" s="233"/>
      <c r="G15" s="233"/>
      <c r="H15" s="233"/>
      <c r="I15" s="253">
        <v>0</v>
      </c>
      <c r="J15" s="253">
        <v>0</v>
      </c>
      <c r="K15" s="233"/>
      <c r="L15" s="254">
        <v>0</v>
      </c>
      <c r="M15" s="254">
        <v>0</v>
      </c>
      <c r="N15" s="254">
        <v>0</v>
      </c>
      <c r="O15" s="254">
        <v>0</v>
      </c>
      <c r="P15" s="254">
        <v>0</v>
      </c>
      <c r="Q15" s="284">
        <v>0</v>
      </c>
      <c r="R15" s="256">
        <v>56250</v>
      </c>
      <c r="S15" s="256">
        <v>56250</v>
      </c>
      <c r="T15" s="284">
        <v>225000</v>
      </c>
      <c r="U15" s="284">
        <v>225000</v>
      </c>
      <c r="V15" s="284">
        <v>225000</v>
      </c>
      <c r="W15" s="284">
        <v>225000</v>
      </c>
      <c r="X15" s="233"/>
      <c r="Y15" s="274"/>
      <c r="Z15" s="233"/>
      <c r="AA15" s="233"/>
      <c r="AB15" s="287"/>
      <c r="AC15" s="288"/>
      <c r="AD15" s="289"/>
      <c r="AE15" s="252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</row>
    <row r="16" spans="1:63" s="14" customFormat="1">
      <c r="A16" s="259" t="s">
        <v>391</v>
      </c>
      <c r="B16" s="277" t="s">
        <v>25</v>
      </c>
      <c r="C16" s="278" t="s">
        <v>322</v>
      </c>
      <c r="D16" s="277" t="s">
        <v>392</v>
      </c>
      <c r="E16" s="233"/>
      <c r="F16" s="233"/>
      <c r="G16" s="233"/>
      <c r="H16" s="233"/>
      <c r="I16" s="253">
        <v>0</v>
      </c>
      <c r="J16" s="253">
        <v>0</v>
      </c>
      <c r="K16" s="233"/>
      <c r="L16" s="254">
        <v>0</v>
      </c>
      <c r="M16" s="254">
        <v>0</v>
      </c>
      <c r="N16" s="254">
        <v>0</v>
      </c>
      <c r="O16" s="254">
        <v>0</v>
      </c>
      <c r="P16" s="254">
        <v>0</v>
      </c>
      <c r="Q16" s="284">
        <v>0</v>
      </c>
      <c r="R16" s="256">
        <v>56250</v>
      </c>
      <c r="S16" s="256">
        <v>56250</v>
      </c>
      <c r="T16" s="284">
        <v>225000</v>
      </c>
      <c r="U16" s="284">
        <v>225000</v>
      </c>
      <c r="V16" s="284">
        <v>225000</v>
      </c>
      <c r="W16" s="284">
        <v>225000</v>
      </c>
      <c r="X16" s="233"/>
      <c r="Y16" s="274"/>
      <c r="Z16" s="233"/>
      <c r="AA16" s="233"/>
      <c r="AB16" s="287"/>
      <c r="AC16" s="288"/>
      <c r="AD16" s="289"/>
      <c r="AE16" s="252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3"/>
      <c r="AU16" s="233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33"/>
      <c r="BG16" s="233"/>
      <c r="BH16" s="233"/>
      <c r="BI16" s="233"/>
      <c r="BJ16" s="233"/>
      <c r="BK16" s="233"/>
    </row>
    <row r="17" spans="1:63" s="14" customFormat="1">
      <c r="A17" s="259" t="s">
        <v>393</v>
      </c>
      <c r="B17" s="277" t="s">
        <v>25</v>
      </c>
      <c r="C17" s="278" t="s">
        <v>322</v>
      </c>
      <c r="D17" s="277" t="s">
        <v>394</v>
      </c>
      <c r="E17" s="263"/>
      <c r="F17" s="263"/>
      <c r="G17" s="263"/>
      <c r="H17" s="263"/>
      <c r="I17" s="253">
        <v>0</v>
      </c>
      <c r="J17" s="253">
        <v>0</v>
      </c>
      <c r="K17" s="263"/>
      <c r="L17" s="254">
        <v>0</v>
      </c>
      <c r="M17" s="254">
        <v>0</v>
      </c>
      <c r="N17" s="254">
        <v>0</v>
      </c>
      <c r="O17" s="254">
        <v>0</v>
      </c>
      <c r="P17" s="254">
        <v>0</v>
      </c>
      <c r="Q17" s="284">
        <v>0</v>
      </c>
      <c r="R17" s="256">
        <v>18750</v>
      </c>
      <c r="S17" s="256">
        <v>18750</v>
      </c>
      <c r="T17" s="284">
        <v>75000</v>
      </c>
      <c r="U17" s="284">
        <v>75000</v>
      </c>
      <c r="V17" s="284">
        <v>75000</v>
      </c>
      <c r="W17" s="284">
        <v>75000</v>
      </c>
      <c r="X17" s="233"/>
      <c r="Y17" s="274"/>
      <c r="Z17" s="233"/>
      <c r="AA17" s="233"/>
      <c r="AB17" s="287"/>
      <c r="AC17" s="288"/>
      <c r="AD17" s="289"/>
      <c r="AE17" s="252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</row>
    <row r="18" spans="1:63" ht="14.65" customHeight="1">
      <c r="A18" s="279" t="s">
        <v>78</v>
      </c>
      <c r="B18" s="233"/>
      <c r="C18" s="233"/>
      <c r="D18" s="233"/>
      <c r="E18" s="263"/>
      <c r="F18" s="263"/>
      <c r="G18" s="263"/>
      <c r="H18" s="263"/>
      <c r="I18" s="253">
        <v>286250</v>
      </c>
      <c r="J18" s="253">
        <v>257500</v>
      </c>
      <c r="K18" s="263"/>
      <c r="L18" s="257">
        <f t="shared" ref="L18:W18" si="0">SUM(L6:L17)</f>
        <v>217500</v>
      </c>
      <c r="M18" s="257">
        <f t="shared" si="0"/>
        <v>217500</v>
      </c>
      <c r="N18" s="257">
        <f t="shared" si="0"/>
        <v>292500</v>
      </c>
      <c r="O18" s="257">
        <f t="shared" si="0"/>
        <v>286250</v>
      </c>
      <c r="P18" s="257">
        <f t="shared" si="0"/>
        <v>257500</v>
      </c>
      <c r="Q18" s="257">
        <f t="shared" si="0"/>
        <v>418750</v>
      </c>
      <c r="R18" s="257">
        <f t="shared" si="0"/>
        <v>587500</v>
      </c>
      <c r="S18" s="257">
        <f t="shared" si="0"/>
        <v>587500</v>
      </c>
      <c r="T18" s="257">
        <f t="shared" si="0"/>
        <v>2265000</v>
      </c>
      <c r="U18" s="257">
        <f t="shared" si="0"/>
        <v>2265000</v>
      </c>
      <c r="V18" s="257">
        <f t="shared" si="0"/>
        <v>2265000</v>
      </c>
      <c r="W18" s="257">
        <f t="shared" si="0"/>
        <v>2265000</v>
      </c>
      <c r="X18" s="257"/>
      <c r="Y18" s="274"/>
      <c r="Z18" s="274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33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</row>
    <row r="19" spans="1:63">
      <c r="A19" s="280"/>
      <c r="B19" s="233"/>
      <c r="C19" s="233"/>
      <c r="D19" s="233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74"/>
      <c r="Z19" s="274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  <c r="AY19" s="233"/>
      <c r="AZ19" s="233"/>
      <c r="BA19" s="233"/>
      <c r="BB19" s="233"/>
      <c r="BC19" s="233"/>
      <c r="BD19" s="233"/>
      <c r="BE19" s="233"/>
      <c r="BF19" s="233"/>
      <c r="BG19" s="233"/>
      <c r="BH19" s="233"/>
      <c r="BI19" s="233"/>
      <c r="BJ19" s="233"/>
      <c r="BK19" s="233"/>
    </row>
    <row r="20" spans="1:63" ht="14.65" customHeight="1">
      <c r="A20" s="278" t="s">
        <v>333</v>
      </c>
      <c r="B20" s="233"/>
      <c r="C20" s="233"/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74"/>
      <c r="Z20" s="274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</row>
    <row r="21" spans="1:63" s="4" customFormat="1">
      <c r="A21" s="233" t="str">
        <f t="shared" ref="A21:A32" si="1">+A6</f>
        <v>HOBI (CW)</v>
      </c>
      <c r="B21" s="277" t="s">
        <v>25</v>
      </c>
      <c r="C21" s="278" t="s">
        <v>334</v>
      </c>
      <c r="D21" s="277" t="s">
        <v>373</v>
      </c>
      <c r="E21" s="235"/>
      <c r="F21" s="235"/>
      <c r="G21" s="235"/>
      <c r="H21" s="235"/>
      <c r="I21" s="262">
        <v>125000</v>
      </c>
      <c r="J21" s="262">
        <v>0</v>
      </c>
      <c r="K21" s="235"/>
      <c r="L21" s="256">
        <v>0</v>
      </c>
      <c r="M21" s="256">
        <v>0</v>
      </c>
      <c r="N21" s="256">
        <v>0</v>
      </c>
      <c r="O21" s="256">
        <v>125000</v>
      </c>
      <c r="P21" s="256">
        <v>0</v>
      </c>
      <c r="Q21" s="256">
        <v>0</v>
      </c>
      <c r="R21" s="256">
        <v>0</v>
      </c>
      <c r="S21" s="256">
        <v>225000</v>
      </c>
      <c r="T21" s="256">
        <v>325000</v>
      </c>
      <c r="U21" s="256">
        <v>325000</v>
      </c>
      <c r="V21" s="256">
        <v>325000</v>
      </c>
      <c r="W21" s="256">
        <v>325000</v>
      </c>
      <c r="X21" s="233"/>
      <c r="Y21" s="274"/>
      <c r="Z21" s="233"/>
      <c r="AA21" s="233"/>
      <c r="AB21" s="290"/>
      <c r="AC21" s="288"/>
      <c r="AD21" s="288"/>
      <c r="AE21" s="288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33"/>
      <c r="BG21" s="233"/>
      <c r="BH21" s="233"/>
      <c r="BI21" s="233"/>
      <c r="BJ21" s="233"/>
      <c r="BK21" s="233"/>
    </row>
    <row r="22" spans="1:63" s="4" customFormat="1">
      <c r="A22" s="233" t="str">
        <f t="shared" si="1"/>
        <v xml:space="preserve">CFO (ZS) </v>
      </c>
      <c r="B22" s="277" t="s">
        <v>25</v>
      </c>
      <c r="C22" s="278" t="s">
        <v>334</v>
      </c>
      <c r="D22" s="277" t="s">
        <v>375</v>
      </c>
      <c r="E22" s="257"/>
      <c r="F22" s="257"/>
      <c r="G22" s="257"/>
      <c r="H22" s="257"/>
      <c r="I22" s="262">
        <v>60000</v>
      </c>
      <c r="J22" s="262">
        <v>0</v>
      </c>
      <c r="K22" s="257"/>
      <c r="L22" s="256">
        <v>0</v>
      </c>
      <c r="M22" s="256">
        <v>0</v>
      </c>
      <c r="N22" s="256">
        <v>0</v>
      </c>
      <c r="O22" s="256">
        <v>60000</v>
      </c>
      <c r="P22" s="256">
        <v>0</v>
      </c>
      <c r="Q22" s="256">
        <v>0</v>
      </c>
      <c r="R22" s="256">
        <v>0</v>
      </c>
      <c r="S22" s="256">
        <v>100000</v>
      </c>
      <c r="T22" s="256">
        <v>150000</v>
      </c>
      <c r="U22" s="256">
        <v>150000</v>
      </c>
      <c r="V22" s="256">
        <v>150000</v>
      </c>
      <c r="W22" s="256">
        <v>150000</v>
      </c>
      <c r="X22" s="233"/>
      <c r="Y22" s="274"/>
      <c r="Z22" s="233"/>
      <c r="AA22" s="233"/>
      <c r="AB22" s="233"/>
      <c r="AC22" s="234"/>
      <c r="AD22" s="288"/>
      <c r="AE22" s="288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33"/>
      <c r="BG22" s="233"/>
      <c r="BH22" s="233"/>
      <c r="BI22" s="233"/>
      <c r="BJ22" s="233"/>
      <c r="BK22" s="233"/>
    </row>
    <row r="23" spans="1:63" s="4" customFormat="1">
      <c r="A23" s="233" t="str">
        <f t="shared" si="1"/>
        <v xml:space="preserve">Financial Analyst (NR) </v>
      </c>
      <c r="B23" s="277" t="s">
        <v>25</v>
      </c>
      <c r="C23" s="278" t="s">
        <v>334</v>
      </c>
      <c r="D23" s="277" t="s">
        <v>377</v>
      </c>
      <c r="E23" s="257"/>
      <c r="F23" s="257"/>
      <c r="G23" s="257"/>
      <c r="H23" s="257"/>
      <c r="I23" s="262">
        <v>5000</v>
      </c>
      <c r="J23" s="262">
        <v>0</v>
      </c>
      <c r="K23" s="257"/>
      <c r="L23" s="256">
        <v>0</v>
      </c>
      <c r="M23" s="256">
        <v>0</v>
      </c>
      <c r="N23" s="256">
        <v>0</v>
      </c>
      <c r="O23" s="256">
        <v>5000</v>
      </c>
      <c r="P23" s="256">
        <v>0</v>
      </c>
      <c r="Q23" s="256">
        <v>0</v>
      </c>
      <c r="R23" s="256">
        <v>0</v>
      </c>
      <c r="S23" s="256">
        <v>7500</v>
      </c>
      <c r="T23" s="256">
        <v>7500</v>
      </c>
      <c r="U23" s="256">
        <v>7500</v>
      </c>
      <c r="V23" s="256">
        <v>7500</v>
      </c>
      <c r="W23" s="256">
        <v>7500</v>
      </c>
      <c r="X23" s="233"/>
      <c r="Y23" s="274"/>
      <c r="Z23" s="233"/>
      <c r="AA23" s="233"/>
      <c r="AB23" s="233"/>
      <c r="AC23" s="234"/>
      <c r="AD23" s="233"/>
      <c r="AE23" s="234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3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3"/>
      <c r="BK23" s="233"/>
    </row>
    <row r="24" spans="1:63" s="4" customFormat="1">
      <c r="A24" s="233" t="str">
        <f t="shared" si="1"/>
        <v>Fin Controls (TB) - 100%</v>
      </c>
      <c r="B24" s="277" t="s">
        <v>25</v>
      </c>
      <c r="C24" s="278" t="s">
        <v>334</v>
      </c>
      <c r="D24" s="277" t="s">
        <v>379</v>
      </c>
      <c r="E24" s="257"/>
      <c r="F24" s="257"/>
      <c r="G24" s="257"/>
      <c r="H24" s="257"/>
      <c r="I24" s="262">
        <v>17500</v>
      </c>
      <c r="J24" s="262">
        <v>0</v>
      </c>
      <c r="K24" s="257"/>
      <c r="L24" s="256">
        <v>0</v>
      </c>
      <c r="M24" s="256">
        <v>0</v>
      </c>
      <c r="N24" s="256">
        <v>0</v>
      </c>
      <c r="O24" s="256">
        <v>17500</v>
      </c>
      <c r="P24" s="256">
        <v>0</v>
      </c>
      <c r="Q24" s="256">
        <v>0</v>
      </c>
      <c r="R24" s="256">
        <v>0</v>
      </c>
      <c r="S24" s="256">
        <v>15000</v>
      </c>
      <c r="T24" s="256">
        <v>15000</v>
      </c>
      <c r="U24" s="256">
        <v>15000</v>
      </c>
      <c r="V24" s="256">
        <v>15000</v>
      </c>
      <c r="W24" s="256">
        <v>15000</v>
      </c>
      <c r="X24" s="233"/>
      <c r="Y24" s="274"/>
      <c r="Z24" s="233"/>
      <c r="AA24" s="233"/>
      <c r="AB24" s="233"/>
      <c r="AC24" s="288"/>
      <c r="AD24" s="233"/>
      <c r="AE24" s="234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3"/>
      <c r="BK24" s="233"/>
    </row>
    <row r="25" spans="1:63" s="4" customFormat="1">
      <c r="A25" s="233" t="str">
        <f t="shared" si="1"/>
        <v>Administrative Assistant (AM)</v>
      </c>
      <c r="B25" s="277" t="s">
        <v>25</v>
      </c>
      <c r="C25" s="278" t="s">
        <v>334</v>
      </c>
      <c r="D25" s="277" t="s">
        <v>363</v>
      </c>
      <c r="E25" s="257"/>
      <c r="F25" s="257"/>
      <c r="G25" s="257"/>
      <c r="H25" s="257"/>
      <c r="I25" s="262">
        <v>10000</v>
      </c>
      <c r="J25" s="262">
        <v>0</v>
      </c>
      <c r="K25" s="257"/>
      <c r="L25" s="256">
        <v>0</v>
      </c>
      <c r="M25" s="256">
        <v>0</v>
      </c>
      <c r="N25" s="256">
        <v>0</v>
      </c>
      <c r="O25" s="256">
        <v>10000</v>
      </c>
      <c r="P25" s="256">
        <v>0</v>
      </c>
      <c r="Q25" s="256">
        <v>0</v>
      </c>
      <c r="R25" s="256">
        <v>0</v>
      </c>
      <c r="S25" s="256">
        <v>0</v>
      </c>
      <c r="T25" s="256">
        <v>0</v>
      </c>
      <c r="U25" s="256">
        <v>0</v>
      </c>
      <c r="V25" s="256">
        <v>0</v>
      </c>
      <c r="W25" s="256">
        <v>0</v>
      </c>
      <c r="X25" s="233"/>
      <c r="Y25" s="274"/>
      <c r="Z25" s="233"/>
      <c r="AA25" s="233"/>
      <c r="AB25" s="233"/>
      <c r="AC25" s="233"/>
      <c r="AD25" s="233"/>
      <c r="AE25" s="289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</row>
    <row r="26" spans="1:63">
      <c r="A26" s="233" t="str">
        <f t="shared" si="1"/>
        <v>Administrative Assistant (PT)</v>
      </c>
      <c r="B26" s="259" t="s">
        <v>25</v>
      </c>
      <c r="C26" s="259" t="s">
        <v>334</v>
      </c>
      <c r="D26" s="259" t="s">
        <v>382</v>
      </c>
      <c r="E26" s="257"/>
      <c r="F26" s="257"/>
      <c r="G26" s="257"/>
      <c r="H26" s="257"/>
      <c r="I26" s="262">
        <v>0</v>
      </c>
      <c r="J26" s="262">
        <v>0</v>
      </c>
      <c r="K26" s="257"/>
      <c r="L26" s="256">
        <v>0</v>
      </c>
      <c r="M26" s="256">
        <v>0</v>
      </c>
      <c r="N26" s="256">
        <v>0</v>
      </c>
      <c r="O26" s="256">
        <v>0</v>
      </c>
      <c r="P26" s="256">
        <v>0</v>
      </c>
      <c r="Q26" s="256">
        <v>0</v>
      </c>
      <c r="R26" s="256">
        <v>0</v>
      </c>
      <c r="S26" s="256">
        <v>10000</v>
      </c>
      <c r="T26" s="256">
        <v>10000</v>
      </c>
      <c r="U26" s="256">
        <v>10000</v>
      </c>
      <c r="V26" s="256">
        <v>10000</v>
      </c>
      <c r="W26" s="256">
        <v>10000</v>
      </c>
      <c r="X26" s="257"/>
      <c r="Y26" s="234"/>
      <c r="Z26" s="234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3"/>
      <c r="BK26" s="233"/>
    </row>
    <row r="27" spans="1:63" s="11" customFormat="1">
      <c r="A27" s="233" t="str">
        <f t="shared" si="1"/>
        <v>Financial Director (DV) - 100%</v>
      </c>
      <c r="B27" s="277" t="s">
        <v>25</v>
      </c>
      <c r="C27" s="278" t="s">
        <v>334</v>
      </c>
      <c r="D27" s="277" t="s">
        <v>384</v>
      </c>
      <c r="E27" s="257"/>
      <c r="F27" s="257"/>
      <c r="G27" s="257"/>
      <c r="H27" s="257"/>
      <c r="I27" s="262">
        <v>20000</v>
      </c>
      <c r="J27" s="262">
        <v>0</v>
      </c>
      <c r="K27" s="257"/>
      <c r="L27" s="256">
        <v>0</v>
      </c>
      <c r="M27" s="256">
        <v>0</v>
      </c>
      <c r="N27" s="256">
        <v>0</v>
      </c>
      <c r="O27" s="256">
        <v>20000</v>
      </c>
      <c r="P27" s="256">
        <v>0</v>
      </c>
      <c r="Q27" s="256">
        <v>0</v>
      </c>
      <c r="R27" s="256">
        <v>0</v>
      </c>
      <c r="S27" s="256">
        <v>40000</v>
      </c>
      <c r="T27" s="256">
        <v>40000</v>
      </c>
      <c r="U27" s="256">
        <v>40000</v>
      </c>
      <c r="V27" s="256">
        <v>40000</v>
      </c>
      <c r="W27" s="256">
        <v>40000</v>
      </c>
      <c r="X27" s="257"/>
      <c r="Y27" s="274"/>
      <c r="Z27" s="274"/>
      <c r="AA27" s="233"/>
      <c r="AB27" s="233"/>
      <c r="AC27" s="234"/>
      <c r="AD27" s="233"/>
      <c r="AE27" s="288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</row>
    <row r="28" spans="1:63" s="11" customFormat="1">
      <c r="A28" s="233" t="str">
        <f t="shared" si="1"/>
        <v>IM (TW)</v>
      </c>
      <c r="B28" s="277" t="s">
        <v>25</v>
      </c>
      <c r="C28" s="278" t="s">
        <v>334</v>
      </c>
      <c r="D28" s="277" t="s">
        <v>386</v>
      </c>
      <c r="E28" s="257"/>
      <c r="F28" s="257"/>
      <c r="G28" s="257"/>
      <c r="H28" s="257"/>
      <c r="I28" s="262">
        <v>25000</v>
      </c>
      <c r="J28" s="262">
        <v>0</v>
      </c>
      <c r="K28" s="257"/>
      <c r="L28" s="256">
        <v>0</v>
      </c>
      <c r="M28" s="256">
        <v>0</v>
      </c>
      <c r="N28" s="256">
        <v>0</v>
      </c>
      <c r="O28" s="256">
        <v>25000</v>
      </c>
      <c r="P28" s="256">
        <v>0</v>
      </c>
      <c r="Q28" s="256">
        <v>0</v>
      </c>
      <c r="R28" s="256">
        <v>0</v>
      </c>
      <c r="S28" s="256">
        <v>25000</v>
      </c>
      <c r="T28" s="256">
        <v>25000</v>
      </c>
      <c r="U28" s="256">
        <v>25000</v>
      </c>
      <c r="V28" s="256">
        <v>25000</v>
      </c>
      <c r="W28" s="256">
        <v>25000</v>
      </c>
      <c r="X28" s="257"/>
      <c r="Y28" s="274"/>
      <c r="Z28" s="274"/>
      <c r="AA28" s="233"/>
      <c r="AB28" s="233"/>
      <c r="AC28" s="234"/>
      <c r="AD28" s="233"/>
      <c r="AE28" s="288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3"/>
      <c r="BI28" s="233"/>
      <c r="BJ28" s="233"/>
      <c r="BK28" s="233"/>
    </row>
    <row r="29" spans="1:63" s="4" customFormat="1">
      <c r="A29" s="233" t="str">
        <f t="shared" si="1"/>
        <v>HR (100%)</v>
      </c>
      <c r="B29" s="277" t="s">
        <v>25</v>
      </c>
      <c r="C29" s="278" t="s">
        <v>334</v>
      </c>
      <c r="D29" s="277" t="s">
        <v>388</v>
      </c>
      <c r="E29" s="257"/>
      <c r="F29" s="257"/>
      <c r="G29" s="257"/>
      <c r="H29" s="257"/>
      <c r="I29" s="262">
        <v>0</v>
      </c>
      <c r="J29" s="262">
        <v>0</v>
      </c>
      <c r="K29" s="257"/>
      <c r="L29" s="256">
        <v>0</v>
      </c>
      <c r="M29" s="256">
        <v>0</v>
      </c>
      <c r="N29" s="256">
        <v>0</v>
      </c>
      <c r="O29" s="256">
        <v>0</v>
      </c>
      <c r="P29" s="256">
        <v>0</v>
      </c>
      <c r="Q29" s="256">
        <v>0</v>
      </c>
      <c r="R29" s="256">
        <v>0</v>
      </c>
      <c r="S29" s="256">
        <v>15000</v>
      </c>
      <c r="T29" s="256">
        <v>25000</v>
      </c>
      <c r="U29" s="256">
        <v>25000</v>
      </c>
      <c r="V29" s="256">
        <v>25000</v>
      </c>
      <c r="W29" s="256">
        <v>25000</v>
      </c>
      <c r="X29" s="233"/>
      <c r="Y29" s="274"/>
      <c r="Z29" s="233"/>
      <c r="AA29" s="233"/>
      <c r="AB29" s="233"/>
      <c r="AC29" s="288"/>
      <c r="AD29" s="233"/>
      <c r="AE29" s="289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233"/>
    </row>
    <row r="30" spans="1:63" s="4" customFormat="1">
      <c r="A30" s="233" t="str">
        <f t="shared" si="1"/>
        <v>Legal (100%)</v>
      </c>
      <c r="B30" s="277" t="s">
        <v>25</v>
      </c>
      <c r="C30" s="278" t="s">
        <v>334</v>
      </c>
      <c r="D30" s="277" t="s">
        <v>390</v>
      </c>
      <c r="E30" s="257"/>
      <c r="F30" s="257"/>
      <c r="G30" s="257"/>
      <c r="H30" s="257"/>
      <c r="I30" s="262">
        <v>0</v>
      </c>
      <c r="J30" s="262">
        <v>0</v>
      </c>
      <c r="K30" s="257"/>
      <c r="L30" s="256">
        <v>0</v>
      </c>
      <c r="M30" s="256">
        <v>0</v>
      </c>
      <c r="N30" s="256">
        <v>0</v>
      </c>
      <c r="O30" s="256">
        <v>0</v>
      </c>
      <c r="P30" s="256">
        <v>0</v>
      </c>
      <c r="Q30" s="256">
        <v>0</v>
      </c>
      <c r="R30" s="256">
        <v>0</v>
      </c>
      <c r="S30" s="256">
        <v>15000</v>
      </c>
      <c r="T30" s="256">
        <v>25000</v>
      </c>
      <c r="U30" s="256">
        <v>25000</v>
      </c>
      <c r="V30" s="256">
        <v>25000</v>
      </c>
      <c r="W30" s="256">
        <v>25000</v>
      </c>
      <c r="X30" s="233"/>
      <c r="Y30" s="274"/>
      <c r="Z30" s="233"/>
      <c r="AA30" s="233"/>
      <c r="AB30" s="233"/>
      <c r="AC30" s="288"/>
      <c r="AD30" s="233"/>
      <c r="AE30" s="289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</row>
    <row r="31" spans="1:63" s="4" customFormat="1">
      <c r="A31" s="233" t="str">
        <f t="shared" si="1"/>
        <v>Tech1</v>
      </c>
      <c r="B31" s="277" t="s">
        <v>25</v>
      </c>
      <c r="C31" s="278" t="s">
        <v>334</v>
      </c>
      <c r="D31" s="277" t="s">
        <v>392</v>
      </c>
      <c r="E31" s="257"/>
      <c r="F31" s="257"/>
      <c r="G31" s="257"/>
      <c r="H31" s="257"/>
      <c r="I31" s="262">
        <v>0</v>
      </c>
      <c r="J31" s="262">
        <v>0</v>
      </c>
      <c r="K31" s="257"/>
      <c r="L31" s="256">
        <v>0</v>
      </c>
      <c r="M31" s="256">
        <v>0</v>
      </c>
      <c r="N31" s="256">
        <v>0</v>
      </c>
      <c r="O31" s="256">
        <v>0</v>
      </c>
      <c r="P31" s="256">
        <v>0</v>
      </c>
      <c r="Q31" s="256">
        <v>0</v>
      </c>
      <c r="R31" s="256">
        <v>0</v>
      </c>
      <c r="S31" s="256">
        <v>15000</v>
      </c>
      <c r="T31" s="256">
        <v>25000</v>
      </c>
      <c r="U31" s="256">
        <v>25000</v>
      </c>
      <c r="V31" s="256">
        <v>25000</v>
      </c>
      <c r="W31" s="256">
        <v>25000</v>
      </c>
      <c r="X31" s="233"/>
      <c r="Y31" s="274"/>
      <c r="Z31" s="233"/>
      <c r="AA31" s="233"/>
      <c r="AB31" s="264"/>
      <c r="AC31" s="288"/>
      <c r="AD31" s="233"/>
      <c r="AE31" s="288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233"/>
    </row>
    <row r="32" spans="1:63" s="4" customFormat="1">
      <c r="A32" s="233" t="str">
        <f t="shared" si="1"/>
        <v>Tech2</v>
      </c>
      <c r="B32" s="277" t="s">
        <v>25</v>
      </c>
      <c r="C32" s="278" t="s">
        <v>334</v>
      </c>
      <c r="D32" s="277" t="s">
        <v>394</v>
      </c>
      <c r="E32" s="257"/>
      <c r="F32" s="257"/>
      <c r="G32" s="257"/>
      <c r="H32" s="257"/>
      <c r="I32" s="262">
        <v>0</v>
      </c>
      <c r="J32" s="262">
        <v>0</v>
      </c>
      <c r="K32" s="257"/>
      <c r="L32" s="256">
        <v>0</v>
      </c>
      <c r="M32" s="256">
        <v>0</v>
      </c>
      <c r="N32" s="256">
        <v>0</v>
      </c>
      <c r="O32" s="256">
        <v>0</v>
      </c>
      <c r="P32" s="256">
        <v>0</v>
      </c>
      <c r="Q32" s="256">
        <v>0</v>
      </c>
      <c r="R32" s="256">
        <v>0</v>
      </c>
      <c r="S32" s="256">
        <v>15000</v>
      </c>
      <c r="T32" s="256">
        <v>25000</v>
      </c>
      <c r="U32" s="256">
        <v>25000</v>
      </c>
      <c r="V32" s="256">
        <v>25000</v>
      </c>
      <c r="W32" s="256">
        <v>25000</v>
      </c>
      <c r="X32" s="233"/>
      <c r="Y32" s="274"/>
      <c r="Z32" s="233"/>
      <c r="AA32" s="233"/>
      <c r="AB32" s="264"/>
      <c r="AC32" s="288"/>
      <c r="AD32" s="233"/>
      <c r="AE32" s="288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3"/>
      <c r="BK32" s="233"/>
    </row>
    <row r="33" spans="1:63" ht="14.65" customHeight="1">
      <c r="A33" s="279" t="s">
        <v>78</v>
      </c>
      <c r="B33" s="233"/>
      <c r="C33" s="233"/>
      <c r="D33" s="233"/>
      <c r="E33" s="263"/>
      <c r="F33" s="263"/>
      <c r="G33" s="263"/>
      <c r="H33" s="263"/>
      <c r="I33" s="253">
        <v>262500</v>
      </c>
      <c r="J33" s="253">
        <v>0</v>
      </c>
      <c r="K33" s="263"/>
      <c r="L33" s="257">
        <f t="shared" ref="L33:W33" si="2">SUM(L21:L32)</f>
        <v>0</v>
      </c>
      <c r="M33" s="257">
        <f t="shared" si="2"/>
        <v>0</v>
      </c>
      <c r="N33" s="257">
        <f t="shared" si="2"/>
        <v>0</v>
      </c>
      <c r="O33" s="257">
        <f t="shared" si="2"/>
        <v>262500</v>
      </c>
      <c r="P33" s="257">
        <f t="shared" si="2"/>
        <v>0</v>
      </c>
      <c r="Q33" s="257">
        <f t="shared" si="2"/>
        <v>0</v>
      </c>
      <c r="R33" s="257">
        <f t="shared" si="2"/>
        <v>0</v>
      </c>
      <c r="S33" s="257">
        <f t="shared" si="2"/>
        <v>482500</v>
      </c>
      <c r="T33" s="257">
        <f t="shared" si="2"/>
        <v>672500</v>
      </c>
      <c r="U33" s="257">
        <f t="shared" si="2"/>
        <v>672500</v>
      </c>
      <c r="V33" s="257">
        <f t="shared" si="2"/>
        <v>672500</v>
      </c>
      <c r="W33" s="257">
        <f t="shared" si="2"/>
        <v>672500</v>
      </c>
      <c r="X33" s="257"/>
      <c r="Y33" s="274"/>
      <c r="Z33" s="274"/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/>
      <c r="BC33" s="233"/>
      <c r="BD33" s="233"/>
      <c r="BE33" s="233"/>
      <c r="BF33" s="233"/>
      <c r="BG33" s="233"/>
      <c r="BH33" s="233"/>
      <c r="BI33" s="233"/>
      <c r="BJ33" s="233"/>
      <c r="BK33" s="233"/>
    </row>
    <row r="34" spans="1:63">
      <c r="A34" s="280"/>
      <c r="B34" s="233"/>
      <c r="C34" s="233"/>
      <c r="D34" s="233"/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65"/>
      <c r="Y34" s="274"/>
      <c r="Z34" s="274"/>
      <c r="AA34" s="233"/>
      <c r="AB34" s="233"/>
      <c r="AC34" s="233"/>
      <c r="AD34" s="233"/>
      <c r="AE34" s="233"/>
      <c r="AF34" s="233"/>
      <c r="AG34" s="233"/>
      <c r="AH34" s="233"/>
      <c r="AI34" s="233"/>
      <c r="AJ34" s="281"/>
      <c r="AK34" s="233"/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  <c r="BF34" s="233"/>
      <c r="BG34" s="233"/>
      <c r="BH34" s="233"/>
      <c r="BI34" s="233"/>
      <c r="BJ34" s="233"/>
      <c r="BK34" s="233"/>
    </row>
    <row r="35" spans="1:63" ht="14.65" customHeight="1">
      <c r="A35" s="278" t="s">
        <v>349</v>
      </c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74"/>
      <c r="Z35" s="274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H35" s="233"/>
      <c r="BI35" s="233"/>
      <c r="BJ35" s="233"/>
      <c r="BK35" s="233"/>
    </row>
    <row r="36" spans="1:63">
      <c r="A36" s="233" t="str">
        <f t="shared" ref="A36:A47" si="3">+A6</f>
        <v>HOBI (CW)</v>
      </c>
      <c r="B36" s="259" t="s">
        <v>79</v>
      </c>
      <c r="C36" s="259" t="s">
        <v>335</v>
      </c>
      <c r="D36" s="259" t="s">
        <v>373</v>
      </c>
      <c r="E36" s="270"/>
      <c r="F36" s="270"/>
      <c r="G36" s="270"/>
      <c r="H36" s="270"/>
      <c r="I36" s="282">
        <v>237875</v>
      </c>
      <c r="J36" s="282">
        <v>108000</v>
      </c>
      <c r="K36" s="270"/>
      <c r="L36" s="270">
        <f>+L6*(1+'.c12_inputs.hr'!$E$15)+(L21*(1+'.c12_inputs.hr'!$E$16))</f>
        <v>107999.99999999999</v>
      </c>
      <c r="M36" s="270">
        <f>+M6*(1+'.c12_inputs.hr'!$E$15)+(M21*(1+'.c12_inputs.hr'!$E$16))</f>
        <v>107999.99999999999</v>
      </c>
      <c r="N36" s="270">
        <f>+N6*(1+'.c12_inputs.hr'!$E$15)+(N21*(1+'.c12_inputs.hr'!$E$16))</f>
        <v>107999.99999999999</v>
      </c>
      <c r="O36" s="270">
        <f>+O6*(1+'.c12_inputs.hr'!$E$15)+(O21*(1+'.c12_inputs.hr'!$E$16))</f>
        <v>237874.99999999997</v>
      </c>
      <c r="P36" s="270">
        <f>+P6*(1+'.c12_inputs.hr'!$E$15)+(P21*(1+'.c12_inputs.hr'!$E$16))</f>
        <v>107999.99999999999</v>
      </c>
      <c r="Q36" s="270">
        <f>+Q6*(1+'.c12_inputs.hr'!$E$15)+(Q21*(1+'.c12_inputs.hr'!$E$16))</f>
        <v>107999.99999999999</v>
      </c>
      <c r="R36" s="270">
        <f>+R6*(1+'.c12_inputs.hr'!$E$15)+(R21*(1+'.c12_inputs.hr'!$E$16))</f>
        <v>107999.99999999999</v>
      </c>
      <c r="S36" s="270">
        <f>+S6*(1+'.c12_inputs.hr'!$E$15)+(S21*(1+'.c12_inputs.hr'!$E$16))</f>
        <v>341774.99999999994</v>
      </c>
      <c r="T36" s="270">
        <f>+T6*(1+'.c12_inputs.hr'!$E$15)+(T21*(1+'.c12_inputs.hr'!$E$16))</f>
        <v>769675</v>
      </c>
      <c r="U36" s="270">
        <f>+U6*(1+'.c12_inputs.hr'!$E$15)+(U21*(1+'.c12_inputs.hr'!$E$16))</f>
        <v>769675</v>
      </c>
      <c r="V36" s="270">
        <f>+V6*(1+'.c12_inputs.hr'!$E$15)+(V21*(1+'.c12_inputs.hr'!$E$16))</f>
        <v>769675</v>
      </c>
      <c r="W36" s="270">
        <f>+W6*(1+'.c12_inputs.hr'!$E$15)+(W21*(1+'.c12_inputs.hr'!$E$16))</f>
        <v>769675</v>
      </c>
      <c r="X36" s="270"/>
      <c r="Y36" s="270"/>
      <c r="Z36" s="274"/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33"/>
      <c r="BG36" s="233"/>
      <c r="BH36" s="233"/>
      <c r="BI36" s="233"/>
      <c r="BJ36" s="233"/>
      <c r="BK36" s="233"/>
    </row>
    <row r="37" spans="1:63">
      <c r="A37" s="233" t="str">
        <f t="shared" si="3"/>
        <v xml:space="preserve">CFO (ZS) </v>
      </c>
      <c r="B37" s="259" t="s">
        <v>79</v>
      </c>
      <c r="C37" s="259" t="s">
        <v>335</v>
      </c>
      <c r="D37" s="259" t="s">
        <v>375</v>
      </c>
      <c r="E37" s="270"/>
      <c r="F37" s="270"/>
      <c r="G37" s="270"/>
      <c r="H37" s="270"/>
      <c r="I37" s="282">
        <v>62339.999999999993</v>
      </c>
      <c r="J37" s="282">
        <v>0</v>
      </c>
      <c r="K37" s="270"/>
      <c r="L37" s="270">
        <f>+L7*(1+'.c12_inputs.hr'!$E$15)+(L22*(1+'.c12_inputs.hr'!$E$16))</f>
        <v>0</v>
      </c>
      <c r="M37" s="270">
        <f>+M7*(1+'.c12_inputs.hr'!$E$15)+(M22*(1+'.c12_inputs.hr'!$E$16))</f>
        <v>0</v>
      </c>
      <c r="N37" s="270">
        <f>+N7*(1+'.c12_inputs.hr'!$E$15)+(N22*(1+'.c12_inputs.hr'!$E$16))</f>
        <v>0</v>
      </c>
      <c r="O37" s="270">
        <f>+O7*(1+'.c12_inputs.hr'!$E$15)+(O22*(1+'.c12_inputs.hr'!$E$16))</f>
        <v>62339.999999999993</v>
      </c>
      <c r="P37" s="270">
        <f>+P7*(1+'.c12_inputs.hr'!$E$15)+(P22*(1+'.c12_inputs.hr'!$E$16))</f>
        <v>0</v>
      </c>
      <c r="Q37" s="270">
        <f>+Q7*(1+'.c12_inputs.hr'!$E$15)+(Q22*(1+'.c12_inputs.hr'!$E$16))</f>
        <v>144000</v>
      </c>
      <c r="R37" s="270">
        <f>+R7*(1+'.c12_inputs.hr'!$E$15)+(R22*(1+'.c12_inputs.hr'!$E$16))</f>
        <v>144000</v>
      </c>
      <c r="S37" s="270">
        <f>+S7*(1+'.c12_inputs.hr'!$E$15)+(S22*(1+'.c12_inputs.hr'!$E$16))</f>
        <v>247900</v>
      </c>
      <c r="T37" s="270">
        <f>+T7*(1+'.c12_inputs.hr'!$E$15)+(T22*(1+'.c12_inputs.hr'!$E$16))</f>
        <v>587850</v>
      </c>
      <c r="U37" s="270">
        <f>+U7*(1+'.c12_inputs.hr'!$E$15)+(U22*(1+'.c12_inputs.hr'!$E$16))</f>
        <v>587850</v>
      </c>
      <c r="V37" s="270">
        <f>+V7*(1+'.c12_inputs.hr'!$E$15)+(V22*(1+'.c12_inputs.hr'!$E$16))</f>
        <v>587850</v>
      </c>
      <c r="W37" s="270">
        <f>+W7*(1+'.c12_inputs.hr'!$E$15)+(W22*(1+'.c12_inputs.hr'!$E$16))</f>
        <v>587850</v>
      </c>
      <c r="X37" s="270"/>
      <c r="Y37" s="270"/>
      <c r="Z37" s="274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H37" s="233"/>
      <c r="BI37" s="233"/>
      <c r="BJ37" s="233"/>
      <c r="BK37" s="233"/>
    </row>
    <row r="38" spans="1:63">
      <c r="A38" s="233" t="str">
        <f t="shared" si="3"/>
        <v xml:space="preserve">Financial Analyst (NR) </v>
      </c>
      <c r="B38" s="259" t="s">
        <v>79</v>
      </c>
      <c r="C38" s="259" t="s">
        <v>335</v>
      </c>
      <c r="D38" s="259" t="s">
        <v>377</v>
      </c>
      <c r="E38" s="270"/>
      <c r="F38" s="270"/>
      <c r="G38" s="270"/>
      <c r="H38" s="270"/>
      <c r="I38" s="282">
        <v>29675</v>
      </c>
      <c r="J38" s="282">
        <v>24480</v>
      </c>
      <c r="K38" s="270"/>
      <c r="L38" s="270">
        <f>+L8*(1+'.c12_inputs.hr'!$E$15)+(L23*(1+'.c12_inputs.hr'!$E$16))</f>
        <v>0</v>
      </c>
      <c r="M38" s="270">
        <f>+M8*(1+'.c12_inputs.hr'!$E$15)+(M23*(1+'.c12_inputs.hr'!$E$16))</f>
        <v>0</v>
      </c>
      <c r="N38" s="270">
        <f>+N8*(1+'.c12_inputs.hr'!$E$15)+(N23*(1+'.c12_inputs.hr'!$E$16))</f>
        <v>24479.999999999996</v>
      </c>
      <c r="O38" s="270">
        <f>+O8*(1+'.c12_inputs.hr'!$E$15)+(O23*(1+'.c12_inputs.hr'!$E$16))</f>
        <v>29674.999999999996</v>
      </c>
      <c r="P38" s="270">
        <f>+P8*(1+'.c12_inputs.hr'!$E$15)+(P23*(1+'.c12_inputs.hr'!$E$16))</f>
        <v>24479.999999999996</v>
      </c>
      <c r="Q38" s="270">
        <f>+Q8*(1+'.c12_inputs.hr'!$E$15)+(Q23*(1+'.c12_inputs.hr'!$E$16))</f>
        <v>24479.999999999996</v>
      </c>
      <c r="R38" s="270">
        <f>+R8*(1+'.c12_inputs.hr'!$E$15)+(R23*(1+'.c12_inputs.hr'!$E$16))</f>
        <v>24479.999999999996</v>
      </c>
      <c r="S38" s="270">
        <f>+S8*(1+'.c12_inputs.hr'!$E$15)+(S23*(1+'.c12_inputs.hr'!$E$16))</f>
        <v>32272.499999999996</v>
      </c>
      <c r="T38" s="270">
        <f>+T8*(1+'.c12_inputs.hr'!$E$15)+(T23*(1+'.c12_inputs.hr'!$E$16))</f>
        <v>105712.49999999999</v>
      </c>
      <c r="U38" s="270">
        <f>+U8*(1+'.c12_inputs.hr'!$E$15)+(U23*(1+'.c12_inputs.hr'!$E$16))</f>
        <v>105712.49999999999</v>
      </c>
      <c r="V38" s="270">
        <f>+V8*(1+'.c12_inputs.hr'!$E$15)+(V23*(1+'.c12_inputs.hr'!$E$16))</f>
        <v>105712.49999999999</v>
      </c>
      <c r="W38" s="270">
        <f>+W8*(1+'.c12_inputs.hr'!$E$15)+(W23*(1+'.c12_inputs.hr'!$E$16))</f>
        <v>105712.49999999999</v>
      </c>
      <c r="X38" s="270"/>
      <c r="Y38" s="270"/>
      <c r="Z38" s="274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</row>
    <row r="39" spans="1:63">
      <c r="A39" s="233" t="str">
        <f t="shared" si="3"/>
        <v>Fin Controls (TB) - 100%</v>
      </c>
      <c r="B39" s="259" t="s">
        <v>79</v>
      </c>
      <c r="C39" s="259" t="s">
        <v>335</v>
      </c>
      <c r="D39" s="259" t="s">
        <v>379</v>
      </c>
      <c r="E39" s="270"/>
      <c r="F39" s="270"/>
      <c r="G39" s="270"/>
      <c r="H39" s="270"/>
      <c r="I39" s="282">
        <v>71462.5</v>
      </c>
      <c r="J39" s="282">
        <v>56159.999999999993</v>
      </c>
      <c r="K39" s="270"/>
      <c r="L39" s="270">
        <f>+L9*(1+'.c12_inputs.hr'!$E$15)+(L24*(1+'.c12_inputs.hr'!$E$16))</f>
        <v>53279.999999999993</v>
      </c>
      <c r="M39" s="270">
        <f>+M9*(1+'.c12_inputs.hr'!$E$15)+(M24*(1+'.c12_inputs.hr'!$E$16))</f>
        <v>53279.999999999993</v>
      </c>
      <c r="N39" s="270">
        <f>+N9*(1+'.c12_inputs.hr'!$E$15)+(N24*(1+'.c12_inputs.hr'!$E$16))</f>
        <v>53279.999999999993</v>
      </c>
      <c r="O39" s="270">
        <f>+O9*(1+'.c12_inputs.hr'!$E$15)+(O24*(1+'.c12_inputs.hr'!$E$16))</f>
        <v>71462.5</v>
      </c>
      <c r="P39" s="270">
        <f>+P9*(1+'.c12_inputs.hr'!$E$15)+(P24*(1+'.c12_inputs.hr'!$E$16))</f>
        <v>56159.999999999993</v>
      </c>
      <c r="Q39" s="270">
        <f>+Q9*(1+'.c12_inputs.hr'!$E$15)+(Q24*(1+'.c12_inputs.hr'!$E$16))</f>
        <v>56159.999999999993</v>
      </c>
      <c r="R39" s="270">
        <f>+R9*(1+'.c12_inputs.hr'!$E$15)+(R24*(1+'.c12_inputs.hr'!$E$16))</f>
        <v>56159.999999999993</v>
      </c>
      <c r="S39" s="270">
        <f>+S9*(1+'.c12_inputs.hr'!$E$15)+(S24*(1+'.c12_inputs.hr'!$E$16))</f>
        <v>71744.999999999985</v>
      </c>
      <c r="T39" s="270">
        <f>+T9*(1+'.c12_inputs.hr'!$E$15)+(T24*(1+'.c12_inputs.hr'!$E$16))</f>
        <v>240224.99999999997</v>
      </c>
      <c r="U39" s="270">
        <f>+U9*(1+'.c12_inputs.hr'!$E$15)+(U24*(1+'.c12_inputs.hr'!$E$16))</f>
        <v>240224.99999999997</v>
      </c>
      <c r="V39" s="270">
        <f>+V9*(1+'.c12_inputs.hr'!$E$15)+(V24*(1+'.c12_inputs.hr'!$E$16))</f>
        <v>240224.99999999997</v>
      </c>
      <c r="W39" s="270">
        <f>+W9*(1+'.c12_inputs.hr'!$E$15)+(W24*(1+'.c12_inputs.hr'!$E$16))</f>
        <v>240224.99999999997</v>
      </c>
      <c r="X39" s="270"/>
      <c r="Y39" s="270"/>
      <c r="Z39" s="274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</row>
    <row r="40" spans="1:63">
      <c r="A40" s="233" t="str">
        <f t="shared" si="3"/>
        <v>Administrative Assistant (AM)</v>
      </c>
      <c r="B40" s="259" t="s">
        <v>79</v>
      </c>
      <c r="C40" s="259" t="s">
        <v>335</v>
      </c>
      <c r="D40" s="259" t="s">
        <v>363</v>
      </c>
      <c r="E40" s="270"/>
      <c r="F40" s="257"/>
      <c r="G40" s="257"/>
      <c r="H40" s="257"/>
      <c r="I40" s="282">
        <v>46390</v>
      </c>
      <c r="J40" s="282">
        <v>0</v>
      </c>
      <c r="K40" s="257"/>
      <c r="L40" s="270">
        <f>+L10*(1+'.c12_inputs.hr'!$E$15)+(L25*(1+'.c12_inputs.hr'!$E$16))</f>
        <v>43200</v>
      </c>
      <c r="M40" s="270">
        <f>+M10*(1+'.c12_inputs.hr'!$E$15)+(M25*(1+'.c12_inputs.hr'!$E$16))</f>
        <v>43200</v>
      </c>
      <c r="N40" s="270">
        <f>+N10*(1+'.c12_inputs.hr'!$E$15)+(N25*(1+'.c12_inputs.hr'!$E$16))</f>
        <v>43200</v>
      </c>
      <c r="O40" s="270">
        <f>+O10*(1+'.c12_inputs.hr'!$E$15)+(O25*(1+'.c12_inputs.hr'!$E$16))</f>
        <v>46390</v>
      </c>
      <c r="P40" s="270">
        <f>+P10*(1+'.c12_inputs.hr'!$E$15)+(P25*(1+'.c12_inputs.hr'!$E$16))</f>
        <v>0</v>
      </c>
      <c r="Q40" s="270">
        <f>+Q10*(1+'.c12_inputs.hr'!$E$15)+(Q25*(1+'.c12_inputs.hr'!$E$16))</f>
        <v>0</v>
      </c>
      <c r="R40" s="270">
        <f>+R10*(1+'.c12_inputs.hr'!$E$15)+(R25*(1+'.c12_inputs.hr'!$E$16))</f>
        <v>0</v>
      </c>
      <c r="S40" s="270">
        <f>+S10*(1+'.c12_inputs.hr'!$E$15)+(S25*(1+'.c12_inputs.hr'!$E$16))</f>
        <v>0</v>
      </c>
      <c r="T40" s="270">
        <f>+T10*(1+'.c12_inputs.hr'!$E$15)+(T25*(1+'.c12_inputs.hr'!$E$16))</f>
        <v>0</v>
      </c>
      <c r="U40" s="270">
        <f>+U10*(1+'.c12_inputs.hr'!$E$15)+(U25*(1+'.c12_inputs.hr'!$E$16))</f>
        <v>0</v>
      </c>
      <c r="V40" s="270">
        <f>+V10*(1+'.c12_inputs.hr'!$E$15)+(V25*(1+'.c12_inputs.hr'!$E$16))</f>
        <v>0</v>
      </c>
      <c r="W40" s="270">
        <f>+W10*(1+'.c12_inputs.hr'!$E$15)+(W25*(1+'.c12_inputs.hr'!$E$16))</f>
        <v>0</v>
      </c>
      <c r="X40" s="270"/>
      <c r="Y40" s="270"/>
      <c r="Z40" s="274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</row>
    <row r="41" spans="1:63">
      <c r="A41" s="233" t="str">
        <f t="shared" si="3"/>
        <v>Administrative Assistant (PT)</v>
      </c>
      <c r="B41" s="259" t="s">
        <v>79</v>
      </c>
      <c r="C41" s="259" t="s">
        <v>335</v>
      </c>
      <c r="D41" s="259" t="s">
        <v>382</v>
      </c>
      <c r="E41" s="257"/>
      <c r="F41" s="270"/>
      <c r="G41" s="270"/>
      <c r="H41" s="270"/>
      <c r="I41" s="253">
        <v>0</v>
      </c>
      <c r="J41" s="253">
        <v>0</v>
      </c>
      <c r="K41" s="270"/>
      <c r="L41" s="257">
        <f>'.c12_bi&amp;f_hr'!L11*(1+'.c12_inputs.hr'!$E$5)+('.c12_bi&amp;f_hr'!L26*(1+'.c12_inputs.hr'!$E$6))</f>
        <v>0</v>
      </c>
      <c r="M41" s="257">
        <f>'.c12_bi&amp;f_hr'!M11*(1+'.c12_inputs.hr'!$E$5)+('.c12_bi&amp;f_hr'!M26*(1+'.c12_inputs.hr'!$E$6))</f>
        <v>0</v>
      </c>
      <c r="N41" s="257">
        <f>'.c12_bi&amp;f_hr'!N11*(1+'.c12_inputs.hr'!$E$5)+('.c12_bi&amp;f_hr'!N26*(1+'.c12_inputs.hr'!$E$6))</f>
        <v>0</v>
      </c>
      <c r="O41" s="257">
        <f>'.c12_bi&amp;f_hr'!O11*(1+'.c12_inputs.hr'!$E$5)+('.c12_bi&amp;f_hr'!O26*(1+'.c12_inputs.hr'!$E$6))</f>
        <v>0</v>
      </c>
      <c r="P41" s="257">
        <f>'.c12_bi&amp;f_hr'!P11*(1+'.c12_inputs.hr'!$E$5)+('.c12_bi&amp;f_hr'!P26*(1+'.c12_inputs.hr'!$E$6))</f>
        <v>0</v>
      </c>
      <c r="Q41" s="257">
        <f>'.c12_bi&amp;f_hr'!Q11*(1+'.c12_inputs.hr'!$E$5)+('.c12_bi&amp;f_hr'!Q26*(1+'.c12_inputs.hr'!$E$6))</f>
        <v>37037.142857142862</v>
      </c>
      <c r="R41" s="257">
        <f>'.c12_bi&amp;f_hr'!R11*(1+'.c12_inputs.hr'!$E$5)+('.c12_bi&amp;f_hr'!R26*(1+'.c12_inputs.hr'!$E$6))</f>
        <v>37037.142857142862</v>
      </c>
      <c r="S41" s="257">
        <f>'.c12_bi&amp;f_hr'!S11*(1+'.c12_inputs.hr'!$E$5)+('.c12_bi&amp;f_hr'!S26*(1+'.c12_inputs.hr'!$E$6))</f>
        <v>47427.142857142862</v>
      </c>
      <c r="T41" s="257">
        <f>'.c12_bi&amp;f_hr'!T11*(1+'.c12_inputs.hr'!$E$5)+('.c12_bi&amp;f_hr'!T26*(1+'.c12_inputs.hr'!$E$6))</f>
        <v>158538.57142857145</v>
      </c>
      <c r="U41" s="257">
        <f>'.c12_bi&amp;f_hr'!U11*(1+'.c12_inputs.hr'!$E$5)+('.c12_bi&amp;f_hr'!U26*(1+'.c12_inputs.hr'!$E$6))</f>
        <v>158538.57142857145</v>
      </c>
      <c r="V41" s="257">
        <f>'.c12_bi&amp;f_hr'!V11*(1+'.c12_inputs.hr'!$E$5)+('.c12_bi&amp;f_hr'!V26*(1+'.c12_inputs.hr'!$E$6))</f>
        <v>158538.57142857145</v>
      </c>
      <c r="W41" s="257">
        <f>'.c12_bi&amp;f_hr'!W11*(1+'.c12_inputs.hr'!$E$5)+('.c12_bi&amp;f_hr'!W26*(1+'.c12_inputs.hr'!$E$6))</f>
        <v>158538.57142857145</v>
      </c>
      <c r="X41" s="257"/>
      <c r="Y41" s="234"/>
      <c r="Z41" s="233"/>
      <c r="AA41" s="233"/>
      <c r="AB41" s="233"/>
      <c r="AC41" s="233"/>
      <c r="AD41" s="233"/>
      <c r="AE41" s="233"/>
      <c r="AF41" s="233"/>
      <c r="AG41" s="233"/>
      <c r="AH41" s="233"/>
      <c r="AI41" s="235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3"/>
      <c r="BH41" s="233"/>
      <c r="BI41" s="233"/>
      <c r="BJ41" s="233"/>
      <c r="BK41" s="233"/>
    </row>
    <row r="42" spans="1:63">
      <c r="A42" s="233" t="str">
        <f t="shared" si="3"/>
        <v>Financial Director (DV) - 100%</v>
      </c>
      <c r="B42" s="259" t="s">
        <v>79</v>
      </c>
      <c r="C42" s="259" t="s">
        <v>335</v>
      </c>
      <c r="D42" s="259" t="s">
        <v>384</v>
      </c>
      <c r="E42" s="270"/>
      <c r="F42" s="270"/>
      <c r="G42" s="270"/>
      <c r="H42" s="270"/>
      <c r="I42" s="282">
        <v>82700</v>
      </c>
      <c r="J42" s="282">
        <v>61919.999999999993</v>
      </c>
      <c r="K42" s="270"/>
      <c r="L42" s="270">
        <f>+L12*(1+'.c12_inputs.hr'!$E$15)+(L27*(1+'.c12_inputs.hr'!$E$16))</f>
        <v>0</v>
      </c>
      <c r="M42" s="270">
        <f>+M12*(1+'.c12_inputs.hr'!$E$15)+(M27*(1+'.c12_inputs.hr'!$E$16))</f>
        <v>0</v>
      </c>
      <c r="N42" s="270">
        <f>+N12*(1+'.c12_inputs.hr'!$E$15)+(N27*(1+'.c12_inputs.hr'!$E$16))</f>
        <v>61919.999999999993</v>
      </c>
      <c r="O42" s="270">
        <f>+O12*(1+'.c12_inputs.hr'!$E$15)+(O27*(1+'.c12_inputs.hr'!$E$16))</f>
        <v>82700</v>
      </c>
      <c r="P42" s="270">
        <f>+P12*(1+'.c12_inputs.hr'!$E$15)+(P27*(1+'.c12_inputs.hr'!$E$16))</f>
        <v>61919.999999999993</v>
      </c>
      <c r="Q42" s="270">
        <f>+Q12*(1+'.c12_inputs.hr'!$E$15)+(Q27*(1+'.c12_inputs.hr'!$E$16))</f>
        <v>61919.999999999993</v>
      </c>
      <c r="R42" s="270">
        <f>+R12*(1+'.c12_inputs.hr'!$E$15)+(R27*(1+'.c12_inputs.hr'!$E$16))</f>
        <v>61919.999999999993</v>
      </c>
      <c r="S42" s="270">
        <f>+S12*(1+'.c12_inputs.hr'!$E$15)+(S27*(1+'.c12_inputs.hr'!$E$16))</f>
        <v>103480</v>
      </c>
      <c r="T42" s="270">
        <f>+T12*(1+'.c12_inputs.hr'!$E$15)+(T27*(1+'.c12_inputs.hr'!$E$16))</f>
        <v>289240</v>
      </c>
      <c r="U42" s="270">
        <f>+U12*(1+'.c12_inputs.hr'!$E$15)+(U27*(1+'.c12_inputs.hr'!$E$16))</f>
        <v>289240</v>
      </c>
      <c r="V42" s="270">
        <f>+V12*(1+'.c12_inputs.hr'!$E$15)+(V27*(1+'.c12_inputs.hr'!$E$16))</f>
        <v>289240</v>
      </c>
      <c r="W42" s="270">
        <f>+W12*(1+'.c12_inputs.hr'!$E$15)+(W27*(1+'.c12_inputs.hr'!$E$16))</f>
        <v>289240</v>
      </c>
      <c r="X42" s="270"/>
      <c r="Y42" s="270"/>
      <c r="Z42" s="274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</row>
    <row r="43" spans="1:63">
      <c r="A43" s="233" t="str">
        <f t="shared" si="3"/>
        <v>IM (TW)</v>
      </c>
      <c r="B43" s="259" t="s">
        <v>79</v>
      </c>
      <c r="C43" s="259" t="s">
        <v>335</v>
      </c>
      <c r="D43" s="259" t="s">
        <v>386</v>
      </c>
      <c r="E43" s="270"/>
      <c r="F43" s="270"/>
      <c r="G43" s="270"/>
      <c r="H43" s="270"/>
      <c r="I43" s="282">
        <v>72055</v>
      </c>
      <c r="J43" s="282">
        <v>46080</v>
      </c>
      <c r="K43" s="270"/>
      <c r="L43" s="270">
        <f>+L13*(1+'.c12_inputs.hr'!$E$15)+(L28*(1+'.c12_inputs.hr'!$E$16))</f>
        <v>46080</v>
      </c>
      <c r="M43" s="270">
        <f>+M13*(1+'.c12_inputs.hr'!$E$15)+(M28*(1+'.c12_inputs.hr'!$E$16))</f>
        <v>46080</v>
      </c>
      <c r="N43" s="270">
        <f>+N13*(1+'.c12_inputs.hr'!$E$15)+(N28*(1+'.c12_inputs.hr'!$E$16))</f>
        <v>46080</v>
      </c>
      <c r="O43" s="270">
        <f>+O13*(1+'.c12_inputs.hr'!$E$15)+(O28*(1+'.c12_inputs.hr'!$E$16))</f>
        <v>72055</v>
      </c>
      <c r="P43" s="270">
        <f>+P13*(1+'.c12_inputs.hr'!$E$15)+(P28*(1+'.c12_inputs.hr'!$E$16))</f>
        <v>46080</v>
      </c>
      <c r="Q43" s="270">
        <f>+Q13*(1+'.c12_inputs.hr'!$E$15)+(Q28*(1+'.c12_inputs.hr'!$E$16))</f>
        <v>46080</v>
      </c>
      <c r="R43" s="270">
        <f>+R13*(1+'.c12_inputs.hr'!$E$15)+(R28*(1+'.c12_inputs.hr'!$E$16))</f>
        <v>46080</v>
      </c>
      <c r="S43" s="270">
        <f>+S13*(1+'.c12_inputs.hr'!$E$15)+(S28*(1+'.c12_inputs.hr'!$E$16))</f>
        <v>72055</v>
      </c>
      <c r="T43" s="270">
        <f>+T13*(1+'.c12_inputs.hr'!$E$15)+(T28*(1+'.c12_inputs.hr'!$E$16))</f>
        <v>256374.99999999997</v>
      </c>
      <c r="U43" s="270">
        <f>+U13*(1+'.c12_inputs.hr'!$E$15)+(U28*(1+'.c12_inputs.hr'!$E$16))</f>
        <v>256374.99999999997</v>
      </c>
      <c r="V43" s="270">
        <f>+V13*(1+'.c12_inputs.hr'!$E$15)+(V28*(1+'.c12_inputs.hr'!$E$16))</f>
        <v>256374.99999999997</v>
      </c>
      <c r="W43" s="270">
        <f>+W13*(1+'.c12_inputs.hr'!$E$15)+(W28*(1+'.c12_inputs.hr'!$E$16))</f>
        <v>256374.99999999997</v>
      </c>
      <c r="X43" s="270"/>
      <c r="Y43" s="270"/>
      <c r="Z43" s="274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</row>
    <row r="44" spans="1:63">
      <c r="A44" s="233" t="str">
        <f t="shared" si="3"/>
        <v>HR (100%)</v>
      </c>
      <c r="B44" s="259" t="s">
        <v>79</v>
      </c>
      <c r="C44" s="259" t="s">
        <v>335</v>
      </c>
      <c r="D44" s="259" t="s">
        <v>388</v>
      </c>
      <c r="E44" s="270"/>
      <c r="F44" s="270"/>
      <c r="G44" s="270"/>
      <c r="H44" s="270"/>
      <c r="I44" s="282">
        <v>0</v>
      </c>
      <c r="J44" s="282">
        <v>0</v>
      </c>
      <c r="K44" s="270"/>
      <c r="L44" s="270">
        <f>+L14*(1+'.c12_inputs.hr'!$E$15)+(L29*(1+'.c12_inputs.hr'!$E$16))</f>
        <v>0</v>
      </c>
      <c r="M44" s="270">
        <f>+M14*(1+'.c12_inputs.hr'!$E$15)+(M29*(1+'.c12_inputs.hr'!$E$16))</f>
        <v>0</v>
      </c>
      <c r="N44" s="270">
        <f>+N14*(1+'.c12_inputs.hr'!$E$15)+(N29*(1+'.c12_inputs.hr'!$E$16))</f>
        <v>0</v>
      </c>
      <c r="O44" s="270">
        <f>+O14*(1+'.c12_inputs.hr'!$E$15)+(O29*(1+'.c12_inputs.hr'!$E$16))</f>
        <v>0</v>
      </c>
      <c r="P44" s="270">
        <f>+P14*(1+'.c12_inputs.hr'!$E$15)+(P29*(1+'.c12_inputs.hr'!$E$16))</f>
        <v>0</v>
      </c>
      <c r="Q44" s="270">
        <f>+Q14*(1+'.c12_inputs.hr'!$E$15)+(Q29*(1+'.c12_inputs.hr'!$E$16))</f>
        <v>0</v>
      </c>
      <c r="R44" s="270">
        <f>+R14*(1+'.c12_inputs.hr'!$E$15)+(R29*(1+'.c12_inputs.hr'!$E$16))</f>
        <v>43200</v>
      </c>
      <c r="S44" s="270">
        <f>+S14*(1+'.c12_inputs.hr'!$E$15)+(S29*(1+'.c12_inputs.hr'!$E$16))</f>
        <v>58785</v>
      </c>
      <c r="T44" s="270">
        <f>+T14*(1+'.c12_inputs.hr'!$E$15)+(T29*(1+'.c12_inputs.hr'!$E$16))</f>
        <v>198775</v>
      </c>
      <c r="U44" s="270">
        <f>+U14*(1+'.c12_inputs.hr'!$E$15)+(U29*(1+'.c12_inputs.hr'!$E$16))</f>
        <v>198775</v>
      </c>
      <c r="V44" s="270">
        <f>+V14*(1+'.c12_inputs.hr'!$E$15)+(V29*(1+'.c12_inputs.hr'!$E$16))</f>
        <v>198775</v>
      </c>
      <c r="W44" s="270">
        <f>+W14*(1+'.c12_inputs.hr'!$E$15)+(W29*(1+'.c12_inputs.hr'!$E$16))</f>
        <v>198775</v>
      </c>
      <c r="X44" s="270"/>
      <c r="Y44" s="270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233"/>
      <c r="BC44" s="233"/>
      <c r="BD44" s="233"/>
      <c r="BE44" s="233"/>
      <c r="BF44" s="233"/>
      <c r="BG44" s="233"/>
      <c r="BH44" s="233"/>
      <c r="BI44" s="233"/>
      <c r="BJ44" s="233"/>
      <c r="BK44" s="233"/>
    </row>
    <row r="45" spans="1:63">
      <c r="A45" s="233" t="str">
        <f t="shared" si="3"/>
        <v>Legal (100%)</v>
      </c>
      <c r="B45" s="259" t="s">
        <v>79</v>
      </c>
      <c r="C45" s="259" t="s">
        <v>335</v>
      </c>
      <c r="D45" s="259" t="s">
        <v>390</v>
      </c>
      <c r="E45" s="270"/>
      <c r="F45" s="270"/>
      <c r="G45" s="270"/>
      <c r="H45" s="270"/>
      <c r="I45" s="282">
        <v>0</v>
      </c>
      <c r="J45" s="282">
        <v>0</v>
      </c>
      <c r="K45" s="270"/>
      <c r="L45" s="270">
        <f>+L15*(1+'.c12_inputs.hr'!$E$15)+(L30*(1+'.c12_inputs.hr'!$E$16))</f>
        <v>0</v>
      </c>
      <c r="M45" s="270">
        <f>+M15*(1+'.c12_inputs.hr'!$E$15)+(M30*(1+'.c12_inputs.hr'!$E$16))</f>
        <v>0</v>
      </c>
      <c r="N45" s="270">
        <f>+N15*(1+'.c12_inputs.hr'!$E$15)+(N30*(1+'.c12_inputs.hr'!$E$16))</f>
        <v>0</v>
      </c>
      <c r="O45" s="270">
        <f>+O15*(1+'.c12_inputs.hr'!$E$15)+(O30*(1+'.c12_inputs.hr'!$E$16))</f>
        <v>0</v>
      </c>
      <c r="P45" s="270">
        <f>+P15*(1+'.c12_inputs.hr'!$E$15)+(P30*(1+'.c12_inputs.hr'!$E$16))</f>
        <v>0</v>
      </c>
      <c r="Q45" s="270">
        <f>+Q15*(1+'.c12_inputs.hr'!$E$15)+(Q30*(1+'.c12_inputs.hr'!$E$16))</f>
        <v>0</v>
      </c>
      <c r="R45" s="270">
        <f>+R15*(1+'.c12_inputs.hr'!$E$15)+(R30*(1+'.c12_inputs.hr'!$E$16))</f>
        <v>64799.999999999993</v>
      </c>
      <c r="S45" s="270">
        <f>+S15*(1+'.c12_inputs.hr'!$E$15)+(S30*(1+'.c12_inputs.hr'!$E$16))</f>
        <v>80384.999999999985</v>
      </c>
      <c r="T45" s="270">
        <f>+T15*(1+'.c12_inputs.hr'!$E$15)+(T30*(1+'.c12_inputs.hr'!$E$16))</f>
        <v>285174.99999999994</v>
      </c>
      <c r="U45" s="270">
        <f>+U15*(1+'.c12_inputs.hr'!$E$15)+(U30*(1+'.c12_inputs.hr'!$E$16))</f>
        <v>285174.99999999994</v>
      </c>
      <c r="V45" s="270">
        <f>+V15*(1+'.c12_inputs.hr'!$E$15)+(V30*(1+'.c12_inputs.hr'!$E$16))</f>
        <v>285174.99999999994</v>
      </c>
      <c r="W45" s="270">
        <f>+W15*(1+'.c12_inputs.hr'!$E$15)+(W30*(1+'.c12_inputs.hr'!$E$16))</f>
        <v>285174.99999999994</v>
      </c>
      <c r="X45" s="270"/>
      <c r="Y45" s="270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3"/>
      <c r="AV45" s="233"/>
      <c r="AW45" s="233"/>
      <c r="AX45" s="233"/>
      <c r="AY45" s="233"/>
      <c r="AZ45" s="233"/>
      <c r="BA45" s="233"/>
      <c r="BB45" s="233"/>
      <c r="BC45" s="233"/>
      <c r="BD45" s="233"/>
      <c r="BE45" s="233"/>
      <c r="BF45" s="233"/>
      <c r="BG45" s="233"/>
      <c r="BH45" s="233"/>
      <c r="BI45" s="233"/>
      <c r="BJ45" s="233"/>
      <c r="BK45" s="233"/>
    </row>
    <row r="46" spans="1:63">
      <c r="A46" s="233" t="str">
        <f t="shared" si="3"/>
        <v>Tech1</v>
      </c>
      <c r="B46" s="259" t="s">
        <v>79</v>
      </c>
      <c r="C46" s="259" t="s">
        <v>335</v>
      </c>
      <c r="D46" s="259" t="s">
        <v>392</v>
      </c>
      <c r="E46" s="270"/>
      <c r="F46" s="270"/>
      <c r="G46" s="270"/>
      <c r="H46" s="270"/>
      <c r="I46" s="282">
        <v>0</v>
      </c>
      <c r="J46" s="282">
        <v>0</v>
      </c>
      <c r="K46" s="270"/>
      <c r="L46" s="270">
        <f>+L16*(1+'.c12_inputs.hr'!$E$15)+(L31*(1+'.c12_inputs.hr'!$E$16))</f>
        <v>0</v>
      </c>
      <c r="M46" s="270">
        <f>+M16*(1+'.c12_inputs.hr'!$E$15)+(M31*(1+'.c12_inputs.hr'!$E$16))</f>
        <v>0</v>
      </c>
      <c r="N46" s="270">
        <f>+N16*(1+'.c12_inputs.hr'!$E$15)+(N31*(1+'.c12_inputs.hr'!$E$16))</f>
        <v>0</v>
      </c>
      <c r="O46" s="270">
        <f>+O16*(1+'.c12_inputs.hr'!$E$15)+(O31*(1+'.c12_inputs.hr'!$E$16))</f>
        <v>0</v>
      </c>
      <c r="P46" s="270">
        <f>+P16*(1+'.c12_inputs.hr'!$E$15)+(P31*(1+'.c12_inputs.hr'!$E$16))</f>
        <v>0</v>
      </c>
      <c r="Q46" s="270">
        <f>+Q16*(1+'.c12_inputs.hr'!$E$15)+(Q31*(1+'.c12_inputs.hr'!$E$16))</f>
        <v>0</v>
      </c>
      <c r="R46" s="270">
        <f>+R16*(1+'.c12_inputs.hr'!$E$15)+(R31*(1+'.c12_inputs.hr'!$E$16))</f>
        <v>64799.999999999993</v>
      </c>
      <c r="S46" s="270">
        <f>+S16*(1+'.c12_inputs.hr'!$E$15)+(S31*(1+'.c12_inputs.hr'!$E$16))</f>
        <v>80384.999999999985</v>
      </c>
      <c r="T46" s="270">
        <f>+T16*(1+'.c12_inputs.hr'!$E$15)+(T31*(1+'.c12_inputs.hr'!$E$16))</f>
        <v>285174.99999999994</v>
      </c>
      <c r="U46" s="270">
        <f>+U16*(1+'.c12_inputs.hr'!$E$15)+(U31*(1+'.c12_inputs.hr'!$E$16))</f>
        <v>285174.99999999994</v>
      </c>
      <c r="V46" s="270">
        <f>+V16*(1+'.c12_inputs.hr'!$E$15)+(V31*(1+'.c12_inputs.hr'!$E$16))</f>
        <v>285174.99999999994</v>
      </c>
      <c r="W46" s="270">
        <f>+W16*(1+'.c12_inputs.hr'!$E$15)+(W31*(1+'.c12_inputs.hr'!$E$16))</f>
        <v>285174.99999999994</v>
      </c>
      <c r="X46" s="270"/>
      <c r="Y46" s="270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H46" s="233"/>
      <c r="BI46" s="233"/>
      <c r="BJ46" s="233"/>
      <c r="BK46" s="233"/>
    </row>
    <row r="47" spans="1:63" ht="14.65" customHeight="1">
      <c r="A47" s="233" t="str">
        <f t="shared" si="3"/>
        <v>Tech2</v>
      </c>
      <c r="B47" s="259" t="s">
        <v>79</v>
      </c>
      <c r="C47" s="259" t="s">
        <v>335</v>
      </c>
      <c r="D47" s="259" t="s">
        <v>394</v>
      </c>
      <c r="E47" s="270"/>
      <c r="F47" s="270"/>
      <c r="G47" s="270"/>
      <c r="H47" s="270"/>
      <c r="I47" s="282">
        <v>0</v>
      </c>
      <c r="J47" s="282">
        <v>0</v>
      </c>
      <c r="K47" s="270"/>
      <c r="L47" s="270">
        <f>+L17*(1+'.c12_inputs.hr'!$E$15)+(L32*(1+'.c12_inputs.hr'!$E$16))</f>
        <v>0</v>
      </c>
      <c r="M47" s="270">
        <f>+M17*(1+'.c12_inputs.hr'!$E$15)+(M32*(1+'.c12_inputs.hr'!$E$16))</f>
        <v>0</v>
      </c>
      <c r="N47" s="270">
        <f>+N17*(1+'.c12_inputs.hr'!$E$15)+(N32*(1+'.c12_inputs.hr'!$E$16))</f>
        <v>0</v>
      </c>
      <c r="O47" s="270">
        <f>+O17*(1+'.c12_inputs.hr'!$E$15)+(O32*(1+'.c12_inputs.hr'!$E$16))</f>
        <v>0</v>
      </c>
      <c r="P47" s="270">
        <f>+P17*(1+'.c12_inputs.hr'!$E$15)+(P32*(1+'.c12_inputs.hr'!$E$16))</f>
        <v>0</v>
      </c>
      <c r="Q47" s="270">
        <f>+Q17*(1+'.c12_inputs.hr'!$E$15)+(Q32*(1+'.c12_inputs.hr'!$E$16))</f>
        <v>0</v>
      </c>
      <c r="R47" s="270">
        <f>+R17*(1+'.c12_inputs.hr'!$E$15)+(R32*(1+'.c12_inputs.hr'!$E$16))</f>
        <v>21600</v>
      </c>
      <c r="S47" s="270">
        <f>+S17*(1+'.c12_inputs.hr'!$E$15)+(S32*(1+'.c12_inputs.hr'!$E$16))</f>
        <v>37185</v>
      </c>
      <c r="T47" s="270">
        <f>+T17*(1+'.c12_inputs.hr'!$E$15)+(T32*(1+'.c12_inputs.hr'!$E$16))</f>
        <v>112375</v>
      </c>
      <c r="U47" s="270">
        <f>+U17*(1+'.c12_inputs.hr'!$E$15)+(U32*(1+'.c12_inputs.hr'!$E$16))</f>
        <v>112375</v>
      </c>
      <c r="V47" s="270">
        <f>+V17*(1+'.c12_inputs.hr'!$E$15)+(V32*(1+'.c12_inputs.hr'!$E$16))</f>
        <v>112375</v>
      </c>
      <c r="W47" s="270">
        <f>+W17*(1+'.c12_inputs.hr'!$E$15)+(W32*(1+'.c12_inputs.hr'!$E$16))</f>
        <v>112375</v>
      </c>
      <c r="X47" s="270"/>
      <c r="Y47" s="270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  <c r="BD47" s="233"/>
      <c r="BE47" s="233"/>
      <c r="BF47" s="233"/>
      <c r="BG47" s="233"/>
      <c r="BH47" s="233"/>
      <c r="BI47" s="233"/>
      <c r="BJ47" s="233"/>
      <c r="BK47" s="233"/>
    </row>
    <row r="48" spans="1:63" ht="14.65" customHeight="1">
      <c r="A48" s="279" t="s">
        <v>249</v>
      </c>
      <c r="B48" s="259" t="s">
        <v>9</v>
      </c>
      <c r="C48" s="259" t="s">
        <v>250</v>
      </c>
      <c r="D48" s="233"/>
      <c r="E48" s="270"/>
      <c r="F48" s="265"/>
      <c r="G48" s="265"/>
      <c r="H48" s="265"/>
      <c r="I48" s="282">
        <v>602497.5</v>
      </c>
      <c r="J48" s="282">
        <v>296640</v>
      </c>
      <c r="K48" s="265"/>
      <c r="L48" s="283">
        <f t="shared" ref="L48:W48" si="4">SUM(L36:L47)</f>
        <v>250559.99999999997</v>
      </c>
      <c r="M48" s="283">
        <f t="shared" si="4"/>
        <v>250559.99999999997</v>
      </c>
      <c r="N48" s="283">
        <f t="shared" si="4"/>
        <v>336959.99999999994</v>
      </c>
      <c r="O48" s="283">
        <f t="shared" si="4"/>
        <v>602497.5</v>
      </c>
      <c r="P48" s="283">
        <f t="shared" si="4"/>
        <v>296640</v>
      </c>
      <c r="Q48" s="283">
        <f t="shared" si="4"/>
        <v>477677.14285714284</v>
      </c>
      <c r="R48" s="283">
        <f t="shared" si="4"/>
        <v>672077.14285714284</v>
      </c>
      <c r="S48" s="283">
        <f t="shared" si="4"/>
        <v>1173394.6428571427</v>
      </c>
      <c r="T48" s="283">
        <f t="shared" si="4"/>
        <v>3289116.0714285714</v>
      </c>
      <c r="U48" s="283">
        <f t="shared" si="4"/>
        <v>3289116.0714285714</v>
      </c>
      <c r="V48" s="283">
        <f t="shared" si="4"/>
        <v>3289116.0714285714</v>
      </c>
      <c r="W48" s="283">
        <f t="shared" si="4"/>
        <v>3289116.0714285714</v>
      </c>
      <c r="X48" s="270"/>
      <c r="Y48" s="274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33"/>
      <c r="BG48" s="233"/>
      <c r="BH48" s="233"/>
      <c r="BI48" s="233"/>
      <c r="BJ48" s="233"/>
      <c r="BK48" s="233"/>
    </row>
    <row r="49" spans="1:63">
      <c r="A49" s="260" t="s">
        <v>251</v>
      </c>
      <c r="B49" s="259" t="s">
        <v>9</v>
      </c>
      <c r="C49" s="259" t="s">
        <v>252</v>
      </c>
      <c r="D49" s="233"/>
      <c r="E49" s="265"/>
      <c r="F49" s="265"/>
      <c r="G49" s="265"/>
      <c r="H49" s="265"/>
      <c r="I49" s="267">
        <v>154162.5</v>
      </c>
      <c r="J49" s="267">
        <v>118080</v>
      </c>
      <c r="K49" s="265"/>
      <c r="L49" s="268">
        <f>SUMPRODUCT('.c12_alloc'!$H$38:$H$49,'.c12_bi&amp;f_hr'!L$36:L$47)</f>
        <v>53279.999999999993</v>
      </c>
      <c r="M49" s="268">
        <f>SUMPRODUCT('.c12_alloc'!$H$38:$H$49,'.c12_bi&amp;f_hr'!M$36:M$47)</f>
        <v>53279.999999999993</v>
      </c>
      <c r="N49" s="268">
        <f>SUMPRODUCT('.c12_alloc'!$H$38:$H$49,'.c12_bi&amp;f_hr'!N$36:N$47)</f>
        <v>115199.99999999999</v>
      </c>
      <c r="O49" s="268">
        <f>SUMPRODUCT('.c12_alloc'!$H$38:$H$49,'.c12_bi&amp;f_hr'!O$36:O$47)</f>
        <v>154162.5</v>
      </c>
      <c r="P49" s="268">
        <f>SUMPRODUCT('.c12_alloc'!$H$38:$H$49,'.c12_bi&amp;f_hr'!P$36:P$47)</f>
        <v>118079.99999999999</v>
      </c>
      <c r="Q49" s="268">
        <f>SUMPRODUCT('.c12_alloc'!$H$38:$H$49,'.c12_bi&amp;f_hr'!Q$36:Q$47)</f>
        <v>118079.99999999999</v>
      </c>
      <c r="R49" s="268">
        <f>SUMPRODUCT('.c12_alloc'!$H$38:$H$49,'.c12_bi&amp;f_hr'!R$36:R$47)</f>
        <v>226080</v>
      </c>
      <c r="S49" s="268">
        <f>SUMPRODUCT('.c12_alloc'!$H$38:$H$49,'.c12_bi&amp;f_hr'!S$36:S$47)</f>
        <v>314395</v>
      </c>
      <c r="T49" s="268">
        <f>SUMPRODUCT('.c12_alloc'!$H$38:$H$49,'.c12_bi&amp;f_hr'!T$36:T$47)</f>
        <v>1013415</v>
      </c>
      <c r="U49" s="268">
        <f>SUMPRODUCT('.c12_alloc'!$H$38:$H$49,'.c12_bi&amp;f_hr'!U$36:U$47)</f>
        <v>1013415</v>
      </c>
      <c r="V49" s="268">
        <f>SUMPRODUCT('.c12_alloc'!$H$38:$H$49,'.c12_bi&amp;f_hr'!V$36:V$47)</f>
        <v>1013415</v>
      </c>
      <c r="W49" s="268">
        <f>SUMPRODUCT('.c12_alloc'!$H$38:$H$49,'.c12_bi&amp;f_hr'!W$36:W$47)</f>
        <v>1013415</v>
      </c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</row>
    <row r="50" spans="1:63">
      <c r="A50" s="260" t="s">
        <v>253</v>
      </c>
      <c r="B50" s="259" t="s">
        <v>9</v>
      </c>
      <c r="C50" s="259" t="s">
        <v>254</v>
      </c>
      <c r="D50" s="233"/>
      <c r="E50" s="265"/>
      <c r="F50" s="265"/>
      <c r="G50" s="265"/>
      <c r="H50" s="265"/>
      <c r="I50" s="267">
        <v>448334.99999999988</v>
      </c>
      <c r="J50" s="267">
        <v>178560</v>
      </c>
      <c r="K50" s="265"/>
      <c r="L50" s="268">
        <f>SUMPRODUCT('.c12_alloc'!$G$38:$G$49,'.c12_bi&amp;f_hr'!L$36:L$47)</f>
        <v>197280</v>
      </c>
      <c r="M50" s="268">
        <f>SUMPRODUCT('.c12_alloc'!$G$38:$G$49,'.c12_bi&amp;f_hr'!M$36:M$47)</f>
        <v>197280</v>
      </c>
      <c r="N50" s="268">
        <f>SUMPRODUCT('.c12_alloc'!$G$38:$G$49,'.c12_bi&amp;f_hr'!N$36:N$47)</f>
        <v>221759.99999999997</v>
      </c>
      <c r="O50" s="268">
        <f>SUMPRODUCT('.c12_alloc'!$G$38:$G$49,'.c12_bi&amp;f_hr'!O$36:O$47)</f>
        <v>448334.99999999994</v>
      </c>
      <c r="P50" s="268">
        <f>SUMPRODUCT('.c12_alloc'!$G$38:$G$49,'.c12_bi&amp;f_hr'!P$36:P$47)</f>
        <v>178559.99999999997</v>
      </c>
      <c r="Q50" s="268">
        <f>SUMPRODUCT('.c12_alloc'!$G$38:$G$49,'.c12_bi&amp;f_hr'!Q$36:Q$47)</f>
        <v>359597.14285714284</v>
      </c>
      <c r="R50" s="268">
        <f>SUMPRODUCT('.c12_alloc'!$G$38:$G$49,'.c12_bi&amp;f_hr'!R$36:R$47)</f>
        <v>445997.14285714284</v>
      </c>
      <c r="S50" s="268">
        <f>SUMPRODUCT('.c12_alloc'!$G$38:$G$49,'.c12_bi&amp;f_hr'!S$36:S$47)</f>
        <v>858999.64285714284</v>
      </c>
      <c r="T50" s="268">
        <f>SUMPRODUCT('.c12_alloc'!$G$38:$G$49,'.c12_bi&amp;f_hr'!T$36:T$47)</f>
        <v>2275701.0714285714</v>
      </c>
      <c r="U50" s="268">
        <f>SUMPRODUCT('.c12_alloc'!$G$38:$G$49,'.c12_bi&amp;f_hr'!U$36:U$47)</f>
        <v>2275701.0714285714</v>
      </c>
      <c r="V50" s="268">
        <f>SUMPRODUCT('.c12_alloc'!$G$38:$G$49,'.c12_bi&amp;f_hr'!V$36:V$47)</f>
        <v>2275701.0714285714</v>
      </c>
      <c r="W50" s="268">
        <f>SUMPRODUCT('.c12_alloc'!$G$38:$G$49,'.c12_bi&amp;f_hr'!W$36:W$47)</f>
        <v>2275701.0714285714</v>
      </c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</row>
    <row r="51" spans="1:63">
      <c r="A51" s="260" t="s">
        <v>255</v>
      </c>
      <c r="B51" s="259" t="s">
        <v>9</v>
      </c>
      <c r="C51" s="259" t="s">
        <v>256</v>
      </c>
      <c r="D51" s="233"/>
      <c r="E51" s="265"/>
      <c r="F51" s="265"/>
      <c r="G51" s="265"/>
      <c r="H51" s="265"/>
      <c r="I51" s="267">
        <v>0</v>
      </c>
      <c r="J51" s="267">
        <v>0</v>
      </c>
      <c r="K51" s="265"/>
      <c r="L51" s="268">
        <f>SUMPRODUCT('.c12_alloc'!$E$38:$E$49,'.c12_bi&amp;f_hr'!L$36:L$47)</f>
        <v>0</v>
      </c>
      <c r="M51" s="268">
        <f>SUMPRODUCT('.c12_alloc'!$E$38:$E$49,'.c12_bi&amp;f_hr'!M$36:M$47)</f>
        <v>0</v>
      </c>
      <c r="N51" s="268">
        <f>SUMPRODUCT('.c12_alloc'!$E$38:$E$49,'.c12_bi&amp;f_hr'!N$36:N$47)</f>
        <v>0</v>
      </c>
      <c r="O51" s="268">
        <f>SUMPRODUCT('.c12_alloc'!$E$38:$E$49,'.c12_bi&amp;f_hr'!O$36:O$47)</f>
        <v>0</v>
      </c>
      <c r="P51" s="268">
        <f>SUMPRODUCT('.c12_alloc'!$E$38:$E$49,'.c12_bi&amp;f_hr'!P$36:P$47)</f>
        <v>0</v>
      </c>
      <c r="Q51" s="268">
        <f>SUMPRODUCT('.c12_alloc'!$E$38:$E$49,'.c12_bi&amp;f_hr'!Q$36:Q$47)</f>
        <v>0</v>
      </c>
      <c r="R51" s="268">
        <f>SUMPRODUCT('.c12_alloc'!$E$38:$E$49,'.c12_bi&amp;f_hr'!R$36:R$47)</f>
        <v>0</v>
      </c>
      <c r="S51" s="268">
        <f>SUMPRODUCT('.c12_alloc'!$E$38:$E$49,'.c12_bi&amp;f_hr'!S$36:S$47)</f>
        <v>0</v>
      </c>
      <c r="T51" s="268">
        <f>SUMPRODUCT('.c12_alloc'!$E$38:$E$49,'.c12_bi&amp;f_hr'!T$36:T$47)</f>
        <v>0</v>
      </c>
      <c r="U51" s="268">
        <f>SUMPRODUCT('.c12_alloc'!$E$38:$E$49,'.c12_bi&amp;f_hr'!U$36:U$47)</f>
        <v>0</v>
      </c>
      <c r="V51" s="268">
        <f>SUMPRODUCT('.c12_alloc'!$E$38:$E$49,'.c12_bi&amp;f_hr'!V$36:V$47)</f>
        <v>0</v>
      </c>
      <c r="W51" s="268">
        <f>SUMPRODUCT('.c12_alloc'!$E$38:$E$49,'.c12_bi&amp;f_hr'!W$36:W$47)</f>
        <v>0</v>
      </c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</row>
    <row r="52" spans="1:63">
      <c r="A52" s="233"/>
      <c r="B52" s="233"/>
      <c r="C52" s="233"/>
      <c r="D52" s="233"/>
      <c r="E52" s="265"/>
      <c r="F52" s="265"/>
      <c r="G52" s="265"/>
      <c r="H52" s="265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/>
      <c r="AO52" s="233"/>
      <c r="AP52" s="233"/>
      <c r="AQ52" s="233"/>
      <c r="AR52" s="233"/>
      <c r="AS52" s="233"/>
      <c r="AT52" s="233"/>
      <c r="AU52" s="233"/>
      <c r="AV52" s="233"/>
      <c r="AW52" s="233"/>
      <c r="AX52" s="233"/>
      <c r="AY52" s="233"/>
      <c r="AZ52" s="233"/>
      <c r="BA52" s="233"/>
      <c r="BB52" s="233"/>
      <c r="BC52" s="233"/>
      <c r="BD52" s="233"/>
      <c r="BE52" s="233"/>
      <c r="BF52" s="233"/>
      <c r="BG52" s="233"/>
      <c r="BH52" s="233"/>
      <c r="BI52" s="233"/>
      <c r="BJ52" s="233"/>
      <c r="BK52" s="233"/>
    </row>
    <row r="53" spans="1:63">
      <c r="A53" s="233"/>
      <c r="B53" s="233"/>
      <c r="C53" s="233"/>
      <c r="D53" s="233"/>
      <c r="E53" s="265"/>
      <c r="F53" s="233"/>
      <c r="G53" s="233"/>
      <c r="H53" s="233"/>
      <c r="I53" s="265"/>
      <c r="J53" s="265"/>
      <c r="K53" s="233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3"/>
      <c r="AP53" s="233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</row>
    <row r="54" spans="1:63">
      <c r="A54" s="233"/>
      <c r="B54" s="233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33"/>
      <c r="AN54" s="233"/>
      <c r="AO54" s="233"/>
      <c r="AP54" s="233"/>
      <c r="AQ54" s="233"/>
      <c r="AR54" s="233"/>
      <c r="AS54" s="233"/>
      <c r="AT54" s="233"/>
      <c r="AU54" s="233"/>
      <c r="AV54" s="233"/>
      <c r="AW54" s="233"/>
      <c r="AX54" s="233"/>
      <c r="AY54" s="233"/>
      <c r="AZ54" s="233"/>
      <c r="BA54" s="233"/>
      <c r="BB54" s="233"/>
      <c r="BC54" s="233"/>
      <c r="BD54" s="233"/>
      <c r="BE54" s="233"/>
      <c r="BF54" s="233"/>
      <c r="BG54" s="233"/>
      <c r="BH54" s="233"/>
      <c r="BI54" s="233"/>
      <c r="BJ54" s="233"/>
      <c r="BK54" s="233"/>
    </row>
    <row r="55" spans="1:63">
      <c r="A55" s="233"/>
      <c r="B55" s="233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3"/>
      <c r="AU55" s="233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33"/>
      <c r="BG55" s="233"/>
      <c r="BH55" s="233"/>
      <c r="BI55" s="233"/>
      <c r="BJ55" s="233"/>
      <c r="BK55" s="233"/>
    </row>
    <row r="56" spans="1:63">
      <c r="A56" s="233"/>
      <c r="B56" s="233"/>
      <c r="C56" s="233"/>
      <c r="D56" s="233"/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33"/>
      <c r="BG56" s="233"/>
      <c r="BH56" s="233"/>
      <c r="BI56" s="233"/>
      <c r="BJ56" s="233"/>
      <c r="BK56" s="233"/>
    </row>
    <row r="57" spans="1:63">
      <c r="A57" s="233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3"/>
      <c r="AU57" s="233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</row>
    <row r="58" spans="1:63">
      <c r="A58" s="233"/>
      <c r="B58" s="233"/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3"/>
      <c r="AU58" s="233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</row>
    <row r="59" spans="1:63">
      <c r="A59" s="233"/>
      <c r="B59" s="233"/>
      <c r="C59" s="233"/>
      <c r="D59" s="233"/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  <c r="AA59" s="233"/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/>
      <c r="AO59" s="233"/>
      <c r="AP59" s="233"/>
      <c r="AQ59" s="233"/>
      <c r="AR59" s="233"/>
      <c r="AS59" s="233"/>
      <c r="AT59" s="233"/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</row>
    <row r="60" spans="1:63">
      <c r="A60" s="233"/>
      <c r="B60" s="233"/>
      <c r="C60" s="233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/>
      <c r="AO60" s="233"/>
      <c r="AP60" s="233"/>
      <c r="AQ60" s="233"/>
      <c r="AR60" s="233"/>
      <c r="AS60" s="233"/>
      <c r="AT60" s="233"/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</row>
    <row r="61" spans="1:63">
      <c r="A61" s="233"/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</row>
    <row r="62" spans="1:63">
      <c r="A62" s="233"/>
      <c r="B62" s="233"/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/>
      <c r="AO62" s="233"/>
      <c r="AP62" s="233"/>
      <c r="AQ62" s="233"/>
      <c r="AR62" s="233"/>
      <c r="AS62" s="233"/>
      <c r="AT62" s="233"/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</row>
    <row r="63" spans="1:63">
      <c r="A63" s="233"/>
      <c r="B63" s="233"/>
      <c r="C63" s="233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</row>
    <row r="64" spans="1:63">
      <c r="A64" s="233"/>
      <c r="B64" s="233"/>
      <c r="C64" s="233"/>
      <c r="D64" s="233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  <c r="AA64" s="233"/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  <c r="AR64" s="233"/>
      <c r="AS64" s="233"/>
      <c r="AT64" s="233"/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</row>
    <row r="65" spans="1:63">
      <c r="A65" s="233"/>
      <c r="B65" s="233"/>
      <c r="C65" s="233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33"/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</row>
    <row r="66" spans="1:63">
      <c r="A66" s="233"/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</row>
    <row r="67" spans="1:63">
      <c r="A67" s="233"/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</row>
    <row r="68" spans="1:63">
      <c r="A68" s="233"/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</row>
    <row r="69" spans="1:63">
      <c r="A69" s="233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</row>
    <row r="70" spans="1:63">
      <c r="A70" s="233"/>
      <c r="B70" s="233"/>
      <c r="C70" s="233"/>
      <c r="D70" s="233"/>
      <c r="E70" s="233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</row>
    <row r="71" spans="1:63">
      <c r="A71" s="233"/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</row>
    <row r="72" spans="1:63">
      <c r="A72" s="233"/>
      <c r="B72" s="233"/>
      <c r="C72" s="233"/>
      <c r="D72" s="233"/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</row>
    <row r="73" spans="1:63">
      <c r="A73" s="233"/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</row>
    <row r="74" spans="1:63">
      <c r="A74" s="233"/>
      <c r="B74" s="233"/>
      <c r="C74" s="233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33"/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</row>
    <row r="75" spans="1:63">
      <c r="A75" s="233"/>
      <c r="B75" s="233"/>
      <c r="C75" s="233"/>
      <c r="D75" s="233"/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33"/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</row>
    <row r="76" spans="1:63">
      <c r="A76" s="233"/>
      <c r="B76" s="233"/>
      <c r="C76" s="233"/>
      <c r="D76" s="233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3"/>
      <c r="AP76" s="233"/>
      <c r="AQ76" s="233"/>
      <c r="AR76" s="233"/>
      <c r="AS76" s="233"/>
      <c r="AT76" s="233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</row>
    <row r="77" spans="1:63">
      <c r="A77" s="233"/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</row>
    <row r="78" spans="1:63">
      <c r="A78" s="233"/>
      <c r="B78" s="233"/>
      <c r="C78" s="233"/>
      <c r="D78" s="233"/>
      <c r="E78" s="233"/>
      <c r="F78" s="233"/>
      <c r="G78" s="233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33"/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</row>
    <row r="79" spans="1:63">
      <c r="A79" s="233"/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33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</row>
    <row r="80" spans="1:63">
      <c r="A80" s="233"/>
      <c r="B80" s="233"/>
      <c r="C80" s="233"/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3"/>
      <c r="AP80" s="233"/>
      <c r="AQ80" s="233"/>
      <c r="AR80" s="233"/>
      <c r="AS80" s="233"/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</row>
    <row r="81" spans="1:63">
      <c r="A81" s="233"/>
      <c r="B81" s="233"/>
      <c r="C81" s="233"/>
      <c r="D81" s="233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3"/>
      <c r="AP81" s="233"/>
      <c r="AQ81" s="233"/>
      <c r="AR81" s="233"/>
      <c r="AS81" s="233"/>
      <c r="AT81" s="233"/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</row>
    <row r="82" spans="1:63">
      <c r="A82" s="233"/>
      <c r="B82" s="233"/>
      <c r="C82" s="233"/>
      <c r="D82" s="233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3"/>
      <c r="AP82" s="233"/>
      <c r="AQ82" s="233"/>
      <c r="AR82" s="233"/>
      <c r="AS82" s="233"/>
      <c r="AT82" s="233"/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</row>
    <row r="83" spans="1:63">
      <c r="A83" s="233"/>
      <c r="B83" s="233"/>
      <c r="C83" s="233"/>
      <c r="D83" s="233"/>
      <c r="E83" s="233"/>
      <c r="F83" s="233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33"/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</row>
    <row r="84" spans="1:63">
      <c r="A84" s="233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3"/>
      <c r="AP84" s="233"/>
      <c r="AQ84" s="233"/>
      <c r="AR84" s="233"/>
      <c r="AS84" s="233"/>
      <c r="AT84" s="233"/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</row>
    <row r="85" spans="1:63">
      <c r="A85" s="233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</row>
    <row r="86" spans="1:63">
      <c r="A86" s="233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</row>
    <row r="87" spans="1:63">
      <c r="A87" s="233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33"/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33"/>
      <c r="BH87" s="233"/>
      <c r="BI87" s="233"/>
      <c r="BJ87" s="233"/>
      <c r="BK87" s="233"/>
    </row>
    <row r="88" spans="1:63">
      <c r="A88" s="233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33"/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33"/>
      <c r="BH88" s="233"/>
      <c r="BI88" s="233"/>
      <c r="BJ88" s="233"/>
      <c r="BK88" s="233"/>
    </row>
    <row r="89" spans="1:63">
      <c r="A89" s="233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/>
      <c r="AR89" s="233"/>
      <c r="AS89" s="233"/>
      <c r="AT89" s="233"/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33"/>
      <c r="BH89" s="233"/>
      <c r="BI89" s="233"/>
      <c r="BJ89" s="233"/>
      <c r="BK89" s="233"/>
    </row>
    <row r="90" spans="1:63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/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3"/>
      <c r="AP90" s="233"/>
      <c r="AQ90" s="233"/>
      <c r="AR90" s="233"/>
      <c r="AS90" s="233"/>
      <c r="AT90" s="233"/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33"/>
      <c r="BH90" s="233"/>
      <c r="BI90" s="233"/>
      <c r="BJ90" s="233"/>
      <c r="BK90" s="233"/>
    </row>
    <row r="91" spans="1:63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/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3"/>
      <c r="AP91" s="233"/>
      <c r="AQ91" s="233"/>
      <c r="AR91" s="233"/>
      <c r="AS91" s="233"/>
      <c r="AT91" s="233"/>
      <c r="AU91" s="233"/>
      <c r="AV91" s="233"/>
      <c r="AW91" s="233"/>
      <c r="AX91" s="233"/>
      <c r="AY91" s="233"/>
      <c r="AZ91" s="233"/>
      <c r="BA91" s="233"/>
      <c r="BB91" s="233"/>
      <c r="BC91" s="233"/>
      <c r="BD91" s="233"/>
      <c r="BE91" s="233"/>
      <c r="BF91" s="233"/>
      <c r="BG91" s="233"/>
      <c r="BH91" s="233"/>
      <c r="BI91" s="233"/>
      <c r="BJ91" s="233"/>
      <c r="BK91" s="233"/>
    </row>
    <row r="92" spans="1:63">
      <c r="A92" s="233"/>
      <c r="B92" s="233"/>
      <c r="C92" s="233"/>
      <c r="D92" s="233"/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3"/>
      <c r="AP92" s="233"/>
      <c r="AQ92" s="233"/>
      <c r="AR92" s="233"/>
      <c r="AS92" s="233"/>
      <c r="AT92" s="233"/>
      <c r="AU92" s="233"/>
      <c r="AV92" s="233"/>
      <c r="AW92" s="233"/>
      <c r="AX92" s="233"/>
      <c r="AY92" s="233"/>
      <c r="AZ92" s="233"/>
      <c r="BA92" s="233"/>
      <c r="BB92" s="233"/>
      <c r="BC92" s="233"/>
      <c r="BD92" s="233"/>
      <c r="BE92" s="233"/>
      <c r="BF92" s="233"/>
      <c r="BG92" s="233"/>
      <c r="BH92" s="233"/>
      <c r="BI92" s="233"/>
      <c r="BJ92" s="233"/>
      <c r="BK92" s="233"/>
    </row>
    <row r="93" spans="1:63">
      <c r="A93" s="233"/>
      <c r="B93" s="233"/>
      <c r="C93" s="233"/>
      <c r="D93" s="233"/>
      <c r="E93" s="233"/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/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3"/>
      <c r="AP93" s="233"/>
      <c r="AQ93" s="233"/>
      <c r="AR93" s="233"/>
      <c r="AS93" s="233"/>
      <c r="AT93" s="233"/>
      <c r="AU93" s="233"/>
      <c r="AV93" s="233"/>
      <c r="AW93" s="233"/>
      <c r="AX93" s="233"/>
      <c r="AY93" s="233"/>
      <c r="AZ93" s="233"/>
      <c r="BA93" s="233"/>
      <c r="BB93" s="233"/>
      <c r="BC93" s="233"/>
      <c r="BD93" s="233"/>
      <c r="BE93" s="233"/>
      <c r="BF93" s="233"/>
      <c r="BG93" s="233"/>
      <c r="BH93" s="233"/>
      <c r="BI93" s="233"/>
      <c r="BJ93" s="233"/>
      <c r="BK93" s="233"/>
    </row>
    <row r="94" spans="1:63">
      <c r="A94" s="233"/>
      <c r="B94" s="233"/>
      <c r="C94" s="233"/>
      <c r="D94" s="233"/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  <c r="BC94" s="233"/>
      <c r="BD94" s="233"/>
      <c r="BE94" s="233"/>
      <c r="BF94" s="233"/>
      <c r="BG94" s="233"/>
      <c r="BH94" s="233"/>
      <c r="BI94" s="233"/>
      <c r="BJ94" s="233"/>
      <c r="BK94" s="233"/>
    </row>
    <row r="95" spans="1:63">
      <c r="A95" s="233"/>
      <c r="B95" s="233"/>
      <c r="C95" s="233"/>
      <c r="D95" s="233"/>
      <c r="E95" s="233"/>
      <c r="F95" s="233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3"/>
      <c r="BH95" s="233"/>
      <c r="BI95" s="233"/>
      <c r="BJ95" s="233"/>
      <c r="BK95" s="233"/>
    </row>
    <row r="96" spans="1:63">
      <c r="A96" s="233"/>
      <c r="B96" s="233"/>
      <c r="C96" s="233"/>
      <c r="D96" s="233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  <c r="AZ96" s="233"/>
      <c r="BA96" s="233"/>
      <c r="BB96" s="233"/>
      <c r="BC96" s="233"/>
      <c r="BD96" s="233"/>
      <c r="BE96" s="233"/>
      <c r="BF96" s="233"/>
      <c r="BG96" s="233"/>
      <c r="BH96" s="233"/>
      <c r="BI96" s="233"/>
      <c r="BJ96" s="233"/>
      <c r="BK96" s="233"/>
    </row>
    <row r="97" spans="1:63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3"/>
      <c r="BH97" s="233"/>
      <c r="BI97" s="233"/>
      <c r="BJ97" s="233"/>
      <c r="BK97" s="233"/>
    </row>
    <row r="98" spans="1:63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3"/>
      <c r="BA98" s="233"/>
      <c r="BB98" s="233"/>
      <c r="BC98" s="233"/>
      <c r="BD98" s="233"/>
      <c r="BE98" s="233"/>
      <c r="BF98" s="233"/>
      <c r="BG98" s="233"/>
      <c r="BH98" s="233"/>
      <c r="BI98" s="233"/>
      <c r="BJ98" s="233"/>
      <c r="BK98" s="233"/>
    </row>
    <row r="99" spans="1:63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3"/>
      <c r="BH99" s="233"/>
      <c r="BI99" s="233"/>
      <c r="BJ99" s="233"/>
      <c r="BK99" s="233"/>
    </row>
    <row r="100" spans="1:63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3"/>
      <c r="AP100" s="233"/>
      <c r="AQ100" s="233"/>
      <c r="AR100" s="233"/>
      <c r="AS100" s="233"/>
      <c r="AT100" s="233"/>
      <c r="AU100" s="233"/>
      <c r="AV100" s="233"/>
      <c r="AW100" s="233"/>
      <c r="AX100" s="233"/>
      <c r="AY100" s="233"/>
      <c r="AZ100" s="233"/>
      <c r="BA100" s="233"/>
      <c r="BB100" s="233"/>
      <c r="BC100" s="233"/>
      <c r="BD100" s="233"/>
      <c r="BE100" s="233"/>
      <c r="BF100" s="233"/>
      <c r="BG100" s="233"/>
      <c r="BH100" s="233"/>
      <c r="BI100" s="233"/>
      <c r="BJ100" s="233"/>
      <c r="BK100" s="233"/>
    </row>
    <row r="101" spans="1:63">
      <c r="A101" s="233"/>
      <c r="B101" s="233"/>
      <c r="C101" s="233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233"/>
      <c r="AZ101" s="233"/>
      <c r="BA101" s="233"/>
      <c r="BB101" s="233"/>
      <c r="BC101" s="233"/>
      <c r="BD101" s="233"/>
      <c r="BE101" s="233"/>
      <c r="BF101" s="233"/>
      <c r="BG101" s="233"/>
      <c r="BH101" s="233"/>
      <c r="BI101" s="233"/>
      <c r="BJ101" s="233"/>
      <c r="BK101" s="233"/>
    </row>
    <row r="102" spans="1:63">
      <c r="A102" s="233"/>
      <c r="B102" s="233"/>
      <c r="C102" s="233"/>
      <c r="D102" s="233"/>
      <c r="E102" s="233"/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3"/>
      <c r="BH102" s="233"/>
      <c r="BI102" s="233"/>
      <c r="BJ102" s="233"/>
      <c r="BK102" s="233"/>
    </row>
    <row r="103" spans="1:63">
      <c r="A103" s="233"/>
      <c r="B103" s="233"/>
      <c r="C103" s="233"/>
      <c r="D103" s="233"/>
      <c r="E103" s="233"/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233"/>
      <c r="AO103" s="233"/>
      <c r="AP103" s="233"/>
      <c r="AQ103" s="233"/>
      <c r="AR103" s="233"/>
      <c r="AS103" s="233"/>
      <c r="AT103" s="233"/>
      <c r="AU103" s="233"/>
      <c r="AV103" s="233"/>
      <c r="AW103" s="233"/>
      <c r="AX103" s="233"/>
      <c r="AY103" s="233"/>
      <c r="AZ103" s="233"/>
      <c r="BA103" s="233"/>
      <c r="BB103" s="233"/>
      <c r="BC103" s="233"/>
      <c r="BD103" s="233"/>
      <c r="BE103" s="233"/>
      <c r="BF103" s="233"/>
      <c r="BG103" s="233"/>
      <c r="BH103" s="233"/>
      <c r="BI103" s="233"/>
      <c r="BJ103" s="233"/>
      <c r="BK103" s="233"/>
    </row>
    <row r="104" spans="1:63">
      <c r="A104" s="233"/>
      <c r="B104" s="233"/>
      <c r="C104" s="233"/>
      <c r="D104" s="233"/>
      <c r="E104" s="233"/>
      <c r="F104" s="233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33"/>
      <c r="AU104" s="233"/>
      <c r="AV104" s="233"/>
      <c r="AW104" s="233"/>
      <c r="AX104" s="233"/>
      <c r="AY104" s="233"/>
      <c r="AZ104" s="233"/>
      <c r="BA104" s="233"/>
      <c r="BB104" s="233"/>
      <c r="BC104" s="233"/>
      <c r="BD104" s="233"/>
      <c r="BE104" s="233"/>
      <c r="BF104" s="233"/>
      <c r="BG104" s="233"/>
      <c r="BH104" s="233"/>
      <c r="BI104" s="233"/>
      <c r="BJ104" s="233"/>
      <c r="BK104" s="233"/>
    </row>
    <row r="105" spans="1:63">
      <c r="A105" s="233"/>
      <c r="B105" s="233"/>
      <c r="C105" s="233"/>
      <c r="D105" s="233"/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  <c r="AM105" s="233"/>
      <c r="AN105" s="233"/>
      <c r="AO105" s="233"/>
      <c r="AP105" s="233"/>
      <c r="AQ105" s="233"/>
      <c r="AR105" s="233"/>
      <c r="AS105" s="233"/>
      <c r="AT105" s="233"/>
      <c r="AU105" s="233"/>
      <c r="AV105" s="233"/>
      <c r="AW105" s="233"/>
      <c r="AX105" s="233"/>
      <c r="AY105" s="233"/>
      <c r="AZ105" s="233"/>
      <c r="BA105" s="233"/>
      <c r="BB105" s="233"/>
      <c r="BC105" s="233"/>
      <c r="BD105" s="233"/>
      <c r="BE105" s="233"/>
      <c r="BF105" s="233"/>
      <c r="BG105" s="233"/>
      <c r="BH105" s="233"/>
      <c r="BI105" s="233"/>
      <c r="BJ105" s="233"/>
      <c r="BK105" s="233"/>
    </row>
    <row r="106" spans="1:63">
      <c r="A106" s="233"/>
      <c r="B106" s="233"/>
      <c r="C106" s="233"/>
      <c r="D106" s="233"/>
      <c r="E106" s="233"/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  <c r="AI106" s="233"/>
      <c r="AJ106" s="233"/>
      <c r="AK106" s="233"/>
      <c r="AL106" s="233"/>
      <c r="AM106" s="233"/>
      <c r="AN106" s="233"/>
      <c r="AO106" s="233"/>
      <c r="AP106" s="233"/>
      <c r="AQ106" s="233"/>
      <c r="AR106" s="233"/>
      <c r="AS106" s="233"/>
      <c r="AT106" s="233"/>
      <c r="AU106" s="233"/>
      <c r="AV106" s="233"/>
      <c r="AW106" s="233"/>
      <c r="AX106" s="233"/>
      <c r="AY106" s="233"/>
      <c r="AZ106" s="233"/>
      <c r="BA106" s="233"/>
      <c r="BB106" s="233"/>
      <c r="BC106" s="233"/>
      <c r="BD106" s="233"/>
      <c r="BE106" s="233"/>
      <c r="BF106" s="233"/>
      <c r="BG106" s="233"/>
      <c r="BH106" s="233"/>
      <c r="BI106" s="233"/>
      <c r="BJ106" s="233"/>
      <c r="BK106" s="233"/>
    </row>
    <row r="107" spans="1:63">
      <c r="A107" s="233"/>
      <c r="B107" s="233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3"/>
      <c r="BH107" s="233"/>
      <c r="BI107" s="233"/>
      <c r="BJ107" s="233"/>
      <c r="BK107" s="233"/>
    </row>
    <row r="108" spans="1:63">
      <c r="A108" s="233"/>
      <c r="B108" s="233"/>
      <c r="C108" s="233"/>
      <c r="D108" s="233"/>
      <c r="E108" s="233"/>
      <c r="F108" s="233"/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  <c r="AK108" s="233"/>
      <c r="AL108" s="233"/>
      <c r="AM108" s="233"/>
      <c r="AN108" s="233"/>
      <c r="AO108" s="233"/>
      <c r="AP108" s="233"/>
      <c r="AQ108" s="233"/>
      <c r="AR108" s="233"/>
      <c r="AS108" s="233"/>
      <c r="AT108" s="233"/>
      <c r="AU108" s="233"/>
      <c r="AV108" s="233"/>
      <c r="AW108" s="233"/>
      <c r="AX108" s="233"/>
      <c r="AY108" s="233"/>
      <c r="AZ108" s="233"/>
      <c r="BA108" s="233"/>
      <c r="BB108" s="233"/>
      <c r="BC108" s="233"/>
      <c r="BD108" s="233"/>
      <c r="BE108" s="233"/>
      <c r="BF108" s="233"/>
      <c r="BG108" s="233"/>
      <c r="BH108" s="233"/>
      <c r="BI108" s="233"/>
      <c r="BJ108" s="233"/>
      <c r="BK108" s="233"/>
    </row>
    <row r="109" spans="1:63">
      <c r="A109" s="233"/>
      <c r="B109" s="233"/>
      <c r="C109" s="233"/>
      <c r="D109" s="233"/>
      <c r="E109" s="233"/>
      <c r="F109" s="233"/>
      <c r="G109" s="233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  <c r="AR109" s="233"/>
      <c r="AS109" s="233"/>
      <c r="AT109" s="233"/>
      <c r="AU109" s="233"/>
      <c r="AV109" s="233"/>
      <c r="AW109" s="233"/>
      <c r="AX109" s="233"/>
      <c r="AY109" s="233"/>
      <c r="AZ109" s="233"/>
      <c r="BA109" s="233"/>
      <c r="BB109" s="233"/>
      <c r="BC109" s="233"/>
      <c r="BD109" s="233"/>
      <c r="BE109" s="233"/>
      <c r="BF109" s="233"/>
      <c r="BG109" s="233"/>
      <c r="BH109" s="233"/>
      <c r="BI109" s="233"/>
      <c r="BJ109" s="233"/>
      <c r="BK109" s="233"/>
    </row>
    <row r="110" spans="1:63">
      <c r="A110" s="233"/>
      <c r="B110" s="233"/>
      <c r="C110" s="233"/>
      <c r="D110" s="233"/>
      <c r="E110" s="233"/>
      <c r="F110" s="233"/>
      <c r="G110" s="233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233"/>
      <c r="AK110" s="233"/>
      <c r="AL110" s="233"/>
      <c r="AM110" s="233"/>
      <c r="AN110" s="233"/>
      <c r="AO110" s="233"/>
      <c r="AP110" s="233"/>
      <c r="AQ110" s="233"/>
      <c r="AR110" s="233"/>
      <c r="AS110" s="233"/>
      <c r="AT110" s="233"/>
      <c r="AU110" s="233"/>
      <c r="AV110" s="233"/>
      <c r="AW110" s="233"/>
      <c r="AX110" s="233"/>
      <c r="AY110" s="233"/>
      <c r="AZ110" s="233"/>
      <c r="BA110" s="233"/>
      <c r="BB110" s="233"/>
      <c r="BC110" s="233"/>
      <c r="BD110" s="233"/>
      <c r="BE110" s="233"/>
      <c r="BF110" s="233"/>
      <c r="BG110" s="233"/>
      <c r="BH110" s="233"/>
      <c r="BI110" s="233"/>
      <c r="BJ110" s="233"/>
      <c r="BK110" s="233"/>
    </row>
    <row r="111" spans="1:63">
      <c r="A111" s="233"/>
      <c r="B111" s="272"/>
      <c r="C111" s="233"/>
      <c r="D111" s="272"/>
      <c r="E111" s="233"/>
      <c r="F111" s="233"/>
      <c r="G111" s="233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233"/>
      <c r="AK111" s="233"/>
      <c r="AL111" s="233"/>
      <c r="AM111" s="233"/>
      <c r="AN111" s="233"/>
      <c r="AO111" s="233"/>
      <c r="AP111" s="233"/>
      <c r="AQ111" s="233"/>
      <c r="AR111" s="233"/>
      <c r="AS111" s="233"/>
      <c r="AT111" s="233"/>
      <c r="AU111" s="233"/>
      <c r="AV111" s="233"/>
      <c r="AW111" s="233"/>
      <c r="AX111" s="233"/>
      <c r="AY111" s="233"/>
      <c r="AZ111" s="233"/>
      <c r="BA111" s="233"/>
      <c r="BB111" s="233"/>
      <c r="BC111" s="233"/>
      <c r="BD111" s="233"/>
      <c r="BE111" s="233"/>
      <c r="BF111" s="233"/>
      <c r="BG111" s="233"/>
      <c r="BH111" s="233"/>
      <c r="BI111" s="233"/>
      <c r="BJ111" s="233"/>
      <c r="BK111" s="233"/>
    </row>
    <row r="112" spans="1:63">
      <c r="A112" s="233"/>
      <c r="B112" s="272"/>
      <c r="C112" s="233"/>
      <c r="D112" s="272"/>
      <c r="E112" s="233"/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233"/>
      <c r="AK112" s="233"/>
      <c r="AL112" s="233"/>
      <c r="AM112" s="233"/>
      <c r="AN112" s="233"/>
      <c r="AO112" s="233"/>
      <c r="AP112" s="233"/>
      <c r="AQ112" s="233"/>
      <c r="AR112" s="233"/>
      <c r="AS112" s="233"/>
      <c r="AT112" s="233"/>
      <c r="AU112" s="233"/>
      <c r="AV112" s="233"/>
      <c r="AW112" s="233"/>
      <c r="AX112" s="233"/>
      <c r="AY112" s="233"/>
      <c r="AZ112" s="233"/>
      <c r="BA112" s="233"/>
      <c r="BB112" s="233"/>
      <c r="BC112" s="233"/>
      <c r="BD112" s="233"/>
      <c r="BE112" s="233"/>
      <c r="BF112" s="233"/>
      <c r="BG112" s="233"/>
      <c r="BH112" s="233"/>
      <c r="BI112" s="233"/>
      <c r="BJ112" s="233"/>
      <c r="BK112" s="233"/>
    </row>
    <row r="113" spans="1:63">
      <c r="A113" s="233"/>
      <c r="B113" s="272"/>
      <c r="C113" s="233"/>
      <c r="D113" s="272"/>
      <c r="E113" s="233"/>
      <c r="F113" s="233"/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233"/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33"/>
      <c r="AU113" s="233"/>
      <c r="AV113" s="233"/>
      <c r="AW113" s="233"/>
      <c r="AX113" s="233"/>
      <c r="AY113" s="233"/>
      <c r="AZ113" s="233"/>
      <c r="BA113" s="233"/>
      <c r="BB113" s="233"/>
      <c r="BC113" s="233"/>
      <c r="BD113" s="233"/>
      <c r="BE113" s="233"/>
      <c r="BF113" s="233"/>
      <c r="BG113" s="233"/>
      <c r="BH113" s="233"/>
      <c r="BI113" s="233"/>
      <c r="BJ113" s="233"/>
      <c r="BK113" s="233"/>
    </row>
    <row r="114" spans="1:63">
      <c r="A114" s="233"/>
      <c r="B114" s="272"/>
      <c r="C114" s="233"/>
      <c r="D114" s="272"/>
      <c r="E114" s="233"/>
      <c r="F114" s="233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233"/>
      <c r="AK114" s="233"/>
      <c r="AL114" s="233"/>
      <c r="AM114" s="233"/>
      <c r="AN114" s="233"/>
      <c r="AO114" s="233"/>
      <c r="AP114" s="233"/>
      <c r="AQ114" s="233"/>
      <c r="AR114" s="233"/>
      <c r="AS114" s="233"/>
      <c r="AT114" s="233"/>
      <c r="AU114" s="233"/>
      <c r="AV114" s="233"/>
      <c r="AW114" s="233"/>
      <c r="AX114" s="233"/>
      <c r="AY114" s="233"/>
      <c r="AZ114" s="233"/>
      <c r="BA114" s="233"/>
      <c r="BB114" s="233"/>
      <c r="BC114" s="233"/>
      <c r="BD114" s="233"/>
      <c r="BE114" s="233"/>
      <c r="BF114" s="233"/>
      <c r="BG114" s="233"/>
      <c r="BH114" s="233"/>
      <c r="BI114" s="233"/>
      <c r="BJ114" s="233"/>
      <c r="BK114" s="233"/>
    </row>
    <row r="115" spans="1:63">
      <c r="A115" s="233"/>
      <c r="B115" s="272"/>
      <c r="C115" s="233"/>
      <c r="D115" s="272"/>
      <c r="E115" s="233"/>
      <c r="F115" s="233"/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  <c r="AA115" s="233"/>
      <c r="AB115" s="233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  <c r="AM115" s="233"/>
      <c r="AN115" s="233"/>
      <c r="AO115" s="233"/>
      <c r="AP115" s="233"/>
      <c r="AQ115" s="233"/>
      <c r="AR115" s="233"/>
      <c r="AS115" s="233"/>
      <c r="AT115" s="233"/>
      <c r="AU115" s="233"/>
      <c r="AV115" s="233"/>
      <c r="AW115" s="233"/>
      <c r="AX115" s="233"/>
      <c r="AY115" s="233"/>
      <c r="AZ115" s="233"/>
      <c r="BA115" s="233"/>
      <c r="BB115" s="233"/>
      <c r="BC115" s="233"/>
      <c r="BD115" s="233"/>
      <c r="BE115" s="233"/>
      <c r="BF115" s="233"/>
      <c r="BG115" s="233"/>
      <c r="BH115" s="233"/>
      <c r="BI115" s="233"/>
      <c r="BJ115" s="233"/>
      <c r="BK115" s="233"/>
    </row>
    <row r="116" spans="1:63">
      <c r="A116" s="233"/>
      <c r="B116" s="272"/>
      <c r="C116" s="233"/>
      <c r="D116" s="272"/>
      <c r="E116" s="233"/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  <c r="AA116" s="233"/>
      <c r="AB116" s="233"/>
      <c r="AC116" s="233"/>
      <c r="AD116" s="233"/>
      <c r="AE116" s="233"/>
      <c r="AF116" s="233"/>
      <c r="AG116" s="233"/>
      <c r="AH116" s="233"/>
      <c r="AI116" s="233"/>
      <c r="AJ116" s="233"/>
      <c r="AK116" s="233"/>
      <c r="AL116" s="233"/>
      <c r="AM116" s="233"/>
      <c r="AN116" s="233"/>
      <c r="AO116" s="233"/>
      <c r="AP116" s="233"/>
      <c r="AQ116" s="233"/>
      <c r="AR116" s="233"/>
      <c r="AS116" s="233"/>
      <c r="AT116" s="233"/>
      <c r="AU116" s="233"/>
      <c r="AV116" s="233"/>
      <c r="AW116" s="233"/>
      <c r="AX116" s="233"/>
      <c r="AY116" s="233"/>
      <c r="AZ116" s="233"/>
      <c r="BA116" s="233"/>
      <c r="BB116" s="233"/>
      <c r="BC116" s="233"/>
      <c r="BD116" s="233"/>
      <c r="BE116" s="233"/>
      <c r="BF116" s="233"/>
      <c r="BG116" s="233"/>
      <c r="BH116" s="233"/>
      <c r="BI116" s="233"/>
      <c r="BJ116" s="233"/>
      <c r="BK116" s="233"/>
    </row>
    <row r="117" spans="1:63">
      <c r="A117" s="233"/>
      <c r="B117" s="272"/>
      <c r="C117" s="233"/>
      <c r="D117" s="272"/>
      <c r="E117" s="233"/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  <c r="AA117" s="233"/>
      <c r="AB117" s="233"/>
      <c r="AC117" s="233"/>
      <c r="AD117" s="233"/>
      <c r="AE117" s="233"/>
      <c r="AF117" s="233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33"/>
      <c r="AU117" s="233"/>
      <c r="AV117" s="233"/>
      <c r="AW117" s="233"/>
      <c r="AX117" s="233"/>
      <c r="AY117" s="233"/>
      <c r="AZ117" s="233"/>
      <c r="BA117" s="233"/>
      <c r="BB117" s="233"/>
      <c r="BC117" s="233"/>
      <c r="BD117" s="233"/>
      <c r="BE117" s="233"/>
      <c r="BF117" s="233"/>
      <c r="BG117" s="233"/>
      <c r="BH117" s="233"/>
      <c r="BI117" s="233"/>
      <c r="BJ117" s="233"/>
      <c r="BK117" s="233"/>
    </row>
    <row r="118" spans="1:63">
      <c r="A118" s="233"/>
      <c r="B118" s="272"/>
      <c r="C118" s="233"/>
      <c r="D118" s="272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  <c r="AA118" s="233"/>
      <c r="AB118" s="233"/>
      <c r="AC118" s="233"/>
      <c r="AD118" s="233"/>
      <c r="AE118" s="233"/>
      <c r="AF118" s="233"/>
      <c r="AG118" s="233"/>
      <c r="AH118" s="233"/>
      <c r="AI118" s="233"/>
      <c r="AJ118" s="233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33"/>
      <c r="AU118" s="233"/>
      <c r="AV118" s="233"/>
      <c r="AW118" s="233"/>
      <c r="AX118" s="233"/>
      <c r="AY118" s="233"/>
      <c r="AZ118" s="233"/>
      <c r="BA118" s="233"/>
      <c r="BB118" s="233"/>
      <c r="BC118" s="233"/>
      <c r="BD118" s="233"/>
      <c r="BE118" s="233"/>
      <c r="BF118" s="233"/>
      <c r="BG118" s="233"/>
      <c r="BH118" s="233"/>
      <c r="BI118" s="233"/>
      <c r="BJ118" s="233"/>
      <c r="BK118" s="233"/>
    </row>
    <row r="119" spans="1:63">
      <c r="A119" s="233"/>
      <c r="B119" s="272"/>
      <c r="C119" s="233"/>
      <c r="D119" s="272"/>
      <c r="E119" s="233"/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  <c r="AA119" s="233"/>
      <c r="AB119" s="233"/>
      <c r="AC119" s="233"/>
      <c r="AD119" s="233"/>
      <c r="AE119" s="233"/>
      <c r="AF119" s="233"/>
      <c r="AG119" s="233"/>
      <c r="AH119" s="233"/>
      <c r="AI119" s="233"/>
      <c r="AJ119" s="233"/>
      <c r="AK119" s="233"/>
      <c r="AL119" s="233"/>
      <c r="AM119" s="233"/>
      <c r="AN119" s="233"/>
      <c r="AO119" s="233"/>
      <c r="AP119" s="233"/>
      <c r="AQ119" s="233"/>
      <c r="AR119" s="233"/>
      <c r="AS119" s="233"/>
      <c r="AT119" s="233"/>
      <c r="AU119" s="233"/>
      <c r="AV119" s="233"/>
      <c r="AW119" s="233"/>
      <c r="AX119" s="233"/>
      <c r="AY119" s="233"/>
      <c r="AZ119" s="233"/>
      <c r="BA119" s="233"/>
      <c r="BB119" s="233"/>
      <c r="BC119" s="233"/>
      <c r="BD119" s="233"/>
      <c r="BE119" s="233"/>
      <c r="BF119" s="233"/>
      <c r="BG119" s="233"/>
      <c r="BH119" s="233"/>
      <c r="BI119" s="233"/>
      <c r="BJ119" s="233"/>
      <c r="BK119" s="233"/>
    </row>
    <row r="120" spans="1:63">
      <c r="A120" s="233"/>
      <c r="B120" s="272"/>
      <c r="C120" s="233"/>
      <c r="D120" s="272"/>
      <c r="E120" s="233"/>
      <c r="F120" s="233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  <c r="AA120" s="233"/>
      <c r="AB120" s="233"/>
      <c r="AC120" s="233"/>
      <c r="AD120" s="233"/>
      <c r="AE120" s="233"/>
      <c r="AF120" s="233"/>
      <c r="AG120" s="233"/>
      <c r="AH120" s="233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33"/>
      <c r="AU120" s="233"/>
      <c r="AV120" s="233"/>
      <c r="AW120" s="233"/>
      <c r="AX120" s="233"/>
      <c r="AY120" s="233"/>
      <c r="AZ120" s="233"/>
      <c r="BA120" s="233"/>
      <c r="BB120" s="233"/>
      <c r="BC120" s="233"/>
      <c r="BD120" s="233"/>
      <c r="BE120" s="233"/>
      <c r="BF120" s="233"/>
      <c r="BG120" s="233"/>
      <c r="BH120" s="233"/>
      <c r="BI120" s="233"/>
      <c r="BJ120" s="233"/>
      <c r="BK120" s="233"/>
    </row>
    <row r="121" spans="1:63">
      <c r="A121" s="233"/>
      <c r="B121" s="272"/>
      <c r="C121" s="233"/>
      <c r="D121" s="272"/>
      <c r="E121" s="233"/>
      <c r="F121" s="233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  <c r="AA121" s="233"/>
      <c r="AB121" s="233"/>
      <c r="AC121" s="233"/>
      <c r="AD121" s="233"/>
      <c r="AE121" s="233"/>
      <c r="AF121" s="233"/>
      <c r="AG121" s="233"/>
      <c r="AH121" s="233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33"/>
      <c r="AU121" s="233"/>
      <c r="AV121" s="233"/>
      <c r="AW121" s="233"/>
      <c r="AX121" s="233"/>
      <c r="AY121" s="233"/>
      <c r="AZ121" s="233"/>
      <c r="BA121" s="233"/>
      <c r="BB121" s="233"/>
      <c r="BC121" s="233"/>
      <c r="BD121" s="233"/>
      <c r="BE121" s="233"/>
      <c r="BF121" s="233"/>
      <c r="BG121" s="233"/>
      <c r="BH121" s="233"/>
      <c r="BI121" s="233"/>
      <c r="BJ121" s="233"/>
      <c r="BK121" s="233"/>
    </row>
    <row r="122" spans="1:63">
      <c r="A122" s="233"/>
      <c r="B122" s="272"/>
      <c r="C122" s="233"/>
      <c r="D122" s="272"/>
      <c r="E122" s="233"/>
      <c r="F122" s="233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  <c r="AZ122" s="233"/>
      <c r="BA122" s="233"/>
      <c r="BB122" s="233"/>
      <c r="BC122" s="233"/>
      <c r="BD122" s="233"/>
      <c r="BE122" s="233"/>
      <c r="BF122" s="233"/>
      <c r="BG122" s="233"/>
      <c r="BH122" s="233"/>
      <c r="BI122" s="233"/>
      <c r="BJ122" s="233"/>
      <c r="BK122" s="233"/>
    </row>
    <row r="123" spans="1:63">
      <c r="A123" s="233"/>
      <c r="B123" s="272"/>
      <c r="C123" s="233"/>
      <c r="D123" s="272"/>
      <c r="E123" s="233"/>
      <c r="F123" s="233"/>
      <c r="G123" s="233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  <c r="AZ123" s="233"/>
      <c r="BA123" s="233"/>
      <c r="BB123" s="233"/>
      <c r="BC123" s="233"/>
      <c r="BD123" s="233"/>
      <c r="BE123" s="233"/>
      <c r="BF123" s="233"/>
      <c r="BG123" s="233"/>
      <c r="BH123" s="233"/>
      <c r="BI123" s="233"/>
      <c r="BJ123" s="233"/>
      <c r="BK123" s="233"/>
    </row>
    <row r="124" spans="1:63">
      <c r="A124" s="233"/>
      <c r="B124" s="272"/>
      <c r="C124" s="233"/>
      <c r="D124" s="272"/>
      <c r="E124" s="233"/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233"/>
      <c r="AY124" s="233"/>
      <c r="AZ124" s="233"/>
      <c r="BA124" s="233"/>
      <c r="BB124" s="233"/>
      <c r="BC124" s="233"/>
      <c r="BD124" s="233"/>
      <c r="BE124" s="233"/>
      <c r="BF124" s="233"/>
      <c r="BG124" s="233"/>
      <c r="BH124" s="233"/>
      <c r="BI124" s="233"/>
      <c r="BJ124" s="233"/>
      <c r="BK124" s="233"/>
    </row>
    <row r="125" spans="1:63">
      <c r="A125" s="233"/>
      <c r="B125" s="272"/>
      <c r="C125" s="233"/>
      <c r="D125" s="272"/>
      <c r="E125" s="233"/>
      <c r="F125" s="233"/>
      <c r="G125" s="233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/>
      <c r="AZ125" s="233"/>
      <c r="BA125" s="233"/>
      <c r="BB125" s="233"/>
      <c r="BC125" s="233"/>
      <c r="BD125" s="233"/>
      <c r="BE125" s="233"/>
      <c r="BF125" s="233"/>
      <c r="BG125" s="233"/>
      <c r="BH125" s="233"/>
      <c r="BI125" s="233"/>
      <c r="BJ125" s="233"/>
      <c r="BK125" s="233"/>
    </row>
    <row r="126" spans="1:63">
      <c r="A126" s="233"/>
      <c r="B126" s="272"/>
      <c r="C126" s="233"/>
      <c r="D126" s="272"/>
      <c r="E126" s="233"/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33"/>
      <c r="BA126" s="233"/>
      <c r="BB126" s="233"/>
      <c r="BC126" s="233"/>
      <c r="BD126" s="233"/>
      <c r="BE126" s="233"/>
      <c r="BF126" s="233"/>
      <c r="BG126" s="233"/>
      <c r="BH126" s="233"/>
      <c r="BI126" s="233"/>
      <c r="BJ126" s="233"/>
      <c r="BK126" s="233"/>
    </row>
    <row r="127" spans="1:63">
      <c r="A127" s="233"/>
      <c r="B127" s="272"/>
      <c r="C127" s="233"/>
      <c r="D127" s="272"/>
      <c r="E127" s="233"/>
      <c r="F127" s="233"/>
      <c r="G127" s="233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3"/>
      <c r="BH127" s="233"/>
      <c r="BI127" s="233"/>
      <c r="BJ127" s="233"/>
      <c r="BK127" s="233"/>
    </row>
    <row r="128" spans="1:63">
      <c r="A128" s="233"/>
      <c r="B128" s="272"/>
      <c r="C128" s="233"/>
      <c r="D128" s="272"/>
      <c r="E128" s="233"/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  <c r="AZ128" s="233"/>
      <c r="BA128" s="233"/>
      <c r="BB128" s="233"/>
      <c r="BC128" s="233"/>
      <c r="BD128" s="233"/>
      <c r="BE128" s="233"/>
      <c r="BF128" s="233"/>
      <c r="BG128" s="233"/>
      <c r="BH128" s="233"/>
      <c r="BI128" s="233"/>
      <c r="BJ128" s="233"/>
      <c r="BK128" s="233"/>
    </row>
    <row r="129" spans="1:63">
      <c r="A129" s="233"/>
      <c r="B129" s="272"/>
      <c r="C129" s="233"/>
      <c r="D129" s="272"/>
      <c r="E129" s="233"/>
      <c r="F129" s="233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233"/>
      <c r="AW129" s="233"/>
      <c r="AX129" s="233"/>
      <c r="AY129" s="233"/>
      <c r="AZ129" s="233"/>
      <c r="BA129" s="233"/>
      <c r="BB129" s="233"/>
      <c r="BC129" s="233"/>
      <c r="BD129" s="233"/>
      <c r="BE129" s="233"/>
      <c r="BF129" s="233"/>
      <c r="BG129" s="233"/>
      <c r="BH129" s="233"/>
      <c r="BI129" s="233"/>
      <c r="BJ129" s="233"/>
      <c r="BK129" s="233"/>
    </row>
    <row r="130" spans="1:63">
      <c r="A130" s="233"/>
      <c r="B130" s="272"/>
      <c r="C130" s="233"/>
      <c r="D130" s="272"/>
      <c r="E130" s="233"/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3"/>
      <c r="BH130" s="233"/>
      <c r="BI130" s="233"/>
      <c r="BJ130" s="233"/>
      <c r="BK130" s="233"/>
    </row>
    <row r="131" spans="1:63">
      <c r="A131" s="233"/>
      <c r="B131" s="272"/>
      <c r="C131" s="233"/>
      <c r="D131" s="272"/>
      <c r="E131" s="233"/>
      <c r="F131" s="233"/>
      <c r="G131" s="233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  <c r="AY131" s="233"/>
      <c r="AZ131" s="233"/>
      <c r="BA131" s="233"/>
      <c r="BB131" s="233"/>
      <c r="BC131" s="233"/>
      <c r="BD131" s="233"/>
      <c r="BE131" s="233"/>
      <c r="BF131" s="233"/>
      <c r="BG131" s="233"/>
      <c r="BH131" s="233"/>
      <c r="BI131" s="233"/>
      <c r="BJ131" s="233"/>
      <c r="BK131" s="233"/>
    </row>
    <row r="132" spans="1:63">
      <c r="A132" s="233"/>
      <c r="B132" s="272"/>
      <c r="C132" s="233"/>
      <c r="D132" s="272"/>
      <c r="E132" s="233"/>
      <c r="F132" s="233"/>
      <c r="G132" s="233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33"/>
      <c r="AU132" s="233"/>
      <c r="AV132" s="233"/>
      <c r="AW132" s="233"/>
      <c r="AX132" s="233"/>
      <c r="AY132" s="233"/>
      <c r="AZ132" s="233"/>
      <c r="BA132" s="233"/>
      <c r="BB132" s="233"/>
      <c r="BC132" s="233"/>
      <c r="BD132" s="233"/>
      <c r="BE132" s="233"/>
      <c r="BF132" s="233"/>
      <c r="BG132" s="233"/>
      <c r="BH132" s="233"/>
      <c r="BI132" s="233"/>
      <c r="BJ132" s="233"/>
      <c r="BK132" s="233"/>
    </row>
    <row r="133" spans="1:63">
      <c r="A133" s="233"/>
      <c r="B133" s="272"/>
      <c r="C133" s="233"/>
      <c r="D133" s="272"/>
      <c r="E133" s="233"/>
      <c r="F133" s="233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/>
      <c r="AZ133" s="233"/>
      <c r="BA133" s="233"/>
      <c r="BB133" s="233"/>
      <c r="BC133" s="233"/>
      <c r="BD133" s="233"/>
      <c r="BE133" s="233"/>
      <c r="BF133" s="233"/>
      <c r="BG133" s="233"/>
      <c r="BH133" s="233"/>
      <c r="BI133" s="233"/>
      <c r="BJ133" s="233"/>
      <c r="BK133" s="233"/>
    </row>
    <row r="134" spans="1:63">
      <c r="A134" s="233"/>
      <c r="B134" s="272"/>
      <c r="C134" s="233"/>
      <c r="D134" s="272"/>
      <c r="E134" s="233"/>
      <c r="F134" s="233"/>
      <c r="G134" s="233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  <c r="AI134" s="233"/>
      <c r="AJ134" s="233"/>
      <c r="AK134" s="233"/>
      <c r="AL134" s="233"/>
      <c r="AM134" s="233"/>
      <c r="AN134" s="233"/>
      <c r="AO134" s="233"/>
      <c r="AP134" s="233"/>
      <c r="AQ134" s="233"/>
      <c r="AR134" s="233"/>
      <c r="AS134" s="233"/>
      <c r="AT134" s="233"/>
      <c r="AU134" s="233"/>
      <c r="AV134" s="233"/>
      <c r="AW134" s="233"/>
      <c r="AX134" s="233"/>
      <c r="AY134" s="233"/>
      <c r="AZ134" s="233"/>
      <c r="BA134" s="233"/>
      <c r="BB134" s="233"/>
      <c r="BC134" s="233"/>
      <c r="BD134" s="233"/>
      <c r="BE134" s="233"/>
      <c r="BF134" s="233"/>
      <c r="BG134" s="233"/>
      <c r="BH134" s="233"/>
      <c r="BI134" s="233"/>
      <c r="BJ134" s="233"/>
      <c r="BK134" s="233"/>
    </row>
    <row r="135" spans="1:63">
      <c r="A135" s="233"/>
      <c r="B135" s="272"/>
      <c r="C135" s="233"/>
      <c r="D135" s="272"/>
      <c r="E135" s="233"/>
      <c r="F135" s="233"/>
      <c r="G135" s="233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233"/>
      <c r="AU135" s="233"/>
      <c r="AV135" s="233"/>
      <c r="AW135" s="233"/>
      <c r="AX135" s="233"/>
      <c r="AY135" s="233"/>
      <c r="AZ135" s="233"/>
      <c r="BA135" s="233"/>
      <c r="BB135" s="233"/>
      <c r="BC135" s="233"/>
      <c r="BD135" s="233"/>
      <c r="BE135" s="233"/>
      <c r="BF135" s="233"/>
      <c r="BG135" s="233"/>
      <c r="BH135" s="233"/>
      <c r="BI135" s="233"/>
      <c r="BJ135" s="233"/>
      <c r="BK135" s="233"/>
    </row>
    <row r="136" spans="1:63">
      <c r="A136" s="233"/>
      <c r="B136" s="272"/>
      <c r="C136" s="233"/>
      <c r="D136" s="272"/>
      <c r="E136" s="233"/>
      <c r="F136" s="233"/>
      <c r="G136" s="233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33"/>
      <c r="AU136" s="233"/>
      <c r="AV136" s="233"/>
      <c r="AW136" s="233"/>
      <c r="AX136" s="233"/>
      <c r="AY136" s="233"/>
      <c r="AZ136" s="233"/>
      <c r="BA136" s="233"/>
      <c r="BB136" s="233"/>
      <c r="BC136" s="233"/>
      <c r="BD136" s="233"/>
      <c r="BE136" s="233"/>
      <c r="BF136" s="233"/>
      <c r="BG136" s="233"/>
      <c r="BH136" s="233"/>
      <c r="BI136" s="233"/>
      <c r="BJ136" s="233"/>
      <c r="BK136" s="233"/>
    </row>
    <row r="137" spans="1:63">
      <c r="A137" s="233"/>
      <c r="B137" s="272"/>
      <c r="C137" s="233"/>
      <c r="D137" s="272"/>
      <c r="E137" s="233"/>
      <c r="F137" s="233"/>
      <c r="G137" s="233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233"/>
      <c r="AK137" s="233"/>
      <c r="AL137" s="233"/>
      <c r="AM137" s="233"/>
      <c r="AN137" s="233"/>
      <c r="AO137" s="233"/>
      <c r="AP137" s="233"/>
      <c r="AQ137" s="233"/>
      <c r="AR137" s="233"/>
      <c r="AS137" s="233"/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3"/>
      <c r="BH137" s="233"/>
      <c r="BI137" s="233"/>
      <c r="BJ137" s="233"/>
      <c r="BK137" s="233"/>
    </row>
    <row r="138" spans="1:63">
      <c r="A138" s="233"/>
      <c r="B138" s="272"/>
      <c r="C138" s="233"/>
      <c r="D138" s="272"/>
      <c r="E138" s="233"/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33"/>
      <c r="AW138" s="233"/>
      <c r="AX138" s="233"/>
      <c r="AY138" s="233"/>
      <c r="AZ138" s="233"/>
      <c r="BA138" s="233"/>
      <c r="BB138" s="233"/>
      <c r="BC138" s="233"/>
      <c r="BD138" s="233"/>
      <c r="BE138" s="233"/>
      <c r="BF138" s="233"/>
      <c r="BG138" s="233"/>
      <c r="BH138" s="233"/>
      <c r="BI138" s="233"/>
      <c r="BJ138" s="233"/>
      <c r="BK138" s="233"/>
    </row>
    <row r="139" spans="1:63">
      <c r="A139" s="233"/>
      <c r="B139" s="272"/>
      <c r="C139" s="233"/>
      <c r="D139" s="272"/>
      <c r="E139" s="233"/>
      <c r="F139" s="233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233"/>
      <c r="AK139" s="233"/>
      <c r="AL139" s="233"/>
      <c r="AM139" s="233"/>
      <c r="AN139" s="233"/>
      <c r="AO139" s="233"/>
      <c r="AP139" s="233"/>
      <c r="AQ139" s="233"/>
      <c r="AR139" s="233"/>
      <c r="AS139" s="233"/>
      <c r="AT139" s="233"/>
      <c r="AU139" s="233"/>
      <c r="AV139" s="233"/>
      <c r="AW139" s="233"/>
      <c r="AX139" s="233"/>
      <c r="AY139" s="233"/>
      <c r="AZ139" s="233"/>
      <c r="BA139" s="233"/>
      <c r="BB139" s="233"/>
      <c r="BC139" s="233"/>
      <c r="BD139" s="233"/>
      <c r="BE139" s="233"/>
      <c r="BF139" s="233"/>
      <c r="BG139" s="233"/>
      <c r="BH139" s="233"/>
      <c r="BI139" s="233"/>
      <c r="BJ139" s="233"/>
      <c r="BK139" s="233"/>
    </row>
    <row r="140" spans="1:63">
      <c r="A140" s="233"/>
      <c r="B140" s="272"/>
      <c r="C140" s="233"/>
      <c r="D140" s="272"/>
      <c r="E140" s="233"/>
      <c r="F140" s="233"/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33"/>
      <c r="AN140" s="233"/>
      <c r="AO140" s="233"/>
      <c r="AP140" s="233"/>
      <c r="AQ140" s="233"/>
      <c r="AR140" s="233"/>
      <c r="AS140" s="233"/>
      <c r="AT140" s="233"/>
      <c r="AU140" s="233"/>
      <c r="AV140" s="233"/>
      <c r="AW140" s="233"/>
      <c r="AX140" s="233"/>
      <c r="AY140" s="233"/>
      <c r="AZ140" s="233"/>
      <c r="BA140" s="233"/>
      <c r="BB140" s="233"/>
      <c r="BC140" s="233"/>
      <c r="BD140" s="233"/>
      <c r="BE140" s="233"/>
      <c r="BF140" s="233"/>
      <c r="BG140" s="233"/>
      <c r="BH140" s="233"/>
      <c r="BI140" s="233"/>
      <c r="BJ140" s="233"/>
      <c r="BK140" s="233"/>
    </row>
    <row r="141" spans="1:63">
      <c r="A141" s="233"/>
      <c r="B141" s="272"/>
      <c r="C141" s="233"/>
      <c r="D141" s="272"/>
      <c r="E141" s="233"/>
      <c r="F141" s="233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233"/>
      <c r="AK141" s="233"/>
      <c r="AL141" s="233"/>
      <c r="AM141" s="233"/>
      <c r="AN141" s="233"/>
      <c r="AO141" s="233"/>
      <c r="AP141" s="233"/>
      <c r="AQ141" s="233"/>
      <c r="AR141" s="233"/>
      <c r="AS141" s="233"/>
      <c r="AT141" s="233"/>
      <c r="AU141" s="233"/>
      <c r="AV141" s="233"/>
      <c r="AW141" s="233"/>
      <c r="AX141" s="233"/>
      <c r="AY141" s="233"/>
      <c r="AZ141" s="233"/>
      <c r="BA141" s="233"/>
      <c r="BB141" s="233"/>
      <c r="BC141" s="233"/>
      <c r="BD141" s="233"/>
      <c r="BE141" s="233"/>
      <c r="BF141" s="233"/>
      <c r="BG141" s="233"/>
      <c r="BH141" s="233"/>
      <c r="BI141" s="233"/>
      <c r="BJ141" s="233"/>
      <c r="BK141" s="233"/>
    </row>
    <row r="142" spans="1:63">
      <c r="A142" s="233"/>
      <c r="B142" s="272"/>
      <c r="C142" s="233"/>
      <c r="D142" s="272"/>
      <c r="E142" s="233"/>
      <c r="F142" s="233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33"/>
      <c r="AJ142" s="233"/>
      <c r="AK142" s="233"/>
      <c r="AL142" s="233"/>
      <c r="AM142" s="233"/>
      <c r="AN142" s="233"/>
      <c r="AO142" s="233"/>
      <c r="AP142" s="233"/>
      <c r="AQ142" s="233"/>
      <c r="AR142" s="233"/>
      <c r="AS142" s="233"/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3"/>
      <c r="BH142" s="233"/>
      <c r="BI142" s="233"/>
      <c r="BJ142" s="233"/>
      <c r="BK142" s="233"/>
    </row>
    <row r="143" spans="1:63">
      <c r="A143" s="233"/>
      <c r="B143" s="272"/>
      <c r="C143" s="233"/>
      <c r="D143" s="272"/>
      <c r="E143" s="233"/>
      <c r="F143" s="233"/>
      <c r="G143" s="233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  <c r="AA143" s="233"/>
      <c r="AB143" s="233"/>
      <c r="AC143" s="233"/>
      <c r="AD143" s="233"/>
      <c r="AE143" s="233"/>
      <c r="AF143" s="233"/>
      <c r="AG143" s="233"/>
      <c r="AH143" s="233"/>
      <c r="AI143" s="233"/>
      <c r="AJ143" s="233"/>
      <c r="AK143" s="233"/>
      <c r="AL143" s="233"/>
      <c r="AM143" s="233"/>
      <c r="AN143" s="233"/>
      <c r="AO143" s="233"/>
      <c r="AP143" s="233"/>
      <c r="AQ143" s="233"/>
      <c r="AR143" s="233"/>
      <c r="AS143" s="233"/>
      <c r="AT143" s="233"/>
      <c r="AU143" s="233"/>
      <c r="AV143" s="233"/>
      <c r="AW143" s="233"/>
      <c r="AX143" s="233"/>
      <c r="AY143" s="233"/>
      <c r="AZ143" s="233"/>
      <c r="BA143" s="233"/>
      <c r="BB143" s="233"/>
      <c r="BC143" s="233"/>
      <c r="BD143" s="233"/>
      <c r="BE143" s="233"/>
      <c r="BF143" s="233"/>
      <c r="BG143" s="233"/>
      <c r="BH143" s="233"/>
      <c r="BI143" s="233"/>
      <c r="BJ143" s="233"/>
      <c r="BK143" s="233"/>
    </row>
    <row r="144" spans="1:63">
      <c r="A144" s="233"/>
      <c r="B144" s="272"/>
      <c r="C144" s="233"/>
      <c r="D144" s="272"/>
      <c r="E144" s="233"/>
      <c r="F144" s="233"/>
      <c r="G144" s="233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  <c r="AA144" s="233"/>
      <c r="AB144" s="233"/>
      <c r="AC144" s="233"/>
      <c r="AD144" s="233"/>
      <c r="AE144" s="233"/>
      <c r="AF144" s="233"/>
      <c r="AG144" s="233"/>
      <c r="AH144" s="233"/>
      <c r="AI144" s="233"/>
      <c r="AJ144" s="233"/>
      <c r="AK144" s="233"/>
      <c r="AL144" s="233"/>
      <c r="AM144" s="233"/>
      <c r="AN144" s="233"/>
      <c r="AO144" s="233"/>
      <c r="AP144" s="233"/>
      <c r="AQ144" s="233"/>
      <c r="AR144" s="233"/>
      <c r="AS144" s="233"/>
      <c r="AT144" s="233"/>
      <c r="AU144" s="233"/>
      <c r="AV144" s="233"/>
      <c r="AW144" s="233"/>
      <c r="AX144" s="233"/>
      <c r="AY144" s="233"/>
      <c r="AZ144" s="233"/>
      <c r="BA144" s="233"/>
      <c r="BB144" s="233"/>
      <c r="BC144" s="233"/>
      <c r="BD144" s="233"/>
      <c r="BE144" s="233"/>
      <c r="BF144" s="233"/>
      <c r="BG144" s="233"/>
      <c r="BH144" s="233"/>
      <c r="BI144" s="233"/>
      <c r="BJ144" s="233"/>
      <c r="BK144" s="233"/>
    </row>
    <row r="145" spans="1:63">
      <c r="A145" s="233"/>
      <c r="B145" s="272"/>
      <c r="C145" s="233"/>
      <c r="D145" s="272"/>
      <c r="E145" s="233"/>
      <c r="F145" s="233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  <c r="AA145" s="233"/>
      <c r="AB145" s="233"/>
      <c r="AC145" s="233"/>
      <c r="AD145" s="233"/>
      <c r="AE145" s="233"/>
      <c r="AF145" s="233"/>
      <c r="AG145" s="233"/>
      <c r="AH145" s="233"/>
      <c r="AI145" s="233"/>
      <c r="AJ145" s="233"/>
      <c r="AK145" s="233"/>
      <c r="AL145" s="233"/>
      <c r="AM145" s="233"/>
      <c r="AN145" s="233"/>
      <c r="AO145" s="233"/>
      <c r="AP145" s="233"/>
      <c r="AQ145" s="233"/>
      <c r="AR145" s="233"/>
      <c r="AS145" s="233"/>
      <c r="AT145" s="233"/>
      <c r="AU145" s="233"/>
      <c r="AV145" s="233"/>
      <c r="AW145" s="233"/>
      <c r="AX145" s="233"/>
      <c r="AY145" s="233"/>
      <c r="AZ145" s="233"/>
      <c r="BA145" s="233"/>
      <c r="BB145" s="233"/>
      <c r="BC145" s="233"/>
      <c r="BD145" s="233"/>
      <c r="BE145" s="233"/>
      <c r="BF145" s="233"/>
      <c r="BG145" s="233"/>
      <c r="BH145" s="233"/>
      <c r="BI145" s="233"/>
      <c r="BJ145" s="233"/>
      <c r="BK145" s="233"/>
    </row>
    <row r="146" spans="1:63">
      <c r="A146" s="233"/>
      <c r="B146" s="272"/>
      <c r="C146" s="233"/>
      <c r="D146" s="272"/>
      <c r="E146" s="233"/>
      <c r="F146" s="233"/>
      <c r="G146" s="233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  <c r="AA146" s="233"/>
      <c r="AB146" s="233"/>
      <c r="AC146" s="233"/>
      <c r="AD146" s="233"/>
      <c r="AE146" s="233"/>
      <c r="AF146" s="233"/>
      <c r="AG146" s="233"/>
      <c r="AH146" s="233"/>
      <c r="AI146" s="233"/>
      <c r="AJ146" s="233"/>
      <c r="AK146" s="233"/>
      <c r="AL146" s="233"/>
      <c r="AM146" s="233"/>
      <c r="AN146" s="233"/>
      <c r="AO146" s="233"/>
      <c r="AP146" s="233"/>
      <c r="AQ146" s="233"/>
      <c r="AR146" s="233"/>
      <c r="AS146" s="233"/>
      <c r="AT146" s="233"/>
      <c r="AU146" s="233"/>
      <c r="AV146" s="233"/>
      <c r="AW146" s="233"/>
      <c r="AX146" s="233"/>
      <c r="AY146" s="233"/>
      <c r="AZ146" s="233"/>
      <c r="BA146" s="233"/>
      <c r="BB146" s="233"/>
      <c r="BC146" s="233"/>
      <c r="BD146" s="233"/>
      <c r="BE146" s="233"/>
      <c r="BF146" s="233"/>
      <c r="BG146" s="233"/>
      <c r="BH146" s="233"/>
      <c r="BI146" s="233"/>
      <c r="BJ146" s="233"/>
      <c r="BK146" s="233"/>
    </row>
    <row r="147" spans="1:63">
      <c r="A147" s="233"/>
      <c r="B147" s="272"/>
      <c r="C147" s="233"/>
      <c r="D147" s="272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  <c r="AA147" s="233"/>
      <c r="AB147" s="233"/>
      <c r="AC147" s="233"/>
      <c r="AD147" s="233"/>
      <c r="AE147" s="233"/>
      <c r="AF147" s="233"/>
      <c r="AG147" s="233"/>
      <c r="AH147" s="233"/>
      <c r="AI147" s="233"/>
      <c r="AJ147" s="233"/>
      <c r="AK147" s="233"/>
      <c r="AL147" s="233"/>
      <c r="AM147" s="233"/>
      <c r="AN147" s="233"/>
      <c r="AO147" s="233"/>
      <c r="AP147" s="233"/>
      <c r="AQ147" s="233"/>
      <c r="AR147" s="233"/>
      <c r="AS147" s="233"/>
      <c r="AT147" s="233"/>
      <c r="AU147" s="233"/>
      <c r="AV147" s="233"/>
      <c r="AW147" s="233"/>
      <c r="AX147" s="233"/>
      <c r="AY147" s="233"/>
      <c r="AZ147" s="233"/>
      <c r="BA147" s="233"/>
      <c r="BB147" s="233"/>
      <c r="BC147" s="233"/>
      <c r="BD147" s="233"/>
      <c r="BE147" s="233"/>
      <c r="BF147" s="233"/>
      <c r="BG147" s="233"/>
      <c r="BH147" s="233"/>
      <c r="BI147" s="233"/>
      <c r="BJ147" s="233"/>
      <c r="BK147" s="233"/>
    </row>
    <row r="148" spans="1:63">
      <c r="A148" s="233"/>
      <c r="B148" s="272"/>
      <c r="C148" s="233"/>
      <c r="D148" s="272"/>
      <c r="E148" s="233"/>
      <c r="F148" s="233"/>
      <c r="G148" s="233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  <c r="AA148" s="233"/>
      <c r="AB148" s="233"/>
      <c r="AC148" s="233"/>
      <c r="AD148" s="233"/>
      <c r="AE148" s="233"/>
      <c r="AF148" s="233"/>
      <c r="AG148" s="233"/>
      <c r="AH148" s="233"/>
      <c r="AI148" s="233"/>
      <c r="AJ148" s="233"/>
      <c r="AK148" s="233"/>
      <c r="AL148" s="233"/>
      <c r="AM148" s="233"/>
      <c r="AN148" s="233"/>
      <c r="AO148" s="233"/>
      <c r="AP148" s="233"/>
      <c r="AQ148" s="233"/>
      <c r="AR148" s="233"/>
      <c r="AS148" s="233"/>
      <c r="AT148" s="233"/>
      <c r="AU148" s="233"/>
      <c r="AV148" s="233"/>
      <c r="AW148" s="233"/>
      <c r="AX148" s="233"/>
      <c r="AY148" s="233"/>
      <c r="AZ148" s="233"/>
      <c r="BA148" s="233"/>
      <c r="BB148" s="233"/>
      <c r="BC148" s="233"/>
      <c r="BD148" s="233"/>
      <c r="BE148" s="233"/>
      <c r="BF148" s="233"/>
      <c r="BG148" s="233"/>
      <c r="BH148" s="233"/>
      <c r="BI148" s="233"/>
      <c r="BJ148" s="233"/>
      <c r="BK148" s="233"/>
    </row>
    <row r="149" spans="1:63">
      <c r="A149" s="233"/>
      <c r="B149" s="272"/>
      <c r="C149" s="233"/>
      <c r="D149" s="272"/>
      <c r="E149" s="233"/>
      <c r="F149" s="233"/>
      <c r="G149" s="233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  <c r="AA149" s="233"/>
      <c r="AB149" s="233"/>
      <c r="AC149" s="233"/>
      <c r="AD149" s="233"/>
      <c r="AE149" s="233"/>
      <c r="AF149" s="233"/>
      <c r="AG149" s="233"/>
      <c r="AH149" s="233"/>
      <c r="AI149" s="233"/>
      <c r="AJ149" s="233"/>
      <c r="AK149" s="233"/>
      <c r="AL149" s="233"/>
      <c r="AM149" s="233"/>
      <c r="AN149" s="233"/>
      <c r="AO149" s="233"/>
      <c r="AP149" s="233"/>
      <c r="AQ149" s="233"/>
      <c r="AR149" s="233"/>
      <c r="AS149" s="233"/>
      <c r="AT149" s="233"/>
      <c r="AU149" s="233"/>
      <c r="AV149" s="233"/>
      <c r="AW149" s="233"/>
      <c r="AX149" s="233"/>
      <c r="AY149" s="233"/>
      <c r="AZ149" s="233"/>
      <c r="BA149" s="233"/>
      <c r="BB149" s="233"/>
      <c r="BC149" s="233"/>
      <c r="BD149" s="233"/>
      <c r="BE149" s="233"/>
      <c r="BF149" s="233"/>
      <c r="BG149" s="233"/>
      <c r="BH149" s="233"/>
      <c r="BI149" s="233"/>
      <c r="BJ149" s="233"/>
      <c r="BK149" s="23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49"/>
  <sheetViews>
    <sheetView workbookViewId="0">
      <pane xSplit="4" ySplit="2" topLeftCell="E4" activePane="bottomRight" state="frozen"/>
      <selection pane="topRight"/>
      <selection pane="bottomLeft"/>
      <selection pane="bottomRight" activeCell="A2" sqref="A2:XFD2"/>
    </sheetView>
  </sheetViews>
  <sheetFormatPr defaultRowHeight="14.5"/>
  <cols>
    <col min="1" max="1" width="35.7265625" bestFit="1" customWidth="1"/>
    <col min="2" max="2" width="4.08984375" bestFit="1" customWidth="1"/>
    <col min="3" max="3" width="12.90625" bestFit="1" customWidth="1"/>
    <col min="4" max="4" width="15.36328125" bestFit="1" customWidth="1"/>
  </cols>
  <sheetData>
    <row r="1" spans="1:57" s="56" customFormat="1">
      <c r="A1" s="60"/>
      <c r="B1" s="61"/>
      <c r="C1" s="62"/>
      <c r="D1" s="61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</row>
    <row r="2" spans="1:57">
      <c r="A2" s="77"/>
      <c r="B2" s="75"/>
      <c r="C2" s="75"/>
      <c r="D2" s="75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5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</row>
    <row r="3" spans="1:57" ht="18.5" customHeight="1">
      <c r="A3" s="67"/>
      <c r="B3" s="202" t="s">
        <v>42</v>
      </c>
      <c r="C3" s="203" t="s">
        <v>43</v>
      </c>
      <c r="D3" s="202" t="s">
        <v>3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</row>
    <row r="4" spans="1:57">
      <c r="A4" s="67" t="s">
        <v>395</v>
      </c>
      <c r="B4" s="204"/>
      <c r="C4" s="205"/>
      <c r="D4" s="204"/>
      <c r="E4" s="201"/>
      <c r="F4" s="201"/>
      <c r="G4" s="206"/>
      <c r="H4" s="207"/>
      <c r="I4" s="207"/>
      <c r="J4" s="207"/>
      <c r="K4" s="207"/>
      <c r="L4" s="207"/>
      <c r="M4" s="67"/>
      <c r="N4" s="67"/>
      <c r="O4" s="67"/>
      <c r="P4" s="67"/>
      <c r="Q4" s="67"/>
      <c r="R4" s="67"/>
      <c r="S4" s="67"/>
      <c r="T4" s="67"/>
      <c r="U4" s="67"/>
      <c r="V4" s="67"/>
      <c r="W4" s="200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</row>
    <row r="5" spans="1:57">
      <c r="A5" s="67" t="s">
        <v>396</v>
      </c>
      <c r="B5" s="204"/>
      <c r="C5" s="205"/>
      <c r="D5" s="204"/>
      <c r="E5" s="208" t="s">
        <v>397</v>
      </c>
      <c r="F5" s="208" t="s">
        <v>398</v>
      </c>
      <c r="G5" s="208" t="s">
        <v>399</v>
      </c>
      <c r="H5" s="208" t="s">
        <v>400</v>
      </c>
      <c r="I5" s="209" t="s">
        <v>401</v>
      </c>
      <c r="J5" s="209" t="s">
        <v>402</v>
      </c>
      <c r="K5" s="209" t="s">
        <v>204</v>
      </c>
      <c r="L5" s="209" t="s">
        <v>403</v>
      </c>
      <c r="M5" s="209" t="s">
        <v>291</v>
      </c>
      <c r="N5" s="209" t="s">
        <v>205</v>
      </c>
      <c r="O5" s="209" t="s">
        <v>404</v>
      </c>
      <c r="P5" s="209" t="s">
        <v>405</v>
      </c>
      <c r="Q5" s="67"/>
      <c r="R5" s="67"/>
      <c r="S5" s="67"/>
      <c r="T5" s="67"/>
      <c r="U5" s="67"/>
      <c r="V5" s="67"/>
      <c r="W5" s="200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</row>
    <row r="6" spans="1:57">
      <c r="A6" s="72" t="s">
        <v>321</v>
      </c>
      <c r="B6" s="159" t="s">
        <v>25</v>
      </c>
      <c r="C6" s="157" t="s">
        <v>406</v>
      </c>
      <c r="D6" s="159" t="s">
        <v>407</v>
      </c>
      <c r="E6" s="122">
        <f t="shared" ref="E6:E11" si="0">1-F6</f>
        <v>0</v>
      </c>
      <c r="F6" s="122">
        <f t="shared" ref="F6:F11" si="1">G6+H6</f>
        <v>1</v>
      </c>
      <c r="G6" s="122">
        <f t="shared" ref="G6:G11" si="2">1-H6-P6</f>
        <v>1</v>
      </c>
      <c r="H6" s="122">
        <f t="shared" ref="H6:H11" si="3">+SUM(I6:O6)</f>
        <v>0</v>
      </c>
      <c r="I6" s="210">
        <v>0</v>
      </c>
      <c r="J6" s="210">
        <v>0</v>
      </c>
      <c r="K6" s="210">
        <v>0</v>
      </c>
      <c r="L6" s="210">
        <v>0</v>
      </c>
      <c r="M6" s="210">
        <v>0</v>
      </c>
      <c r="N6" s="80">
        <v>0</v>
      </c>
      <c r="O6" s="76">
        <v>0</v>
      </c>
      <c r="P6" s="76">
        <v>0</v>
      </c>
      <c r="Q6" s="60"/>
      <c r="R6" s="60"/>
      <c r="S6" s="60"/>
      <c r="T6" s="60"/>
      <c r="U6" s="60"/>
      <c r="V6" s="60"/>
      <c r="W6" s="84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</row>
    <row r="7" spans="1:57">
      <c r="A7" s="72" t="s">
        <v>323</v>
      </c>
      <c r="B7" s="159" t="s">
        <v>25</v>
      </c>
      <c r="C7" s="157" t="s">
        <v>406</v>
      </c>
      <c r="D7" s="159" t="s">
        <v>408</v>
      </c>
      <c r="E7" s="122">
        <f t="shared" si="0"/>
        <v>0</v>
      </c>
      <c r="F7" s="122">
        <f t="shared" si="1"/>
        <v>1</v>
      </c>
      <c r="G7" s="122">
        <f t="shared" si="2"/>
        <v>0</v>
      </c>
      <c r="H7" s="122">
        <f t="shared" si="3"/>
        <v>1</v>
      </c>
      <c r="I7" s="211">
        <v>0</v>
      </c>
      <c r="J7" s="211">
        <v>0</v>
      </c>
      <c r="K7" s="211">
        <v>0</v>
      </c>
      <c r="L7" s="211">
        <v>0</v>
      </c>
      <c r="M7" s="211">
        <v>0</v>
      </c>
      <c r="N7" s="80">
        <v>0</v>
      </c>
      <c r="O7" s="76">
        <v>1</v>
      </c>
      <c r="P7" s="76">
        <v>0</v>
      </c>
      <c r="Q7" s="60"/>
      <c r="R7" s="60"/>
      <c r="S7" s="60"/>
      <c r="T7" s="60"/>
      <c r="U7" s="60"/>
      <c r="V7" s="60"/>
      <c r="W7" s="84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</row>
    <row r="8" spans="1:57">
      <c r="A8" s="72" t="s">
        <v>325</v>
      </c>
      <c r="B8" s="159" t="s">
        <v>25</v>
      </c>
      <c r="C8" s="157" t="s">
        <v>406</v>
      </c>
      <c r="D8" s="159" t="s">
        <v>409</v>
      </c>
      <c r="E8" s="122">
        <f t="shared" si="0"/>
        <v>1</v>
      </c>
      <c r="F8" s="122">
        <f t="shared" si="1"/>
        <v>0</v>
      </c>
      <c r="G8" s="122">
        <f t="shared" si="2"/>
        <v>0</v>
      </c>
      <c r="H8" s="122">
        <f t="shared" si="3"/>
        <v>0</v>
      </c>
      <c r="I8" s="211">
        <v>0</v>
      </c>
      <c r="J8" s="211">
        <v>0</v>
      </c>
      <c r="K8" s="211">
        <v>0</v>
      </c>
      <c r="L8" s="211">
        <v>0</v>
      </c>
      <c r="M8" s="211">
        <v>0</v>
      </c>
      <c r="N8" s="80">
        <v>0</v>
      </c>
      <c r="O8" s="76">
        <v>0</v>
      </c>
      <c r="P8" s="76">
        <v>1</v>
      </c>
      <c r="Q8" s="60"/>
      <c r="R8" s="60"/>
      <c r="S8" s="60"/>
      <c r="T8" s="60"/>
      <c r="U8" s="60"/>
      <c r="V8" s="60"/>
      <c r="W8" s="84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</row>
    <row r="9" spans="1:57">
      <c r="A9" s="72" t="s">
        <v>327</v>
      </c>
      <c r="B9" s="159" t="s">
        <v>25</v>
      </c>
      <c r="C9" s="157" t="s">
        <v>406</v>
      </c>
      <c r="D9" s="159" t="s">
        <v>410</v>
      </c>
      <c r="E9" s="122">
        <f t="shared" si="0"/>
        <v>1</v>
      </c>
      <c r="F9" s="122">
        <f t="shared" si="1"/>
        <v>0</v>
      </c>
      <c r="G9" s="122">
        <f t="shared" si="2"/>
        <v>0</v>
      </c>
      <c r="H9" s="122">
        <f t="shared" si="3"/>
        <v>0</v>
      </c>
      <c r="I9" s="211">
        <v>0</v>
      </c>
      <c r="J9" s="211">
        <v>0</v>
      </c>
      <c r="K9" s="211">
        <v>0</v>
      </c>
      <c r="L9" s="211">
        <v>0</v>
      </c>
      <c r="M9" s="211">
        <v>0</v>
      </c>
      <c r="N9" s="80">
        <v>0</v>
      </c>
      <c r="O9" s="76">
        <v>0</v>
      </c>
      <c r="P9" s="76">
        <v>1</v>
      </c>
      <c r="Q9" s="60"/>
      <c r="R9" s="60"/>
      <c r="S9" s="60"/>
      <c r="T9" s="60"/>
      <c r="U9" s="60"/>
      <c r="V9" s="60"/>
      <c r="W9" s="84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</row>
    <row r="10" spans="1:57">
      <c r="A10" s="72" t="s">
        <v>329</v>
      </c>
      <c r="B10" s="159" t="s">
        <v>25</v>
      </c>
      <c r="C10" s="157" t="s">
        <v>406</v>
      </c>
      <c r="D10" s="159" t="s">
        <v>411</v>
      </c>
      <c r="E10" s="122">
        <f t="shared" si="0"/>
        <v>0</v>
      </c>
      <c r="F10" s="122">
        <f t="shared" si="1"/>
        <v>1</v>
      </c>
      <c r="G10" s="122">
        <f t="shared" si="2"/>
        <v>0</v>
      </c>
      <c r="H10" s="122">
        <f t="shared" si="3"/>
        <v>1</v>
      </c>
      <c r="I10" s="211">
        <v>0</v>
      </c>
      <c r="J10" s="211">
        <v>0</v>
      </c>
      <c r="K10" s="211">
        <v>0</v>
      </c>
      <c r="L10" s="211">
        <v>0</v>
      </c>
      <c r="M10" s="211">
        <v>0</v>
      </c>
      <c r="N10" s="80">
        <v>0</v>
      </c>
      <c r="O10" s="76">
        <v>1</v>
      </c>
      <c r="P10" s="76">
        <v>0</v>
      </c>
      <c r="Q10" s="60"/>
      <c r="R10" s="60"/>
      <c r="S10" s="60"/>
      <c r="T10" s="60"/>
      <c r="U10" s="60"/>
      <c r="V10" s="60"/>
      <c r="W10" s="84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</row>
    <row r="11" spans="1:57">
      <c r="A11" s="72" t="s">
        <v>331</v>
      </c>
      <c r="B11" s="159" t="s">
        <v>25</v>
      </c>
      <c r="C11" s="157" t="s">
        <v>406</v>
      </c>
      <c r="D11" s="159" t="s">
        <v>412</v>
      </c>
      <c r="E11" s="122">
        <f t="shared" si="0"/>
        <v>0</v>
      </c>
      <c r="F11" s="122">
        <f t="shared" si="1"/>
        <v>1</v>
      </c>
      <c r="G11" s="122">
        <f t="shared" si="2"/>
        <v>1</v>
      </c>
      <c r="H11" s="122">
        <f t="shared" si="3"/>
        <v>0</v>
      </c>
      <c r="I11" s="211">
        <v>0</v>
      </c>
      <c r="J11" s="211">
        <v>0</v>
      </c>
      <c r="K11" s="211">
        <v>0</v>
      </c>
      <c r="L11" s="211">
        <v>0</v>
      </c>
      <c r="M11" s="211">
        <v>0</v>
      </c>
      <c r="N11" s="80">
        <v>0</v>
      </c>
      <c r="O11" s="76">
        <v>0</v>
      </c>
      <c r="P11" s="76">
        <v>0</v>
      </c>
      <c r="Q11" s="60"/>
      <c r="R11" s="60"/>
      <c r="S11" s="60"/>
      <c r="T11" s="60"/>
      <c r="U11" s="60"/>
      <c r="V11" s="60"/>
      <c r="W11" s="84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</row>
    <row r="12" spans="1:57" s="58" customFormat="1">
      <c r="A12" s="60"/>
      <c r="B12" s="61"/>
      <c r="C12" s="62"/>
      <c r="D12" s="61"/>
      <c r="E12" s="122"/>
      <c r="F12" s="122"/>
      <c r="G12" s="122"/>
      <c r="H12" s="122"/>
      <c r="I12" s="148"/>
      <c r="J12" s="148"/>
      <c r="K12" s="148"/>
      <c r="L12" s="148"/>
      <c r="M12" s="148"/>
      <c r="N12" s="149"/>
      <c r="O12" s="147"/>
      <c r="P12" s="147"/>
      <c r="Q12" s="60"/>
      <c r="R12" s="60"/>
      <c r="S12" s="60"/>
      <c r="T12" s="60"/>
      <c r="U12" s="60"/>
      <c r="V12" s="60"/>
      <c r="W12" s="84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</row>
    <row r="13" spans="1:57" ht="14.65" customHeight="1">
      <c r="A13" s="67" t="s">
        <v>395</v>
      </c>
      <c r="B13" s="67"/>
      <c r="C13" s="67"/>
      <c r="D13" s="67"/>
      <c r="E13" s="207"/>
      <c r="F13" s="207"/>
      <c r="G13" s="207"/>
      <c r="H13" s="20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</row>
    <row r="14" spans="1:57" ht="14.65" customHeight="1">
      <c r="A14" s="67" t="s">
        <v>84</v>
      </c>
      <c r="B14" s="67"/>
      <c r="C14" s="67"/>
      <c r="D14" s="67"/>
      <c r="E14" s="208" t="s">
        <v>397</v>
      </c>
      <c r="F14" s="208" t="s">
        <v>398</v>
      </c>
      <c r="G14" s="208" t="s">
        <v>399</v>
      </c>
      <c r="H14" s="208" t="s">
        <v>400</v>
      </c>
      <c r="I14" s="209" t="s">
        <v>401</v>
      </c>
      <c r="J14" s="209" t="s">
        <v>402</v>
      </c>
      <c r="K14" s="209" t="s">
        <v>204</v>
      </c>
      <c r="L14" s="209" t="s">
        <v>403</v>
      </c>
      <c r="M14" s="209" t="s">
        <v>291</v>
      </c>
      <c r="N14" s="209" t="s">
        <v>205</v>
      </c>
      <c r="O14" s="209" t="s">
        <v>404</v>
      </c>
      <c r="P14" s="209" t="s">
        <v>405</v>
      </c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</row>
    <row r="15" spans="1:57" ht="14.65" customHeight="1">
      <c r="A15" s="72" t="s">
        <v>337</v>
      </c>
      <c r="B15" s="72" t="s">
        <v>25</v>
      </c>
      <c r="C15" s="72" t="s">
        <v>406</v>
      </c>
      <c r="D15" s="72" t="s">
        <v>413</v>
      </c>
      <c r="E15" s="122">
        <f t="shared" ref="E15:E20" si="4">1-F15</f>
        <v>0</v>
      </c>
      <c r="F15" s="122">
        <f t="shared" ref="F15:F20" si="5">G15+H15</f>
        <v>1</v>
      </c>
      <c r="G15" s="122">
        <f t="shared" ref="G15:G20" si="6">1-H15</f>
        <v>1</v>
      </c>
      <c r="H15" s="122">
        <f t="shared" ref="H15:H20" si="7">+SUM(I15:O15)</f>
        <v>0</v>
      </c>
      <c r="I15" s="210">
        <v>0</v>
      </c>
      <c r="J15" s="210">
        <v>0</v>
      </c>
      <c r="K15" s="210">
        <v>0</v>
      </c>
      <c r="L15" s="210">
        <v>0</v>
      </c>
      <c r="M15" s="210">
        <v>0</v>
      </c>
      <c r="N15" s="80">
        <v>0</v>
      </c>
      <c r="O15" s="76">
        <v>0</v>
      </c>
      <c r="P15" s="76">
        <v>0</v>
      </c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</row>
    <row r="16" spans="1:57">
      <c r="A16" s="72" t="s">
        <v>339</v>
      </c>
      <c r="B16" s="72" t="s">
        <v>25</v>
      </c>
      <c r="C16" s="72" t="s">
        <v>406</v>
      </c>
      <c r="D16" s="72" t="s">
        <v>414</v>
      </c>
      <c r="E16" s="122">
        <f t="shared" si="4"/>
        <v>0</v>
      </c>
      <c r="F16" s="122">
        <f t="shared" si="5"/>
        <v>1</v>
      </c>
      <c r="G16" s="122">
        <f t="shared" si="6"/>
        <v>0</v>
      </c>
      <c r="H16" s="122">
        <f t="shared" si="7"/>
        <v>1</v>
      </c>
      <c r="I16" s="211">
        <v>0.25</v>
      </c>
      <c r="J16" s="211">
        <v>0.25</v>
      </c>
      <c r="K16" s="211">
        <v>0.25</v>
      </c>
      <c r="L16" s="211">
        <v>0</v>
      </c>
      <c r="M16" s="211">
        <v>0.25</v>
      </c>
      <c r="N16" s="80">
        <v>0</v>
      </c>
      <c r="O16" s="76">
        <v>0</v>
      </c>
      <c r="P16" s="76">
        <v>0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</row>
    <row r="17" spans="1:57">
      <c r="A17" s="72" t="s">
        <v>341</v>
      </c>
      <c r="B17" s="72" t="s">
        <v>25</v>
      </c>
      <c r="C17" s="72" t="s">
        <v>406</v>
      </c>
      <c r="D17" s="72" t="s">
        <v>415</v>
      </c>
      <c r="E17" s="122">
        <f t="shared" si="4"/>
        <v>0</v>
      </c>
      <c r="F17" s="122">
        <f t="shared" si="5"/>
        <v>1</v>
      </c>
      <c r="G17" s="122">
        <f t="shared" si="6"/>
        <v>0</v>
      </c>
      <c r="H17" s="122">
        <f t="shared" si="7"/>
        <v>1</v>
      </c>
      <c r="I17" s="211">
        <v>0.25</v>
      </c>
      <c r="J17" s="211">
        <v>0.25</v>
      </c>
      <c r="K17" s="211">
        <v>0.25</v>
      </c>
      <c r="L17" s="211">
        <v>0</v>
      </c>
      <c r="M17" s="211">
        <v>0.25</v>
      </c>
      <c r="N17" s="80">
        <v>0</v>
      </c>
      <c r="O17" s="76">
        <v>0</v>
      </c>
      <c r="P17" s="76">
        <v>0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</row>
    <row r="18" spans="1:57">
      <c r="A18" s="72" t="s">
        <v>343</v>
      </c>
      <c r="B18" s="72" t="s">
        <v>25</v>
      </c>
      <c r="C18" s="72" t="s">
        <v>406</v>
      </c>
      <c r="D18" s="72" t="s">
        <v>416</v>
      </c>
      <c r="E18" s="122">
        <f t="shared" si="4"/>
        <v>0</v>
      </c>
      <c r="F18" s="122">
        <f t="shared" si="5"/>
        <v>1</v>
      </c>
      <c r="G18" s="122">
        <f t="shared" si="6"/>
        <v>0</v>
      </c>
      <c r="H18" s="122">
        <f t="shared" si="7"/>
        <v>1</v>
      </c>
      <c r="I18" s="211">
        <v>0.25</v>
      </c>
      <c r="J18" s="211">
        <v>0.25</v>
      </c>
      <c r="K18" s="211">
        <v>0.25</v>
      </c>
      <c r="L18" s="211">
        <v>0</v>
      </c>
      <c r="M18" s="211">
        <v>0.25</v>
      </c>
      <c r="N18" s="80">
        <v>0</v>
      </c>
      <c r="O18" s="76">
        <v>0</v>
      </c>
      <c r="P18" s="76">
        <v>0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</row>
    <row r="19" spans="1:57">
      <c r="A19" s="72" t="s">
        <v>345</v>
      </c>
      <c r="B19" s="72" t="s">
        <v>25</v>
      </c>
      <c r="C19" s="72" t="s">
        <v>406</v>
      </c>
      <c r="D19" s="72" t="s">
        <v>417</v>
      </c>
      <c r="E19" s="122">
        <f t="shared" si="4"/>
        <v>0</v>
      </c>
      <c r="F19" s="122">
        <f t="shared" si="5"/>
        <v>1</v>
      </c>
      <c r="G19" s="122">
        <f t="shared" si="6"/>
        <v>0</v>
      </c>
      <c r="H19" s="122">
        <f t="shared" si="7"/>
        <v>1</v>
      </c>
      <c r="I19" s="211">
        <v>0.25</v>
      </c>
      <c r="J19" s="211">
        <v>0.25</v>
      </c>
      <c r="K19" s="211">
        <v>0.25</v>
      </c>
      <c r="L19" s="211">
        <v>0</v>
      </c>
      <c r="M19" s="211">
        <v>0.25</v>
      </c>
      <c r="N19" s="80">
        <v>0</v>
      </c>
      <c r="O19" s="76">
        <v>0</v>
      </c>
      <c r="P19" s="76">
        <v>0</v>
      </c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</row>
    <row r="20" spans="1:57">
      <c r="A20" s="72" t="s">
        <v>347</v>
      </c>
      <c r="B20" s="72" t="s">
        <v>25</v>
      </c>
      <c r="C20" s="72" t="s">
        <v>406</v>
      </c>
      <c r="D20" s="72" t="s">
        <v>418</v>
      </c>
      <c r="E20" s="122">
        <f t="shared" si="4"/>
        <v>0</v>
      </c>
      <c r="F20" s="122">
        <f t="shared" si="5"/>
        <v>1</v>
      </c>
      <c r="G20" s="122">
        <f t="shared" si="6"/>
        <v>0</v>
      </c>
      <c r="H20" s="122">
        <f t="shared" si="7"/>
        <v>1</v>
      </c>
      <c r="I20" s="211">
        <v>0</v>
      </c>
      <c r="J20" s="211">
        <v>0</v>
      </c>
      <c r="K20" s="211">
        <v>0.5</v>
      </c>
      <c r="L20" s="211">
        <v>0</v>
      </c>
      <c r="M20" s="211">
        <v>0.5</v>
      </c>
      <c r="N20" s="80">
        <v>0</v>
      </c>
      <c r="O20" s="76">
        <v>0</v>
      </c>
      <c r="P20" s="76">
        <v>0</v>
      </c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</row>
    <row r="21" spans="1:57" s="57" customFormat="1">
      <c r="A21" s="60"/>
      <c r="B21" s="61"/>
      <c r="C21" s="62"/>
      <c r="D21" s="61"/>
      <c r="E21" s="122"/>
      <c r="F21" s="122"/>
      <c r="G21" s="122"/>
      <c r="H21" s="122"/>
      <c r="I21" s="148"/>
      <c r="J21" s="148"/>
      <c r="K21" s="148"/>
      <c r="L21" s="148"/>
      <c r="M21" s="148"/>
      <c r="N21" s="149"/>
      <c r="O21" s="147"/>
      <c r="P21" s="147"/>
      <c r="Q21" s="60"/>
      <c r="R21" s="60"/>
      <c r="S21" s="60"/>
      <c r="T21" s="60"/>
      <c r="U21" s="60"/>
      <c r="V21" s="60"/>
      <c r="W21" s="84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</row>
    <row r="22" spans="1:57" ht="14.65" customHeight="1">
      <c r="A22" s="67" t="s">
        <v>395</v>
      </c>
      <c r="B22" s="204"/>
      <c r="C22" s="205"/>
      <c r="D22" s="204"/>
      <c r="E22" s="207"/>
      <c r="F22" s="207"/>
      <c r="G22" s="207"/>
      <c r="H22" s="20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</row>
    <row r="23" spans="1:57" ht="14.65" customHeight="1">
      <c r="A23" s="67" t="s">
        <v>419</v>
      </c>
      <c r="B23" s="204"/>
      <c r="C23" s="205"/>
      <c r="D23" s="204"/>
      <c r="E23" s="208" t="s">
        <v>397</v>
      </c>
      <c r="F23" s="208" t="s">
        <v>398</v>
      </c>
      <c r="G23" s="208" t="s">
        <v>399</v>
      </c>
      <c r="H23" s="208" t="s">
        <v>400</v>
      </c>
      <c r="I23" s="209" t="s">
        <v>401</v>
      </c>
      <c r="J23" s="209" t="s">
        <v>402</v>
      </c>
      <c r="K23" s="209" t="s">
        <v>204</v>
      </c>
      <c r="L23" s="209" t="s">
        <v>403</v>
      </c>
      <c r="M23" s="209" t="s">
        <v>291</v>
      </c>
      <c r="N23" s="209" t="s">
        <v>205</v>
      </c>
      <c r="O23" s="209" t="s">
        <v>404</v>
      </c>
      <c r="P23" s="209" t="s">
        <v>405</v>
      </c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</row>
    <row r="24" spans="1:57" ht="14.65" customHeight="1">
      <c r="A24" s="72" t="s">
        <v>350</v>
      </c>
      <c r="B24" s="159" t="s">
        <v>25</v>
      </c>
      <c r="C24" s="157" t="s">
        <v>406</v>
      </c>
      <c r="D24" s="159" t="s">
        <v>420</v>
      </c>
      <c r="E24" s="122">
        <f t="shared" ref="E24:E34" si="8">1-F24</f>
        <v>0</v>
      </c>
      <c r="F24" s="122">
        <f t="shared" ref="F24:F34" si="9">G24+H24</f>
        <v>1</v>
      </c>
      <c r="G24" s="122">
        <f t="shared" ref="G24:G34" si="10">1-H24</f>
        <v>1</v>
      </c>
      <c r="H24" s="122">
        <f t="shared" ref="H24:H34" si="11">+SUM(I24:O24)</f>
        <v>0</v>
      </c>
      <c r="I24" s="210">
        <v>0</v>
      </c>
      <c r="J24" s="210">
        <v>0</v>
      </c>
      <c r="K24" s="210">
        <v>0</v>
      </c>
      <c r="L24" s="210">
        <v>0</v>
      </c>
      <c r="M24" s="210">
        <v>0</v>
      </c>
      <c r="N24" s="80">
        <v>0</v>
      </c>
      <c r="O24" s="76">
        <v>0</v>
      </c>
      <c r="P24" s="76">
        <v>0</v>
      </c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</row>
    <row r="25" spans="1:57">
      <c r="A25" s="72" t="s">
        <v>352</v>
      </c>
      <c r="B25" s="159" t="s">
        <v>25</v>
      </c>
      <c r="C25" s="157" t="s">
        <v>406</v>
      </c>
      <c r="D25" s="159" t="s">
        <v>421</v>
      </c>
      <c r="E25" s="122">
        <f t="shared" si="8"/>
        <v>0</v>
      </c>
      <c r="F25" s="122">
        <f t="shared" si="9"/>
        <v>1</v>
      </c>
      <c r="G25" s="122">
        <f t="shared" si="10"/>
        <v>0</v>
      </c>
      <c r="H25" s="122">
        <f t="shared" si="11"/>
        <v>1</v>
      </c>
      <c r="I25" s="211">
        <v>0</v>
      </c>
      <c r="J25" s="211">
        <v>0</v>
      </c>
      <c r="K25" s="211">
        <v>0.5</v>
      </c>
      <c r="L25" s="211">
        <v>0.5</v>
      </c>
      <c r="M25" s="211">
        <v>0</v>
      </c>
      <c r="N25" s="80">
        <v>0</v>
      </c>
      <c r="O25" s="76">
        <v>0</v>
      </c>
      <c r="P25" s="76">
        <v>0</v>
      </c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</row>
    <row r="26" spans="1:57">
      <c r="A26" s="72" t="s">
        <v>354</v>
      </c>
      <c r="B26" s="159" t="s">
        <v>25</v>
      </c>
      <c r="C26" s="157" t="s">
        <v>406</v>
      </c>
      <c r="D26" s="159" t="s">
        <v>422</v>
      </c>
      <c r="E26" s="122">
        <f t="shared" si="8"/>
        <v>0</v>
      </c>
      <c r="F26" s="122">
        <f t="shared" si="9"/>
        <v>1</v>
      </c>
      <c r="G26" s="122">
        <f t="shared" si="10"/>
        <v>0</v>
      </c>
      <c r="H26" s="122">
        <f t="shared" si="11"/>
        <v>1</v>
      </c>
      <c r="I26" s="211">
        <v>0</v>
      </c>
      <c r="J26" s="211">
        <v>0</v>
      </c>
      <c r="K26" s="211">
        <v>0.5</v>
      </c>
      <c r="L26" s="211">
        <v>0.5</v>
      </c>
      <c r="M26" s="211">
        <v>0</v>
      </c>
      <c r="N26" s="80">
        <v>0</v>
      </c>
      <c r="O26" s="76">
        <v>0</v>
      </c>
      <c r="P26" s="76">
        <v>0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</row>
    <row r="27" spans="1:57">
      <c r="A27" s="72" t="s">
        <v>356</v>
      </c>
      <c r="B27" s="159" t="s">
        <v>25</v>
      </c>
      <c r="C27" s="157" t="s">
        <v>406</v>
      </c>
      <c r="D27" s="159" t="s">
        <v>423</v>
      </c>
      <c r="E27" s="122">
        <f t="shared" si="8"/>
        <v>0</v>
      </c>
      <c r="F27" s="122">
        <f t="shared" si="9"/>
        <v>1</v>
      </c>
      <c r="G27" s="122">
        <f t="shared" si="10"/>
        <v>1</v>
      </c>
      <c r="H27" s="122">
        <f t="shared" si="11"/>
        <v>0</v>
      </c>
      <c r="I27" s="211">
        <v>0</v>
      </c>
      <c r="J27" s="211">
        <v>0</v>
      </c>
      <c r="K27" s="211">
        <v>0</v>
      </c>
      <c r="L27" s="211">
        <v>0</v>
      </c>
      <c r="M27" s="211">
        <v>0</v>
      </c>
      <c r="N27" s="80">
        <v>0</v>
      </c>
      <c r="O27" s="76">
        <v>0</v>
      </c>
      <c r="P27" s="76">
        <v>0</v>
      </c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</row>
    <row r="28" spans="1:57">
      <c r="A28" s="72" t="s">
        <v>358</v>
      </c>
      <c r="B28" s="159" t="s">
        <v>25</v>
      </c>
      <c r="C28" s="157" t="s">
        <v>406</v>
      </c>
      <c r="D28" s="159" t="s">
        <v>424</v>
      </c>
      <c r="E28" s="122">
        <f t="shared" si="8"/>
        <v>0</v>
      </c>
      <c r="F28" s="122">
        <f t="shared" si="9"/>
        <v>1</v>
      </c>
      <c r="G28" s="122">
        <f t="shared" si="10"/>
        <v>1</v>
      </c>
      <c r="H28" s="122">
        <f t="shared" si="11"/>
        <v>0</v>
      </c>
      <c r="I28" s="211">
        <v>0</v>
      </c>
      <c r="J28" s="211">
        <v>0</v>
      </c>
      <c r="K28" s="211">
        <v>0</v>
      </c>
      <c r="L28" s="211">
        <v>0</v>
      </c>
      <c r="M28" s="211">
        <v>0</v>
      </c>
      <c r="N28" s="80">
        <v>0</v>
      </c>
      <c r="O28" s="76">
        <v>0</v>
      </c>
      <c r="P28" s="76">
        <v>0</v>
      </c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</row>
    <row r="29" spans="1:57">
      <c r="A29" s="72" t="s">
        <v>360</v>
      </c>
      <c r="B29" s="159" t="s">
        <v>25</v>
      </c>
      <c r="C29" s="157" t="s">
        <v>406</v>
      </c>
      <c r="D29" s="159" t="s">
        <v>425</v>
      </c>
      <c r="E29" s="122">
        <f t="shared" si="8"/>
        <v>0</v>
      </c>
      <c r="F29" s="122">
        <f t="shared" si="9"/>
        <v>1</v>
      </c>
      <c r="G29" s="122">
        <f t="shared" si="10"/>
        <v>1</v>
      </c>
      <c r="H29" s="122">
        <f t="shared" si="11"/>
        <v>0</v>
      </c>
      <c r="I29" s="211">
        <v>0</v>
      </c>
      <c r="J29" s="211">
        <v>0</v>
      </c>
      <c r="K29" s="211">
        <v>0</v>
      </c>
      <c r="L29" s="211">
        <v>0</v>
      </c>
      <c r="M29" s="211">
        <v>0</v>
      </c>
      <c r="N29" s="80">
        <v>0</v>
      </c>
      <c r="O29" s="76">
        <v>0</v>
      </c>
      <c r="P29" s="76">
        <v>0</v>
      </c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</row>
    <row r="30" spans="1:57">
      <c r="A30" s="72" t="s">
        <v>362</v>
      </c>
      <c r="B30" s="159" t="s">
        <v>25</v>
      </c>
      <c r="C30" s="157" t="s">
        <v>406</v>
      </c>
      <c r="D30" s="159" t="s">
        <v>426</v>
      </c>
      <c r="E30" s="122">
        <f t="shared" si="8"/>
        <v>0</v>
      </c>
      <c r="F30" s="122">
        <f t="shared" si="9"/>
        <v>1</v>
      </c>
      <c r="G30" s="122">
        <f t="shared" si="10"/>
        <v>1</v>
      </c>
      <c r="H30" s="122">
        <f t="shared" si="11"/>
        <v>0</v>
      </c>
      <c r="I30" s="211">
        <v>0</v>
      </c>
      <c r="J30" s="211">
        <v>0</v>
      </c>
      <c r="K30" s="211">
        <v>0</v>
      </c>
      <c r="L30" s="211">
        <v>0</v>
      </c>
      <c r="M30" s="211">
        <v>0</v>
      </c>
      <c r="N30" s="80">
        <v>0</v>
      </c>
      <c r="O30" s="76">
        <v>0</v>
      </c>
      <c r="P30" s="76">
        <v>0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</row>
    <row r="31" spans="1:57">
      <c r="A31" s="72" t="s">
        <v>364</v>
      </c>
      <c r="B31" s="159" t="s">
        <v>25</v>
      </c>
      <c r="C31" s="157" t="s">
        <v>406</v>
      </c>
      <c r="D31" s="159" t="s">
        <v>427</v>
      </c>
      <c r="E31" s="122">
        <f t="shared" si="8"/>
        <v>0</v>
      </c>
      <c r="F31" s="122">
        <f t="shared" si="9"/>
        <v>1</v>
      </c>
      <c r="G31" s="122">
        <f t="shared" si="10"/>
        <v>1</v>
      </c>
      <c r="H31" s="122">
        <f t="shared" si="11"/>
        <v>0</v>
      </c>
      <c r="I31" s="211">
        <v>0</v>
      </c>
      <c r="J31" s="211">
        <v>0</v>
      </c>
      <c r="K31" s="211">
        <v>0</v>
      </c>
      <c r="L31" s="211">
        <v>0</v>
      </c>
      <c r="M31" s="211">
        <v>0</v>
      </c>
      <c r="N31" s="80">
        <v>0</v>
      </c>
      <c r="O31" s="76">
        <v>0</v>
      </c>
      <c r="P31" s="76">
        <v>0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</row>
    <row r="32" spans="1:57">
      <c r="A32" s="72" t="s">
        <v>366</v>
      </c>
      <c r="B32" s="159" t="s">
        <v>25</v>
      </c>
      <c r="C32" s="157" t="s">
        <v>406</v>
      </c>
      <c r="D32" s="159" t="s">
        <v>428</v>
      </c>
      <c r="E32" s="122">
        <f t="shared" si="8"/>
        <v>0</v>
      </c>
      <c r="F32" s="122">
        <f t="shared" si="9"/>
        <v>1</v>
      </c>
      <c r="G32" s="122">
        <f t="shared" si="10"/>
        <v>1</v>
      </c>
      <c r="H32" s="122">
        <f t="shared" si="11"/>
        <v>0</v>
      </c>
      <c r="I32" s="211">
        <v>0</v>
      </c>
      <c r="J32" s="211">
        <v>0</v>
      </c>
      <c r="K32" s="211">
        <v>0</v>
      </c>
      <c r="L32" s="211">
        <v>0</v>
      </c>
      <c r="M32" s="211">
        <v>0</v>
      </c>
      <c r="N32" s="80">
        <v>0</v>
      </c>
      <c r="O32" s="76">
        <v>0</v>
      </c>
      <c r="P32" s="76">
        <v>0</v>
      </c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</row>
    <row r="33" spans="1:57">
      <c r="A33" s="72" t="s">
        <v>368</v>
      </c>
      <c r="B33" s="159" t="s">
        <v>25</v>
      </c>
      <c r="C33" s="157" t="s">
        <v>406</v>
      </c>
      <c r="D33" s="159" t="s">
        <v>429</v>
      </c>
      <c r="E33" s="122">
        <f t="shared" si="8"/>
        <v>0</v>
      </c>
      <c r="F33" s="122">
        <f t="shared" si="9"/>
        <v>1</v>
      </c>
      <c r="G33" s="122">
        <f t="shared" si="10"/>
        <v>1</v>
      </c>
      <c r="H33" s="122">
        <f t="shared" si="11"/>
        <v>0</v>
      </c>
      <c r="I33" s="211">
        <v>0</v>
      </c>
      <c r="J33" s="211">
        <v>0</v>
      </c>
      <c r="K33" s="211">
        <v>0</v>
      </c>
      <c r="L33" s="211">
        <v>0</v>
      </c>
      <c r="M33" s="211">
        <v>0</v>
      </c>
      <c r="N33" s="80">
        <v>0</v>
      </c>
      <c r="O33" s="76">
        <v>0</v>
      </c>
      <c r="P33" s="76">
        <v>0</v>
      </c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</row>
    <row r="34" spans="1:57">
      <c r="A34" s="72" t="s">
        <v>370</v>
      </c>
      <c r="B34" s="159" t="s">
        <v>25</v>
      </c>
      <c r="C34" s="157" t="s">
        <v>406</v>
      </c>
      <c r="D34" s="159" t="s">
        <v>430</v>
      </c>
      <c r="E34" s="122">
        <f t="shared" si="8"/>
        <v>0</v>
      </c>
      <c r="F34" s="122">
        <f t="shared" si="9"/>
        <v>1</v>
      </c>
      <c r="G34" s="122">
        <f t="shared" si="10"/>
        <v>1</v>
      </c>
      <c r="H34" s="122">
        <f t="shared" si="11"/>
        <v>0</v>
      </c>
      <c r="I34" s="211">
        <v>0</v>
      </c>
      <c r="J34" s="211">
        <v>0</v>
      </c>
      <c r="K34" s="211">
        <v>0</v>
      </c>
      <c r="L34" s="211">
        <v>0</v>
      </c>
      <c r="M34" s="211">
        <v>0</v>
      </c>
      <c r="N34" s="80">
        <v>0</v>
      </c>
      <c r="O34" s="76">
        <v>0</v>
      </c>
      <c r="P34" s="76">
        <v>0</v>
      </c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</row>
    <row r="35" spans="1:57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</row>
    <row r="36" spans="1:57" ht="14.65" customHeight="1">
      <c r="A36" s="72" t="s">
        <v>395</v>
      </c>
      <c r="B36" s="61"/>
      <c r="C36" s="62"/>
      <c r="D36" s="61"/>
      <c r="E36" s="185"/>
      <c r="F36" s="185"/>
      <c r="G36" s="185"/>
      <c r="H36" s="185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</row>
    <row r="37" spans="1:57" ht="14.65" customHeight="1">
      <c r="A37" s="72" t="s">
        <v>431</v>
      </c>
      <c r="B37" s="61"/>
      <c r="C37" s="62"/>
      <c r="D37" s="61"/>
      <c r="E37" s="212" t="s">
        <v>397</v>
      </c>
      <c r="F37" s="212" t="s">
        <v>398</v>
      </c>
      <c r="G37" s="212" t="s">
        <v>399</v>
      </c>
      <c r="H37" s="212" t="s">
        <v>400</v>
      </c>
      <c r="I37" s="213" t="s">
        <v>401</v>
      </c>
      <c r="J37" s="213" t="s">
        <v>402</v>
      </c>
      <c r="K37" s="213" t="s">
        <v>204</v>
      </c>
      <c r="L37" s="213" t="s">
        <v>403</v>
      </c>
      <c r="M37" s="213" t="s">
        <v>291</v>
      </c>
      <c r="N37" s="213" t="s">
        <v>205</v>
      </c>
      <c r="O37" s="213" t="s">
        <v>404</v>
      </c>
      <c r="P37" s="213" t="s">
        <v>405</v>
      </c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</row>
    <row r="38" spans="1:57" ht="14.65" customHeight="1">
      <c r="A38" s="72" t="s">
        <v>372</v>
      </c>
      <c r="B38" s="159" t="s">
        <v>25</v>
      </c>
      <c r="C38" s="157" t="s">
        <v>406</v>
      </c>
      <c r="D38" s="159" t="s">
        <v>432</v>
      </c>
      <c r="E38" s="122">
        <f t="shared" ref="E38:E49" si="12">1-F38</f>
        <v>0</v>
      </c>
      <c r="F38" s="122">
        <f t="shared" ref="F38:F49" si="13">G38+H38</f>
        <v>1</v>
      </c>
      <c r="G38" s="122">
        <f>1-H38</f>
        <v>1</v>
      </c>
      <c r="H38" s="122">
        <f t="shared" ref="H38:H49" si="14">+SUM(I38:O38)</f>
        <v>0</v>
      </c>
      <c r="I38" s="210">
        <v>0</v>
      </c>
      <c r="J38" s="210">
        <v>0</v>
      </c>
      <c r="K38" s="210">
        <v>0</v>
      </c>
      <c r="L38" s="210">
        <v>0</v>
      </c>
      <c r="M38" s="210">
        <v>0</v>
      </c>
      <c r="N38" s="80">
        <v>0</v>
      </c>
      <c r="O38" s="76">
        <v>0</v>
      </c>
      <c r="P38" s="76">
        <v>0</v>
      </c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</row>
    <row r="39" spans="1:57">
      <c r="A39" s="72" t="s">
        <v>374</v>
      </c>
      <c r="B39" s="159" t="s">
        <v>25</v>
      </c>
      <c r="C39" s="157" t="s">
        <v>406</v>
      </c>
      <c r="D39" s="159" t="s">
        <v>433</v>
      </c>
      <c r="E39" s="122">
        <f t="shared" si="12"/>
        <v>0</v>
      </c>
      <c r="F39" s="122">
        <f t="shared" si="13"/>
        <v>1</v>
      </c>
      <c r="G39" s="122">
        <f>1-H39</f>
        <v>1</v>
      </c>
      <c r="H39" s="122">
        <f t="shared" si="14"/>
        <v>0</v>
      </c>
      <c r="I39" s="211">
        <v>0</v>
      </c>
      <c r="J39" s="211">
        <v>0</v>
      </c>
      <c r="K39" s="211">
        <v>0</v>
      </c>
      <c r="L39" s="211">
        <v>0</v>
      </c>
      <c r="M39" s="211">
        <v>0</v>
      </c>
      <c r="N39" s="80">
        <v>0</v>
      </c>
      <c r="O39" s="76">
        <v>0</v>
      </c>
      <c r="P39" s="76">
        <v>0</v>
      </c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</row>
    <row r="40" spans="1:57">
      <c r="A40" s="72" t="s">
        <v>376</v>
      </c>
      <c r="B40" s="159" t="s">
        <v>25</v>
      </c>
      <c r="C40" s="157" t="s">
        <v>406</v>
      </c>
      <c r="D40" s="159" t="s">
        <v>434</v>
      </c>
      <c r="E40" s="122">
        <f t="shared" si="12"/>
        <v>0</v>
      </c>
      <c r="F40" s="122">
        <f t="shared" si="13"/>
        <v>1</v>
      </c>
      <c r="G40" s="122">
        <f>1-H40</f>
        <v>1</v>
      </c>
      <c r="H40" s="122">
        <f t="shared" si="14"/>
        <v>0</v>
      </c>
      <c r="I40" s="211">
        <v>0</v>
      </c>
      <c r="J40" s="211">
        <v>0</v>
      </c>
      <c r="K40" s="211">
        <v>0</v>
      </c>
      <c r="L40" s="211">
        <v>0</v>
      </c>
      <c r="M40" s="211">
        <v>0</v>
      </c>
      <c r="N40" s="80">
        <v>0</v>
      </c>
      <c r="O40" s="76">
        <v>0</v>
      </c>
      <c r="P40" s="76">
        <v>0</v>
      </c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</row>
    <row r="41" spans="1:57">
      <c r="A41" s="72" t="s">
        <v>378</v>
      </c>
      <c r="B41" s="159" t="s">
        <v>25</v>
      </c>
      <c r="C41" s="157" t="s">
        <v>406</v>
      </c>
      <c r="D41" s="159" t="s">
        <v>435</v>
      </c>
      <c r="E41" s="122">
        <f t="shared" si="12"/>
        <v>0</v>
      </c>
      <c r="F41" s="122">
        <f t="shared" si="13"/>
        <v>1</v>
      </c>
      <c r="G41" s="122">
        <f>1-H41</f>
        <v>0</v>
      </c>
      <c r="H41" s="122">
        <f t="shared" si="14"/>
        <v>1</v>
      </c>
      <c r="I41" s="211">
        <v>0.25</v>
      </c>
      <c r="J41" s="211">
        <v>0.25</v>
      </c>
      <c r="K41" s="211">
        <v>0.25</v>
      </c>
      <c r="L41" s="211">
        <v>0</v>
      </c>
      <c r="M41" s="211">
        <v>0.25</v>
      </c>
      <c r="N41" s="80">
        <v>0</v>
      </c>
      <c r="O41" s="76">
        <v>0</v>
      </c>
      <c r="P41" s="76">
        <v>0</v>
      </c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</row>
    <row r="42" spans="1:57">
      <c r="A42" s="72" t="s">
        <v>380</v>
      </c>
      <c r="B42" s="159" t="s">
        <v>25</v>
      </c>
      <c r="C42" s="157" t="s">
        <v>406</v>
      </c>
      <c r="D42" s="159" t="s">
        <v>436</v>
      </c>
      <c r="E42" s="122">
        <f t="shared" si="12"/>
        <v>0</v>
      </c>
      <c r="F42" s="122">
        <f t="shared" si="13"/>
        <v>1</v>
      </c>
      <c r="G42" s="122">
        <f>1-H42</f>
        <v>1</v>
      </c>
      <c r="H42" s="122">
        <f t="shared" si="14"/>
        <v>0</v>
      </c>
      <c r="I42" s="211">
        <v>0</v>
      </c>
      <c r="J42" s="211">
        <v>0</v>
      </c>
      <c r="K42" s="211">
        <v>0</v>
      </c>
      <c r="L42" s="211">
        <v>0</v>
      </c>
      <c r="M42" s="211">
        <v>0</v>
      </c>
      <c r="N42" s="80">
        <v>0</v>
      </c>
      <c r="O42" s="76">
        <v>0</v>
      </c>
      <c r="P42" s="76">
        <v>0</v>
      </c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</row>
    <row r="43" spans="1:57">
      <c r="A43" s="72" t="s">
        <v>381</v>
      </c>
      <c r="B43" s="159" t="s">
        <v>25</v>
      </c>
      <c r="C43" s="157" t="s">
        <v>406</v>
      </c>
      <c r="D43" s="159" t="s">
        <v>437</v>
      </c>
      <c r="E43" s="122">
        <f t="shared" si="12"/>
        <v>0</v>
      </c>
      <c r="F43" s="122">
        <f t="shared" si="13"/>
        <v>1</v>
      </c>
      <c r="G43" s="122">
        <f>1-H43-P43</f>
        <v>1</v>
      </c>
      <c r="H43" s="122">
        <f t="shared" si="14"/>
        <v>0</v>
      </c>
      <c r="I43" s="211">
        <v>0</v>
      </c>
      <c r="J43" s="211">
        <v>0</v>
      </c>
      <c r="K43" s="211">
        <v>0</v>
      </c>
      <c r="L43" s="211">
        <v>0</v>
      </c>
      <c r="M43" s="211">
        <v>0</v>
      </c>
      <c r="N43" s="80">
        <v>0</v>
      </c>
      <c r="O43" s="76">
        <v>0</v>
      </c>
      <c r="P43" s="76">
        <v>0</v>
      </c>
      <c r="Q43" s="60"/>
      <c r="R43" s="60"/>
      <c r="S43" s="60"/>
      <c r="T43" s="60"/>
      <c r="U43" s="60"/>
      <c r="V43" s="60"/>
      <c r="W43" s="84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</row>
    <row r="44" spans="1:57">
      <c r="A44" s="72" t="s">
        <v>383</v>
      </c>
      <c r="B44" s="159" t="s">
        <v>25</v>
      </c>
      <c r="C44" s="157" t="s">
        <v>406</v>
      </c>
      <c r="D44" s="159" t="s">
        <v>438</v>
      </c>
      <c r="E44" s="122">
        <f t="shared" si="12"/>
        <v>0</v>
      </c>
      <c r="F44" s="122">
        <f t="shared" si="13"/>
        <v>1</v>
      </c>
      <c r="G44" s="122">
        <f t="shared" ref="G44:G49" si="15">1-H44</f>
        <v>0</v>
      </c>
      <c r="H44" s="122">
        <f t="shared" si="14"/>
        <v>1</v>
      </c>
      <c r="I44" s="211">
        <v>0.25</v>
      </c>
      <c r="J44" s="211">
        <v>0.25</v>
      </c>
      <c r="K44" s="211">
        <v>0.25</v>
      </c>
      <c r="L44" s="211">
        <v>0</v>
      </c>
      <c r="M44" s="211">
        <v>0.25</v>
      </c>
      <c r="N44" s="80">
        <v>0</v>
      </c>
      <c r="O44" s="76">
        <v>0</v>
      </c>
      <c r="P44" s="76">
        <v>0</v>
      </c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</row>
    <row r="45" spans="1:57">
      <c r="A45" s="72" t="s">
        <v>385</v>
      </c>
      <c r="B45" s="159" t="s">
        <v>25</v>
      </c>
      <c r="C45" s="157" t="s">
        <v>406</v>
      </c>
      <c r="D45" s="159" t="s">
        <v>439</v>
      </c>
      <c r="E45" s="122">
        <f t="shared" si="12"/>
        <v>0</v>
      </c>
      <c r="F45" s="122">
        <f t="shared" si="13"/>
        <v>1</v>
      </c>
      <c r="G45" s="122">
        <f t="shared" si="15"/>
        <v>1</v>
      </c>
      <c r="H45" s="122">
        <f t="shared" si="14"/>
        <v>0</v>
      </c>
      <c r="I45" s="211">
        <v>0</v>
      </c>
      <c r="J45" s="211">
        <v>0</v>
      </c>
      <c r="K45" s="211">
        <v>0</v>
      </c>
      <c r="L45" s="211">
        <v>0</v>
      </c>
      <c r="M45" s="211">
        <v>0</v>
      </c>
      <c r="N45" s="80">
        <v>0</v>
      </c>
      <c r="O45" s="76">
        <v>0</v>
      </c>
      <c r="P45" s="76">
        <v>0</v>
      </c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</row>
    <row r="46" spans="1:57">
      <c r="A46" s="72" t="s">
        <v>387</v>
      </c>
      <c r="B46" s="159" t="s">
        <v>25</v>
      </c>
      <c r="C46" s="157" t="s">
        <v>406</v>
      </c>
      <c r="D46" s="159" t="s">
        <v>440</v>
      </c>
      <c r="E46" s="122">
        <f t="shared" si="12"/>
        <v>0</v>
      </c>
      <c r="F46" s="122">
        <f t="shared" si="13"/>
        <v>1</v>
      </c>
      <c r="G46" s="122">
        <f t="shared" si="15"/>
        <v>0</v>
      </c>
      <c r="H46" s="122">
        <f t="shared" si="14"/>
        <v>1</v>
      </c>
      <c r="I46" s="211">
        <v>0.25</v>
      </c>
      <c r="J46" s="211">
        <v>0.25</v>
      </c>
      <c r="K46" s="211">
        <v>0.25</v>
      </c>
      <c r="L46" s="211">
        <v>0</v>
      </c>
      <c r="M46" s="211">
        <v>0.25</v>
      </c>
      <c r="N46" s="80">
        <v>0</v>
      </c>
      <c r="O46" s="76">
        <v>0</v>
      </c>
      <c r="P46" s="76">
        <v>0</v>
      </c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</row>
    <row r="47" spans="1:57">
      <c r="A47" s="72" t="s">
        <v>389</v>
      </c>
      <c r="B47" s="159" t="s">
        <v>25</v>
      </c>
      <c r="C47" s="157" t="s">
        <v>406</v>
      </c>
      <c r="D47" s="159" t="s">
        <v>441</v>
      </c>
      <c r="E47" s="122">
        <f t="shared" si="12"/>
        <v>0</v>
      </c>
      <c r="F47" s="122">
        <f t="shared" si="13"/>
        <v>1</v>
      </c>
      <c r="G47" s="122">
        <f t="shared" si="15"/>
        <v>0</v>
      </c>
      <c r="H47" s="122">
        <f t="shared" si="14"/>
        <v>1</v>
      </c>
      <c r="I47" s="211">
        <v>0.25</v>
      </c>
      <c r="J47" s="211">
        <v>0.25</v>
      </c>
      <c r="K47" s="211">
        <v>0.25</v>
      </c>
      <c r="L47" s="211">
        <v>0</v>
      </c>
      <c r="M47" s="211">
        <v>0.25</v>
      </c>
      <c r="N47" s="80">
        <v>0</v>
      </c>
      <c r="O47" s="76">
        <v>0</v>
      </c>
      <c r="P47" s="76">
        <v>0</v>
      </c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</row>
    <row r="48" spans="1:57">
      <c r="A48" s="72" t="s">
        <v>391</v>
      </c>
      <c r="B48" s="159" t="s">
        <v>25</v>
      </c>
      <c r="C48" s="157" t="s">
        <v>406</v>
      </c>
      <c r="D48" s="159" t="s">
        <v>442</v>
      </c>
      <c r="E48" s="122">
        <f t="shared" si="12"/>
        <v>0</v>
      </c>
      <c r="F48" s="122">
        <f t="shared" si="13"/>
        <v>1</v>
      </c>
      <c r="G48" s="122">
        <f t="shared" si="15"/>
        <v>1</v>
      </c>
      <c r="H48" s="122">
        <f t="shared" si="14"/>
        <v>0</v>
      </c>
      <c r="I48" s="211">
        <v>0</v>
      </c>
      <c r="J48" s="211">
        <v>0</v>
      </c>
      <c r="K48" s="211">
        <v>0</v>
      </c>
      <c r="L48" s="211">
        <v>0</v>
      </c>
      <c r="M48" s="211">
        <v>0</v>
      </c>
      <c r="N48" s="80">
        <v>0</v>
      </c>
      <c r="O48" s="76">
        <v>0</v>
      </c>
      <c r="P48" s="76">
        <v>0</v>
      </c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</row>
    <row r="49" spans="1:57">
      <c r="A49" s="72" t="s">
        <v>393</v>
      </c>
      <c r="B49" s="159" t="s">
        <v>25</v>
      </c>
      <c r="C49" s="157" t="s">
        <v>406</v>
      </c>
      <c r="D49" s="159" t="s">
        <v>443</v>
      </c>
      <c r="E49" s="122">
        <f t="shared" si="12"/>
        <v>0</v>
      </c>
      <c r="F49" s="122">
        <f t="shared" si="13"/>
        <v>1</v>
      </c>
      <c r="G49" s="122">
        <f t="shared" si="15"/>
        <v>1</v>
      </c>
      <c r="H49" s="122">
        <f t="shared" si="14"/>
        <v>0</v>
      </c>
      <c r="I49" s="211">
        <v>0</v>
      </c>
      <c r="J49" s="211">
        <v>0</v>
      </c>
      <c r="K49" s="211">
        <v>0</v>
      </c>
      <c r="L49" s="211">
        <v>0</v>
      </c>
      <c r="M49" s="211">
        <v>0</v>
      </c>
      <c r="N49" s="80">
        <v>0</v>
      </c>
      <c r="O49" s="76">
        <v>0</v>
      </c>
      <c r="P49" s="76">
        <v>0</v>
      </c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4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5"/>
  <cols>
    <col min="1" max="1" width="11" customWidth="1"/>
    <col min="2" max="2" width="30" customWidth="1"/>
    <col min="3" max="3" width="12" customWidth="1"/>
    <col min="4" max="4" width="34" customWidth="1"/>
    <col min="5" max="7" width="12" customWidth="1"/>
    <col min="8" max="8" width="2" customWidth="1"/>
    <col min="9" max="11" width="12" customWidth="1"/>
    <col min="12" max="12" width="2" customWidth="1"/>
    <col min="13" max="15" width="12" customWidth="1"/>
  </cols>
  <sheetData>
    <row r="1" spans="1:15">
      <c r="E1" s="306" t="s">
        <v>444</v>
      </c>
      <c r="I1" s="307" t="s">
        <v>445</v>
      </c>
      <c r="M1" s="308" t="s">
        <v>446</v>
      </c>
    </row>
    <row r="2" spans="1:15">
      <c r="E2" s="309">
        <v>46203</v>
      </c>
      <c r="F2" s="309">
        <v>46295</v>
      </c>
      <c r="G2" s="309">
        <v>46387</v>
      </c>
      <c r="I2" s="309">
        <v>46203</v>
      </c>
      <c r="J2" s="309">
        <v>46295</v>
      </c>
      <c r="K2" s="309">
        <v>46387</v>
      </c>
      <c r="M2" s="309">
        <v>46203</v>
      </c>
      <c r="N2" s="309">
        <v>46295</v>
      </c>
      <c r="O2" s="309">
        <v>46387</v>
      </c>
    </row>
    <row r="3" spans="1:15">
      <c r="A3" s="310"/>
      <c r="B3" s="310"/>
      <c r="C3" s="310"/>
      <c r="D3" s="310"/>
      <c r="E3" s="310" t="s">
        <v>447</v>
      </c>
      <c r="F3" s="310" t="s">
        <v>448</v>
      </c>
      <c r="G3" s="310" t="s">
        <v>449</v>
      </c>
      <c r="H3" s="310"/>
      <c r="I3" s="310" t="s">
        <v>447</v>
      </c>
      <c r="J3" s="310" t="s">
        <v>448</v>
      </c>
      <c r="K3" s="310" t="s">
        <v>449</v>
      </c>
      <c r="L3" s="310"/>
      <c r="M3" s="310" t="s">
        <v>447</v>
      </c>
      <c r="N3" s="310" t="s">
        <v>448</v>
      </c>
      <c r="O3" s="310" t="s">
        <v>449</v>
      </c>
    </row>
    <row r="4" spans="1:15">
      <c r="A4" s="310" t="s">
        <v>450</v>
      </c>
      <c r="B4" s="310" t="s">
        <v>43</v>
      </c>
      <c r="C4" s="310" t="s">
        <v>3</v>
      </c>
      <c r="D4" s="310" t="s">
        <v>451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</row>
    <row r="5" spans="1:15">
      <c r="A5" t="s">
        <v>11</v>
      </c>
      <c r="B5" t="s">
        <v>222</v>
      </c>
      <c r="D5" t="s">
        <v>221</v>
      </c>
      <c r="E5" s="311">
        <v>247680</v>
      </c>
      <c r="F5" s="311">
        <v>290880</v>
      </c>
      <c r="G5" s="311">
        <v>545435</v>
      </c>
      <c r="I5" s="311">
        <v>247680</v>
      </c>
      <c r="J5" s="311">
        <v>290880</v>
      </c>
      <c r="K5" s="311">
        <v>545435</v>
      </c>
      <c r="M5" s="311">
        <f t="shared" ref="M5:M34" si="0">IF(E5="","",E5-I5)</f>
        <v>0</v>
      </c>
      <c r="N5" s="311">
        <f t="shared" ref="N5:N34" si="1">IF(F5="","",F5-J5)</f>
        <v>0</v>
      </c>
      <c r="O5" s="311">
        <f t="shared" ref="O5:O34" si="2">IF(G5="","",G5-K5)</f>
        <v>0</v>
      </c>
    </row>
    <row r="6" spans="1:15">
      <c r="A6" t="s">
        <v>11</v>
      </c>
      <c r="B6" t="s">
        <v>10</v>
      </c>
      <c r="D6" t="s">
        <v>225</v>
      </c>
      <c r="E6" s="311">
        <v>902637.28947368416</v>
      </c>
      <c r="F6" s="311">
        <v>948110.97368421056</v>
      </c>
      <c r="G6" s="311">
        <v>2385063.6052631582</v>
      </c>
      <c r="I6" s="311">
        <v>902637.28947368416</v>
      </c>
      <c r="J6" s="311">
        <v>948110.97368421056</v>
      </c>
      <c r="K6" s="311">
        <v>2385063.6052631582</v>
      </c>
      <c r="M6" s="311">
        <f t="shared" si="0"/>
        <v>0</v>
      </c>
      <c r="N6" s="311">
        <f t="shared" si="1"/>
        <v>0</v>
      </c>
      <c r="O6" s="311">
        <f t="shared" si="2"/>
        <v>0</v>
      </c>
    </row>
    <row r="7" spans="1:15">
      <c r="A7" t="s">
        <v>11</v>
      </c>
      <c r="B7" t="s">
        <v>227</v>
      </c>
      <c r="D7" t="s">
        <v>226</v>
      </c>
      <c r="E7" s="311">
        <v>-1170394.6850000001</v>
      </c>
      <c r="F7" s="311">
        <v>-1177800.7775000001</v>
      </c>
      <c r="G7" s="311">
        <v>-16206.87000000011</v>
      </c>
      <c r="I7" s="311">
        <v>-1170394.6850000001</v>
      </c>
      <c r="J7" s="311">
        <v>-1177800.7775000001</v>
      </c>
      <c r="K7" s="311">
        <v>-16206.87000000011</v>
      </c>
      <c r="M7" s="311">
        <f t="shared" si="0"/>
        <v>0</v>
      </c>
      <c r="N7" s="311">
        <f t="shared" si="1"/>
        <v>0</v>
      </c>
      <c r="O7" s="311">
        <f t="shared" si="2"/>
        <v>0</v>
      </c>
    </row>
    <row r="8" spans="1:15">
      <c r="A8" t="s">
        <v>11</v>
      </c>
      <c r="B8" t="s">
        <v>13</v>
      </c>
      <c r="D8" t="s">
        <v>240</v>
      </c>
      <c r="E8" s="311">
        <v>398173.6519736842</v>
      </c>
      <c r="F8" s="311">
        <v>400447.33618421049</v>
      </c>
      <c r="G8" s="311">
        <v>662529.63026315777</v>
      </c>
      <c r="I8" s="311">
        <v>398173.6519736842</v>
      </c>
      <c r="J8" s="311">
        <v>400447.33618421049</v>
      </c>
      <c r="K8" s="311">
        <v>662529.63026315777</v>
      </c>
      <c r="M8" s="311">
        <f t="shared" si="0"/>
        <v>0</v>
      </c>
      <c r="N8" s="311">
        <f t="shared" si="1"/>
        <v>0</v>
      </c>
      <c r="O8" s="311">
        <f t="shared" si="2"/>
        <v>0</v>
      </c>
    </row>
    <row r="9" spans="1:15">
      <c r="A9" t="s">
        <v>11</v>
      </c>
      <c r="B9" t="s">
        <v>252</v>
      </c>
      <c r="D9" t="s">
        <v>251</v>
      </c>
      <c r="E9" s="311">
        <v>247680</v>
      </c>
      <c r="F9" s="311">
        <v>290880</v>
      </c>
      <c r="G9" s="311">
        <v>545435</v>
      </c>
      <c r="I9" s="311">
        <v>247680</v>
      </c>
      <c r="J9" s="311">
        <v>290880</v>
      </c>
      <c r="K9" s="311">
        <v>545435</v>
      </c>
      <c r="M9" s="311">
        <f t="shared" si="0"/>
        <v>0</v>
      </c>
      <c r="N9" s="311">
        <f t="shared" si="1"/>
        <v>0</v>
      </c>
      <c r="O9" s="311">
        <f t="shared" si="2"/>
        <v>0</v>
      </c>
    </row>
    <row r="10" spans="1:15">
      <c r="A10" t="s">
        <v>11</v>
      </c>
      <c r="B10" t="s">
        <v>254</v>
      </c>
      <c r="D10" t="s">
        <v>253</v>
      </c>
      <c r="E10" s="311">
        <v>144000</v>
      </c>
      <c r="F10" s="311">
        <v>144000</v>
      </c>
      <c r="G10" s="311">
        <v>403750</v>
      </c>
      <c r="I10" s="311">
        <v>144000</v>
      </c>
      <c r="J10" s="311">
        <v>144000</v>
      </c>
      <c r="K10" s="311">
        <v>403750</v>
      </c>
      <c r="M10" s="311">
        <f t="shared" si="0"/>
        <v>0</v>
      </c>
      <c r="N10" s="311">
        <f t="shared" si="1"/>
        <v>0</v>
      </c>
      <c r="O10" s="311">
        <f t="shared" si="2"/>
        <v>0</v>
      </c>
    </row>
    <row r="11" spans="1:15">
      <c r="A11" t="s">
        <v>11</v>
      </c>
      <c r="B11" t="s">
        <v>246</v>
      </c>
      <c r="D11" t="s">
        <v>452</v>
      </c>
      <c r="E11" s="311">
        <v>583052.45224999997</v>
      </c>
      <c r="F11" s="311">
        <v>425179.24712499999</v>
      </c>
      <c r="G11" s="311">
        <v>18621.379500000039</v>
      </c>
      <c r="I11" s="311">
        <v>583052.45224999997</v>
      </c>
      <c r="J11" s="311">
        <v>425179.24712499999</v>
      </c>
      <c r="K11" s="311">
        <v>18621.379500000039</v>
      </c>
      <c r="M11" s="311">
        <f t="shared" si="0"/>
        <v>0</v>
      </c>
      <c r="N11" s="311">
        <f t="shared" si="1"/>
        <v>0</v>
      </c>
      <c r="O11" s="311">
        <f t="shared" si="2"/>
        <v>0</v>
      </c>
    </row>
    <row r="12" spans="1:15">
      <c r="A12" t="s">
        <v>16</v>
      </c>
      <c r="B12" t="s">
        <v>222</v>
      </c>
      <c r="D12" t="s">
        <v>221</v>
      </c>
      <c r="E12" s="311">
        <v>85679.999999999985</v>
      </c>
      <c r="F12" s="311">
        <v>85679.999999999985</v>
      </c>
      <c r="G12" s="311">
        <v>116850</v>
      </c>
      <c r="I12" s="311">
        <v>85679.999999999985</v>
      </c>
      <c r="J12" s="311">
        <v>85679.999999999985</v>
      </c>
      <c r="K12" s="311">
        <v>116850</v>
      </c>
      <c r="M12" s="311">
        <f t="shared" si="0"/>
        <v>0</v>
      </c>
      <c r="N12" s="311">
        <f t="shared" si="1"/>
        <v>0</v>
      </c>
      <c r="O12" s="311">
        <f t="shared" si="2"/>
        <v>0</v>
      </c>
    </row>
    <row r="13" spans="1:15">
      <c r="A13" t="s">
        <v>16</v>
      </c>
      <c r="B13" t="s">
        <v>15</v>
      </c>
      <c r="D13" t="s">
        <v>294</v>
      </c>
      <c r="E13" s="311">
        <v>2473819.8070175429</v>
      </c>
      <c r="F13" s="311">
        <v>2205638.8070175429</v>
      </c>
      <c r="G13" s="311">
        <v>5828630.333333333</v>
      </c>
      <c r="I13" s="311">
        <v>2473819.8070175429</v>
      </c>
      <c r="J13" s="311">
        <v>2205638.8070175429</v>
      </c>
      <c r="K13" s="311">
        <v>5828630.333333333</v>
      </c>
      <c r="M13" s="311">
        <f t="shared" si="0"/>
        <v>0</v>
      </c>
      <c r="N13" s="311">
        <f t="shared" si="1"/>
        <v>0</v>
      </c>
      <c r="O13" s="311">
        <f t="shared" si="2"/>
        <v>0</v>
      </c>
    </row>
    <row r="14" spans="1:15">
      <c r="A14" t="s">
        <v>16</v>
      </c>
      <c r="B14" t="s">
        <v>227</v>
      </c>
      <c r="D14" t="s">
        <v>226</v>
      </c>
      <c r="E14" s="311">
        <v>-4470379.68</v>
      </c>
      <c r="F14" s="311">
        <v>-4201060.68</v>
      </c>
      <c r="G14" s="311">
        <v>-4929060.68</v>
      </c>
      <c r="I14" s="311">
        <v>-4470379.68</v>
      </c>
      <c r="J14" s="311">
        <v>-4201060.68</v>
      </c>
      <c r="K14" s="311">
        <v>-4929060.68</v>
      </c>
      <c r="M14" s="311">
        <f t="shared" si="0"/>
        <v>0</v>
      </c>
      <c r="N14" s="311">
        <f t="shared" si="1"/>
        <v>0</v>
      </c>
      <c r="O14" s="311">
        <f t="shared" si="2"/>
        <v>0</v>
      </c>
    </row>
    <row r="15" spans="1:15">
      <c r="A15" t="s">
        <v>16</v>
      </c>
      <c r="B15" t="s">
        <v>18</v>
      </c>
      <c r="D15" t="s">
        <v>295</v>
      </c>
      <c r="E15" s="311">
        <v>1015405.090350877</v>
      </c>
      <c r="F15" s="311">
        <v>935314.59035087726</v>
      </c>
      <c r="G15" s="311">
        <v>2208920.6166666662</v>
      </c>
      <c r="I15" s="311">
        <v>1015405.090350877</v>
      </c>
      <c r="J15" s="311">
        <v>935314.59035087726</v>
      </c>
      <c r="K15" s="311">
        <v>2208920.6166666662</v>
      </c>
      <c r="M15" s="311">
        <f t="shared" si="0"/>
        <v>0</v>
      </c>
      <c r="N15" s="311">
        <f t="shared" si="1"/>
        <v>0</v>
      </c>
      <c r="O15" s="311">
        <f t="shared" si="2"/>
        <v>0</v>
      </c>
    </row>
    <row r="16" spans="1:15">
      <c r="A16" t="s">
        <v>16</v>
      </c>
      <c r="B16" t="s">
        <v>252</v>
      </c>
      <c r="D16" t="s">
        <v>251</v>
      </c>
      <c r="E16" s="311">
        <v>85679.999999999985</v>
      </c>
      <c r="F16" s="311">
        <v>85679.999999999985</v>
      </c>
      <c r="G16" s="311">
        <v>116850</v>
      </c>
      <c r="I16" s="311">
        <v>85679.999999999985</v>
      </c>
      <c r="J16" s="311">
        <v>85679.999999999985</v>
      </c>
      <c r="K16" s="311">
        <v>116850</v>
      </c>
      <c r="M16" s="311">
        <f t="shared" si="0"/>
        <v>0</v>
      </c>
      <c r="N16" s="311">
        <f t="shared" si="1"/>
        <v>0</v>
      </c>
      <c r="O16" s="311">
        <f t="shared" si="2"/>
        <v>0</v>
      </c>
    </row>
    <row r="17" spans="1:15">
      <c r="A17" t="s">
        <v>16</v>
      </c>
      <c r="B17" t="s">
        <v>254</v>
      </c>
      <c r="D17" t="s">
        <v>253</v>
      </c>
      <c r="E17" s="311">
        <v>434880</v>
      </c>
      <c r="F17" s="311">
        <v>474480</v>
      </c>
      <c r="G17" s="311">
        <v>1104373.75</v>
      </c>
      <c r="I17" s="311">
        <v>434880</v>
      </c>
      <c r="J17" s="311">
        <v>474480</v>
      </c>
      <c r="K17" s="311">
        <v>1104373.75</v>
      </c>
      <c r="M17" s="311">
        <f t="shared" si="0"/>
        <v>0</v>
      </c>
      <c r="N17" s="311">
        <f t="shared" si="1"/>
        <v>0</v>
      </c>
      <c r="O17" s="311">
        <f t="shared" si="2"/>
        <v>0</v>
      </c>
    </row>
    <row r="18" spans="1:15">
      <c r="A18" t="s">
        <v>16</v>
      </c>
      <c r="B18" t="s">
        <v>246</v>
      </c>
      <c r="D18" t="s">
        <v>452</v>
      </c>
      <c r="E18" s="311">
        <v>1881983.64</v>
      </c>
      <c r="F18" s="311">
        <v>1597324.14</v>
      </c>
      <c r="G18" s="311">
        <v>1646324.14</v>
      </c>
      <c r="I18" s="311">
        <v>1881983.64</v>
      </c>
      <c r="J18" s="311">
        <v>1597324.14</v>
      </c>
      <c r="K18" s="311">
        <v>1646324.14</v>
      </c>
      <c r="M18" s="311">
        <f t="shared" si="0"/>
        <v>0</v>
      </c>
      <c r="N18" s="311">
        <f t="shared" si="1"/>
        <v>0</v>
      </c>
      <c r="O18" s="311">
        <f t="shared" si="2"/>
        <v>0</v>
      </c>
    </row>
    <row r="19" spans="1:15">
      <c r="A19" t="s">
        <v>453</v>
      </c>
      <c r="B19" t="s">
        <v>222</v>
      </c>
      <c r="D19" t="s">
        <v>221</v>
      </c>
      <c r="E19" s="311">
        <v>118080</v>
      </c>
      <c r="F19" s="311">
        <v>226080</v>
      </c>
      <c r="G19" s="311">
        <v>314395</v>
      </c>
      <c r="I19" s="311">
        <v>118080</v>
      </c>
      <c r="J19" s="311">
        <v>226080</v>
      </c>
      <c r="K19" s="311">
        <v>314395</v>
      </c>
      <c r="M19" s="311">
        <f t="shared" si="0"/>
        <v>0</v>
      </c>
      <c r="N19" s="311">
        <f t="shared" si="1"/>
        <v>0</v>
      </c>
      <c r="O19" s="311">
        <f t="shared" si="2"/>
        <v>0</v>
      </c>
    </row>
    <row r="20" spans="1:15">
      <c r="A20" t="s">
        <v>453</v>
      </c>
      <c r="B20" t="s">
        <v>302</v>
      </c>
      <c r="D20" t="s">
        <v>301</v>
      </c>
      <c r="E20" s="311">
        <v>154294.73684210519</v>
      </c>
      <c r="F20" s="311">
        <v>267978.94736842101</v>
      </c>
      <c r="G20" s="311">
        <v>360942.10526315792</v>
      </c>
      <c r="I20" s="311">
        <v>154294.73684210519</v>
      </c>
      <c r="J20" s="311">
        <v>267978.94736842101</v>
      </c>
      <c r="K20" s="311">
        <v>360942.10526315792</v>
      </c>
      <c r="M20" s="311">
        <f t="shared" si="0"/>
        <v>0</v>
      </c>
      <c r="N20" s="311">
        <f t="shared" si="1"/>
        <v>0</v>
      </c>
      <c r="O20" s="311">
        <f t="shared" si="2"/>
        <v>0</v>
      </c>
    </row>
    <row r="21" spans="1:15">
      <c r="A21" t="s">
        <v>453</v>
      </c>
      <c r="B21" t="s">
        <v>227</v>
      </c>
      <c r="D21" t="s">
        <v>226</v>
      </c>
      <c r="E21" s="311">
        <v>0</v>
      </c>
      <c r="F21" s="311">
        <v>0</v>
      </c>
      <c r="G21" s="311">
        <v>0</v>
      </c>
      <c r="I21" s="311">
        <v>0</v>
      </c>
      <c r="J21" s="311">
        <v>0</v>
      </c>
      <c r="K21" s="311">
        <v>0</v>
      </c>
      <c r="M21" s="311">
        <f t="shared" si="0"/>
        <v>0</v>
      </c>
      <c r="N21" s="311">
        <f t="shared" si="1"/>
        <v>0</v>
      </c>
      <c r="O21" s="311">
        <f t="shared" si="2"/>
        <v>0</v>
      </c>
    </row>
    <row r="22" spans="1:15">
      <c r="A22" t="s">
        <v>453</v>
      </c>
      <c r="B22" t="s">
        <v>305</v>
      </c>
      <c r="D22" t="s">
        <v>304</v>
      </c>
      <c r="E22" s="311">
        <v>16714.73684210526</v>
      </c>
      <c r="F22" s="311">
        <v>22398.94736842105</v>
      </c>
      <c r="G22" s="311">
        <v>27047.10526315789</v>
      </c>
      <c r="I22" s="311">
        <v>16714.73684210526</v>
      </c>
      <c r="J22" s="311">
        <v>22398.94736842105</v>
      </c>
      <c r="K22" s="311">
        <v>27047.10526315789</v>
      </c>
      <c r="M22" s="311">
        <f t="shared" si="0"/>
        <v>0</v>
      </c>
      <c r="N22" s="311">
        <f t="shared" si="1"/>
        <v>0</v>
      </c>
      <c r="O22" s="311">
        <f t="shared" si="2"/>
        <v>0</v>
      </c>
    </row>
    <row r="23" spans="1:15">
      <c r="A23" t="s">
        <v>453</v>
      </c>
      <c r="B23" t="s">
        <v>252</v>
      </c>
      <c r="D23" t="s">
        <v>251</v>
      </c>
      <c r="E23" s="311">
        <v>118080</v>
      </c>
      <c r="F23" s="311">
        <v>226080</v>
      </c>
      <c r="G23" s="311">
        <v>314395</v>
      </c>
      <c r="I23" s="311">
        <v>118080</v>
      </c>
      <c r="J23" s="311">
        <v>226080</v>
      </c>
      <c r="K23" s="311">
        <v>314395</v>
      </c>
      <c r="M23" s="311">
        <f t="shared" si="0"/>
        <v>0</v>
      </c>
      <c r="N23" s="311">
        <f t="shared" si="1"/>
        <v>0</v>
      </c>
      <c r="O23" s="311">
        <f t="shared" si="2"/>
        <v>0</v>
      </c>
    </row>
    <row r="24" spans="1:15">
      <c r="A24" t="s">
        <v>453</v>
      </c>
      <c r="B24" t="s">
        <v>254</v>
      </c>
      <c r="D24" t="s">
        <v>253</v>
      </c>
      <c r="E24" s="311">
        <v>359597.14285714278</v>
      </c>
      <c r="F24" s="311">
        <v>445997.14285714278</v>
      </c>
      <c r="G24" s="311">
        <v>858999.64285714284</v>
      </c>
      <c r="I24" s="311">
        <v>359597.14285714278</v>
      </c>
      <c r="J24" s="311">
        <v>445997.14285714278</v>
      </c>
      <c r="K24" s="311">
        <v>858999.64285714284</v>
      </c>
      <c r="M24" s="311">
        <f t="shared" si="0"/>
        <v>0</v>
      </c>
      <c r="N24" s="311">
        <f t="shared" si="1"/>
        <v>0</v>
      </c>
      <c r="O24" s="311">
        <f t="shared" si="2"/>
        <v>0</v>
      </c>
    </row>
    <row r="25" spans="1:15">
      <c r="A25" t="s">
        <v>453</v>
      </c>
      <c r="B25" t="s">
        <v>246</v>
      </c>
      <c r="D25" t="s">
        <v>452</v>
      </c>
      <c r="E25" s="311">
        <v>0</v>
      </c>
      <c r="F25" s="311">
        <v>0</v>
      </c>
      <c r="G25" s="311">
        <v>0</v>
      </c>
      <c r="I25" s="311">
        <v>0</v>
      </c>
      <c r="J25" s="311">
        <v>0</v>
      </c>
      <c r="K25" s="311">
        <v>0</v>
      </c>
      <c r="M25" s="311">
        <f t="shared" si="0"/>
        <v>0</v>
      </c>
      <c r="N25" s="311">
        <f t="shared" si="1"/>
        <v>0</v>
      </c>
      <c r="O25" s="311">
        <f t="shared" si="2"/>
        <v>0</v>
      </c>
    </row>
    <row r="26" spans="1:15">
      <c r="A26" t="s">
        <v>21</v>
      </c>
      <c r="B26" t="s">
        <v>20</v>
      </c>
      <c r="D26" t="s">
        <v>61</v>
      </c>
      <c r="E26" s="311">
        <v>1430293.479166667</v>
      </c>
      <c r="F26" s="311">
        <v>1358160.873903509</v>
      </c>
      <c r="G26" s="311">
        <v>2898497.3521929821</v>
      </c>
      <c r="I26" s="311">
        <v>1430293.479166667</v>
      </c>
      <c r="J26" s="311">
        <v>1358160.873903509</v>
      </c>
      <c r="K26" s="311">
        <v>2898497.3521929821</v>
      </c>
      <c r="M26" s="311">
        <f t="shared" si="0"/>
        <v>0</v>
      </c>
      <c r="N26" s="311">
        <f t="shared" si="1"/>
        <v>0</v>
      </c>
      <c r="O26" s="311">
        <f t="shared" si="2"/>
        <v>0</v>
      </c>
    </row>
    <row r="27" spans="1:15">
      <c r="A27" t="s">
        <v>21</v>
      </c>
      <c r="B27" t="s">
        <v>110</v>
      </c>
      <c r="D27" t="s">
        <v>109</v>
      </c>
      <c r="E27" s="311">
        <v>-1773060</v>
      </c>
      <c r="F27" s="311">
        <v>-2050260</v>
      </c>
      <c r="G27" s="311">
        <v>-4246446.25</v>
      </c>
      <c r="I27" s="311">
        <v>-1773060</v>
      </c>
      <c r="J27" s="311">
        <v>-2050260</v>
      </c>
      <c r="K27" s="311">
        <v>-4246446.25</v>
      </c>
      <c r="M27" s="311">
        <f t="shared" si="0"/>
        <v>0</v>
      </c>
      <c r="N27" s="311">
        <f t="shared" si="1"/>
        <v>0</v>
      </c>
      <c r="O27" s="311">
        <f t="shared" si="2"/>
        <v>0</v>
      </c>
    </row>
    <row r="28" spans="1:15">
      <c r="A28" t="s">
        <v>21</v>
      </c>
      <c r="B28" t="s">
        <v>32</v>
      </c>
      <c r="D28" t="s">
        <v>113</v>
      </c>
      <c r="E28" s="311">
        <v>-4457407</v>
      </c>
      <c r="F28" s="311">
        <v>-2834607</v>
      </c>
      <c r="G28" s="311">
        <v>-4930793.25</v>
      </c>
      <c r="I28" s="311">
        <v>-4457407</v>
      </c>
      <c r="J28" s="311">
        <v>-2834607</v>
      </c>
      <c r="K28" s="311">
        <v>-4930793.25</v>
      </c>
      <c r="M28" s="311">
        <f t="shared" si="0"/>
        <v>0</v>
      </c>
      <c r="N28" s="311">
        <f t="shared" si="1"/>
        <v>0</v>
      </c>
      <c r="O28" s="311">
        <f t="shared" si="2"/>
        <v>0</v>
      </c>
    </row>
    <row r="29" spans="1:15">
      <c r="A29" t="s">
        <v>21</v>
      </c>
      <c r="B29" t="s">
        <v>122</v>
      </c>
      <c r="D29" t="s">
        <v>121</v>
      </c>
      <c r="E29" s="311">
        <v>1372055.764880952</v>
      </c>
      <c r="F29" s="311">
        <v>1299923.1596177949</v>
      </c>
      <c r="G29" s="311">
        <v>2619479.637907268</v>
      </c>
      <c r="I29" s="311">
        <v>1372055.764880952</v>
      </c>
      <c r="J29" s="311">
        <v>1299923.1596177949</v>
      </c>
      <c r="K29" s="311">
        <v>2619479.637907268</v>
      </c>
      <c r="M29" s="311">
        <f t="shared" si="0"/>
        <v>0</v>
      </c>
      <c r="N29" s="311">
        <f t="shared" si="1"/>
        <v>0</v>
      </c>
      <c r="O29" s="311">
        <f t="shared" si="2"/>
        <v>0</v>
      </c>
    </row>
    <row r="30" spans="1:15">
      <c r="A30" t="s">
        <v>21</v>
      </c>
      <c r="B30" t="s">
        <v>133</v>
      </c>
      <c r="D30" t="s">
        <v>132</v>
      </c>
      <c r="E30" s="311">
        <v>849347</v>
      </c>
      <c r="F30" s="311">
        <v>849347</v>
      </c>
      <c r="G30" s="311">
        <v>849347</v>
      </c>
      <c r="I30" s="311">
        <v>849347</v>
      </c>
      <c r="J30" s="311">
        <v>849347</v>
      </c>
      <c r="K30" s="311">
        <v>849347</v>
      </c>
      <c r="M30" s="311">
        <f t="shared" si="0"/>
        <v>0</v>
      </c>
      <c r="N30" s="311">
        <f t="shared" si="1"/>
        <v>0</v>
      </c>
      <c r="O30" s="311">
        <f t="shared" si="2"/>
        <v>0</v>
      </c>
    </row>
    <row r="31" spans="1:15">
      <c r="A31" t="s">
        <v>21</v>
      </c>
      <c r="B31" t="s">
        <v>36</v>
      </c>
      <c r="D31" t="s">
        <v>138</v>
      </c>
      <c r="E31" s="311">
        <v>0</v>
      </c>
      <c r="F31" s="311">
        <v>0</v>
      </c>
      <c r="G31" s="311">
        <v>0</v>
      </c>
      <c r="I31" s="311">
        <v>0</v>
      </c>
      <c r="J31" s="311">
        <v>0</v>
      </c>
      <c r="K31" s="311">
        <v>0</v>
      </c>
      <c r="M31" s="311">
        <f t="shared" si="0"/>
        <v>0</v>
      </c>
      <c r="N31" s="311">
        <f t="shared" si="1"/>
        <v>0</v>
      </c>
      <c r="O31" s="311">
        <f t="shared" si="2"/>
        <v>0</v>
      </c>
    </row>
    <row r="32" spans="1:15">
      <c r="A32" t="s">
        <v>21</v>
      </c>
      <c r="B32" t="s">
        <v>38</v>
      </c>
      <c r="D32" t="s">
        <v>78</v>
      </c>
      <c r="E32" s="311">
        <v>5640774.3650000002</v>
      </c>
      <c r="F32" s="311">
        <v>5378861.4574999996</v>
      </c>
      <c r="G32" s="311">
        <v>4945267.55</v>
      </c>
      <c r="I32" s="311">
        <v>5640774.3650000002</v>
      </c>
      <c r="J32" s="311">
        <v>5378861.4574999996</v>
      </c>
      <c r="K32" s="311">
        <v>4945267.55</v>
      </c>
      <c r="M32" s="311">
        <f t="shared" si="0"/>
        <v>0</v>
      </c>
      <c r="N32" s="311">
        <f t="shared" si="1"/>
        <v>0</v>
      </c>
      <c r="O32" s="311">
        <f t="shared" si="2"/>
        <v>0</v>
      </c>
    </row>
    <row r="33" spans="1:15">
      <c r="A33" t="s">
        <v>21</v>
      </c>
      <c r="B33" t="s">
        <v>40</v>
      </c>
      <c r="D33" t="s">
        <v>78</v>
      </c>
      <c r="E33" s="311">
        <v>2465036.0922500002</v>
      </c>
      <c r="F33" s="311">
        <v>2022503.3871249999</v>
      </c>
      <c r="G33" s="311">
        <v>1664945.5194999999</v>
      </c>
      <c r="I33" s="311">
        <v>2465036.0922500002</v>
      </c>
      <c r="J33" s="311">
        <v>2022503.3871249999</v>
      </c>
      <c r="K33" s="311">
        <v>1664945.5194999999</v>
      </c>
      <c r="M33" s="311">
        <f t="shared" si="0"/>
        <v>0</v>
      </c>
      <c r="N33" s="311">
        <f t="shared" si="1"/>
        <v>0</v>
      </c>
      <c r="O33" s="311">
        <f t="shared" si="2"/>
        <v>0</v>
      </c>
    </row>
    <row r="34" spans="1:15">
      <c r="A34" t="s">
        <v>21</v>
      </c>
      <c r="B34" t="s">
        <v>23</v>
      </c>
      <c r="D34" t="s">
        <v>148</v>
      </c>
      <c r="E34" s="311">
        <v>3530751.833333333</v>
      </c>
      <c r="F34" s="311">
        <v>3421728.7280701748</v>
      </c>
      <c r="G34" s="311">
        <v>8574636.0438596494</v>
      </c>
      <c r="I34" s="311">
        <v>3530751.833333333</v>
      </c>
      <c r="J34" s="311">
        <v>3421728.7280701748</v>
      </c>
      <c r="K34" s="311">
        <v>8574636.0438596494</v>
      </c>
      <c r="M34" s="311">
        <f t="shared" si="0"/>
        <v>0</v>
      </c>
      <c r="N34" s="311">
        <f t="shared" si="1"/>
        <v>0</v>
      </c>
      <c r="O34" s="311">
        <f t="shared" si="2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registry</vt:lpstr>
      <vt:lpstr>c12_inputs</vt:lpstr>
      <vt:lpstr>c12_oc</vt:lpstr>
      <vt:lpstr>c12_sk</vt:lpstr>
      <vt:lpstr>c12_bs</vt:lpstr>
      <vt:lpstr>c12_hm</vt:lpstr>
      <vt:lpstr>c12_d&amp;s</vt:lpstr>
      <vt:lpstr>c12_bi&amp;F</vt:lpstr>
      <vt:lpstr>.c12_inputs.hr</vt:lpstr>
      <vt:lpstr>.c12_oc_hr</vt:lpstr>
      <vt:lpstr>.c12_hm_hr</vt:lpstr>
      <vt:lpstr>.c12_d&amp;s_hr</vt:lpstr>
      <vt:lpstr>.c12_bi&amp;f_hr</vt:lpstr>
      <vt:lpstr>.c12_alloc</vt:lpstr>
      <vt:lpstr>c12_diags</vt:lpstr>
      <vt:lpstr>DepartmentNum</vt:lpstr>
      <vt:lpstr>registry!Print_Area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2026-05-31T22:18:54Z</dcterms:modified>
</cp:coreProperties>
</file>
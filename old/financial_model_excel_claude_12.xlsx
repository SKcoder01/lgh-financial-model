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13_ncr:1_{72CB5852-8AD1-402F-BC72-290EA404311F}" xr6:coauthVersionLast="47" xr6:coauthVersionMax="47" xr10:uidLastSave="{00000000-0000-0000-0000-000000000000}"/>
  <bookViews>
    <workbookView xWindow="-110" yWindow="-110" windowWidth="25820" windowHeight="15500" tabRatio="953" firstSheet="17" activeTab="25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hm" sheetId="27" r:id="rId26"/>
    <sheet name="c12_d&amp;s" sheetId="26" r:id="rId27"/>
    <sheet name="c12_bi&amp;F" sheetId="28" r:id="rId28"/>
    <sheet name=".c12_inputs.hr" sheetId="29" r:id="rId29"/>
    <sheet name=".c12_oc_hr" sheetId="30" r:id="rId30"/>
    <sheet name=".c12_hm_hr" sheetId="31" r:id="rId31"/>
    <sheet name=".c12_d&amp;s_hr" sheetId="32" r:id="rId32"/>
    <sheet name=".c12_bi&amp;f_hr" sheetId="33" r:id="rId33"/>
    <sheet name=".c12_alloc" sheetId="34" r:id="rId34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4" l="1"/>
  <c r="F31" i="31"/>
  <c r="H21" i="34"/>
  <c r="G21" i="34" s="1"/>
  <c r="F21" i="34" s="1"/>
  <c r="E21" i="34" s="1"/>
  <c r="H20" i="34"/>
  <c r="G20" i="34" s="1"/>
  <c r="F20" i="34" s="1"/>
  <c r="E20" i="34" s="1"/>
  <c r="H19" i="34"/>
  <c r="G19" i="34"/>
  <c r="F19" i="34" s="1"/>
  <c r="E19" i="34" s="1"/>
  <c r="H18" i="34"/>
  <c r="G18" i="34" s="1"/>
  <c r="F18" i="34" s="1"/>
  <c r="E18" i="34" s="1"/>
  <c r="H17" i="34"/>
  <c r="G17" i="34" s="1"/>
  <c r="F17" i="34" s="1"/>
  <c r="E17" i="34" s="1"/>
  <c r="H16" i="34"/>
  <c r="G16" i="34" s="1"/>
  <c r="F16" i="34" s="1"/>
  <c r="E16" i="34" s="1"/>
  <c r="H7" i="34"/>
  <c r="G7" i="34" s="1"/>
  <c r="F7" i="34" s="1"/>
  <c r="E7" i="34" s="1"/>
  <c r="H8" i="34"/>
  <c r="G8" i="34" s="1"/>
  <c r="F8" i="34" s="1"/>
  <c r="E8" i="34" s="1"/>
  <c r="H9" i="34"/>
  <c r="G9" i="34" s="1"/>
  <c r="F9" i="34" s="1"/>
  <c r="E9" i="34" s="1"/>
  <c r="H10" i="34"/>
  <c r="G10" i="34" s="1"/>
  <c r="F10" i="34" s="1"/>
  <c r="E10" i="34" s="1"/>
  <c r="H11" i="34"/>
  <c r="G11" i="34" s="1"/>
  <c r="F11" i="34" s="1"/>
  <c r="E11" i="34" s="1"/>
  <c r="H12" i="34"/>
  <c r="G12" i="34" s="1"/>
  <c r="F12" i="34" s="1"/>
  <c r="E12" i="34" s="1"/>
  <c r="Q47" i="33"/>
  <c r="P47" i="33"/>
  <c r="O47" i="33"/>
  <c r="N47" i="33"/>
  <c r="M47" i="33"/>
  <c r="L47" i="33"/>
  <c r="K47" i="33"/>
  <c r="J47" i="33"/>
  <c r="I47" i="33"/>
  <c r="H47" i="33"/>
  <c r="G47" i="33"/>
  <c r="F47" i="33"/>
  <c r="A47" i="33"/>
  <c r="Q46" i="33"/>
  <c r="P46" i="33"/>
  <c r="O46" i="33"/>
  <c r="N46" i="33"/>
  <c r="M46" i="33"/>
  <c r="L46" i="33"/>
  <c r="K46" i="33"/>
  <c r="J46" i="33"/>
  <c r="I46" i="33"/>
  <c r="H46" i="33"/>
  <c r="G46" i="33"/>
  <c r="F46" i="33"/>
  <c r="A46" i="33"/>
  <c r="Q45" i="33"/>
  <c r="P45" i="33"/>
  <c r="O45" i="33"/>
  <c r="N45" i="33"/>
  <c r="M45" i="33"/>
  <c r="L45" i="33"/>
  <c r="K45" i="33"/>
  <c r="J45" i="33"/>
  <c r="I45" i="33"/>
  <c r="H45" i="33"/>
  <c r="G45" i="33"/>
  <c r="F45" i="33"/>
  <c r="A45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A44" i="33"/>
  <c r="Q43" i="33"/>
  <c r="P43" i="33"/>
  <c r="O43" i="33"/>
  <c r="N43" i="33"/>
  <c r="M43" i="33"/>
  <c r="L43" i="33"/>
  <c r="K43" i="33"/>
  <c r="J43" i="33"/>
  <c r="I43" i="33"/>
  <c r="H43" i="33"/>
  <c r="G43" i="33"/>
  <c r="F43" i="33"/>
  <c r="A43" i="33"/>
  <c r="Q42" i="33"/>
  <c r="P42" i="33"/>
  <c r="O42" i="33"/>
  <c r="N42" i="33"/>
  <c r="M42" i="33"/>
  <c r="L42" i="33"/>
  <c r="K42" i="33"/>
  <c r="J42" i="33"/>
  <c r="I42" i="33"/>
  <c r="H42" i="33"/>
  <c r="G42" i="33"/>
  <c r="F42" i="33"/>
  <c r="A42" i="33"/>
  <c r="A41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A40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A39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A38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A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A36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N45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A44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A43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A42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A41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A40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A39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A38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F45" i="32" s="1"/>
  <c r="A37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A36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A35" i="32"/>
  <c r="Q34" i="32"/>
  <c r="Q45" i="32" s="1"/>
  <c r="P34" i="32"/>
  <c r="P45" i="32" s="1"/>
  <c r="O34" i="32"/>
  <c r="O45" i="32" s="1"/>
  <c r="N34" i="32"/>
  <c r="M34" i="32"/>
  <c r="L34" i="32"/>
  <c r="K34" i="32"/>
  <c r="J34" i="32"/>
  <c r="I34" i="32"/>
  <c r="I45" i="32" s="1"/>
  <c r="H34" i="32"/>
  <c r="H45" i="32" s="1"/>
  <c r="G34" i="32"/>
  <c r="G45" i="32" s="1"/>
  <c r="F34" i="32"/>
  <c r="A34" i="32"/>
  <c r="A30" i="32"/>
  <c r="A29" i="32"/>
  <c r="A28" i="32"/>
  <c r="A27" i="32"/>
  <c r="A26" i="32"/>
  <c r="A25" i="32"/>
  <c r="A24" i="32"/>
  <c r="A23" i="32"/>
  <c r="A22" i="32"/>
  <c r="A21" i="32"/>
  <c r="A20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Q29" i="31"/>
  <c r="P29" i="31"/>
  <c r="O29" i="31"/>
  <c r="N29" i="31"/>
  <c r="M29" i="31"/>
  <c r="L29" i="31"/>
  <c r="K29" i="31"/>
  <c r="J29" i="31"/>
  <c r="I29" i="31"/>
  <c r="H29" i="31"/>
  <c r="G29" i="31"/>
  <c r="F29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A20" i="31"/>
  <c r="A29" i="31" s="1"/>
  <c r="A19" i="31"/>
  <c r="A28" i="31" s="1"/>
  <c r="A18" i="31"/>
  <c r="A27" i="31" s="1"/>
  <c r="A17" i="31"/>
  <c r="A26" i="31" s="1"/>
  <c r="A16" i="31"/>
  <c r="A25" i="31" s="1"/>
  <c r="A15" i="31"/>
  <c r="A24" i="31" s="1"/>
  <c r="Q12" i="31"/>
  <c r="P12" i="31"/>
  <c r="O12" i="31"/>
  <c r="N12" i="31"/>
  <c r="M12" i="31"/>
  <c r="L12" i="31"/>
  <c r="K12" i="31"/>
  <c r="J12" i="31"/>
  <c r="I12" i="31"/>
  <c r="H12" i="31"/>
  <c r="G12" i="31"/>
  <c r="F12" i="31"/>
  <c r="L28" i="30"/>
  <c r="A28" i="30"/>
  <c r="I27" i="30"/>
  <c r="A27" i="30"/>
  <c r="P26" i="30"/>
  <c r="G26" i="30"/>
  <c r="A26" i="30"/>
  <c r="M25" i="30"/>
  <c r="A25" i="30"/>
  <c r="Q24" i="30"/>
  <c r="J24" i="30"/>
  <c r="A24" i="30"/>
  <c r="O23" i="30"/>
  <c r="L23" i="30"/>
  <c r="A23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A19" i="30"/>
  <c r="A18" i="30"/>
  <c r="A17" i="30"/>
  <c r="A16" i="30"/>
  <c r="A15" i="30"/>
  <c r="A14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5" i="29"/>
  <c r="Q73" i="28"/>
  <c r="P73" i="28"/>
  <c r="L73" i="28"/>
  <c r="K73" i="28"/>
  <c r="H73" i="28"/>
  <c r="P72" i="28"/>
  <c r="M72" i="28"/>
  <c r="H72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Q64" i="28"/>
  <c r="Q72" i="28" s="1"/>
  <c r="P64" i="28"/>
  <c r="O64" i="28"/>
  <c r="N64" i="28"/>
  <c r="N73" i="28" s="1"/>
  <c r="M64" i="28"/>
  <c r="M73" i="28" s="1"/>
  <c r="L64" i="28"/>
  <c r="L72" i="28" s="1"/>
  <c r="K64" i="28"/>
  <c r="J64" i="28"/>
  <c r="I64" i="28"/>
  <c r="H64" i="28"/>
  <c r="G64" i="28"/>
  <c r="F64" i="28"/>
  <c r="F73" i="28" s="1"/>
  <c r="Q56" i="28"/>
  <c r="P56" i="28"/>
  <c r="O56" i="28"/>
  <c r="N56" i="28"/>
  <c r="M56" i="28"/>
  <c r="L56" i="28"/>
  <c r="K56" i="28"/>
  <c r="J56" i="28"/>
  <c r="I56" i="28"/>
  <c r="H56" i="28"/>
  <c r="G56" i="28"/>
  <c r="F56" i="28"/>
  <c r="G53" i="28"/>
  <c r="I52" i="28"/>
  <c r="I53" i="28" s="1"/>
  <c r="F50" i="28"/>
  <c r="F48" i="28"/>
  <c r="K46" i="28"/>
  <c r="K52" i="28" s="1"/>
  <c r="K53" i="28" s="1"/>
  <c r="I46" i="28"/>
  <c r="H46" i="28"/>
  <c r="H52" i="28" s="1"/>
  <c r="H53" i="28" s="1"/>
  <c r="G46" i="28"/>
  <c r="G52" i="28" s="1"/>
  <c r="F46" i="28"/>
  <c r="F52" i="28" s="1"/>
  <c r="F53" i="28" s="1"/>
  <c r="L39" i="28"/>
  <c r="M39" i="28" s="1"/>
  <c r="N39" i="28" s="1"/>
  <c r="O39" i="28" s="1"/>
  <c r="O46" i="28" s="1"/>
  <c r="O52" i="28" s="1"/>
  <c r="O53" i="28" s="1"/>
  <c r="K39" i="28"/>
  <c r="N37" i="28"/>
  <c r="N46" i="28" s="1"/>
  <c r="N52" i="28" s="1"/>
  <c r="N53" i="28" s="1"/>
  <c r="M36" i="28"/>
  <c r="L36" i="28"/>
  <c r="K36" i="28"/>
  <c r="J36" i="28"/>
  <c r="M35" i="28"/>
  <c r="L35" i="28"/>
  <c r="L46" i="28" s="1"/>
  <c r="L52" i="28" s="1"/>
  <c r="L53" i="28" s="1"/>
  <c r="K35" i="28"/>
  <c r="J35" i="28"/>
  <c r="J46" i="28" s="1"/>
  <c r="J52" i="28" s="1"/>
  <c r="J53" i="28" s="1"/>
  <c r="J32" i="28"/>
  <c r="M31" i="28"/>
  <c r="M32" i="28" s="1"/>
  <c r="H31" i="28"/>
  <c r="H32" i="28" s="1"/>
  <c r="F31" i="28"/>
  <c r="F32" i="28" s="1"/>
  <c r="F29" i="28"/>
  <c r="G29" i="28" s="1"/>
  <c r="H29" i="28" s="1"/>
  <c r="Q25" i="28"/>
  <c r="Q31" i="28" s="1"/>
  <c r="Q32" i="28" s="1"/>
  <c r="P25" i="28"/>
  <c r="P31" i="28" s="1"/>
  <c r="P32" i="28" s="1"/>
  <c r="O25" i="28"/>
  <c r="O31" i="28" s="1"/>
  <c r="O32" i="28" s="1"/>
  <c r="N25" i="28"/>
  <c r="N31" i="28" s="1"/>
  <c r="N32" i="28" s="1"/>
  <c r="M25" i="28"/>
  <c r="L25" i="28"/>
  <c r="L31" i="28" s="1"/>
  <c r="L32" i="28" s="1"/>
  <c r="K25" i="28"/>
  <c r="K31" i="28" s="1"/>
  <c r="K32" i="28" s="1"/>
  <c r="J25" i="28"/>
  <c r="J31" i="28" s="1"/>
  <c r="I25" i="28"/>
  <c r="I31" i="28" s="1"/>
  <c r="I32" i="28" s="1"/>
  <c r="H25" i="28"/>
  <c r="G25" i="28"/>
  <c r="G31" i="28" s="1"/>
  <c r="G32" i="28" s="1"/>
  <c r="F25" i="28"/>
  <c r="M73" i="27"/>
  <c r="L73" i="27"/>
  <c r="G73" i="27"/>
  <c r="F73" i="27"/>
  <c r="Q72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Q64" i="27"/>
  <c r="P64" i="27"/>
  <c r="O64" i="27"/>
  <c r="N64" i="27"/>
  <c r="M64" i="27"/>
  <c r="L64" i="27"/>
  <c r="K64" i="27"/>
  <c r="J64" i="27"/>
  <c r="I64" i="27"/>
  <c r="I73" i="27" s="1"/>
  <c r="H64" i="27"/>
  <c r="H73" i="27" s="1"/>
  <c r="G64" i="27"/>
  <c r="F64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Q52" i="27"/>
  <c r="Q53" i="27" s="1"/>
  <c r="M52" i="27"/>
  <c r="M53" i="27" s="1"/>
  <c r="K52" i="27"/>
  <c r="K53" i="27" s="1"/>
  <c r="H50" i="27"/>
  <c r="I50" i="27" s="1"/>
  <c r="J50" i="27" s="1"/>
  <c r="K50" i="27" s="1"/>
  <c r="F50" i="27"/>
  <c r="G50" i="27" s="1"/>
  <c r="Q48" i="27"/>
  <c r="P48" i="27"/>
  <c r="O48" i="27"/>
  <c r="N48" i="27"/>
  <c r="M48" i="27"/>
  <c r="L48" i="27"/>
  <c r="K48" i="27"/>
  <c r="Q46" i="27"/>
  <c r="P46" i="27"/>
  <c r="P52" i="27" s="1"/>
  <c r="P53" i="27" s="1"/>
  <c r="O46" i="27"/>
  <c r="O52" i="27" s="1"/>
  <c r="O53" i="27" s="1"/>
  <c r="N46" i="27"/>
  <c r="N52" i="27" s="1"/>
  <c r="N53" i="27" s="1"/>
  <c r="M46" i="27"/>
  <c r="L46" i="27"/>
  <c r="L52" i="27" s="1"/>
  <c r="L53" i="27" s="1"/>
  <c r="K46" i="27"/>
  <c r="J46" i="27"/>
  <c r="J52" i="27" s="1"/>
  <c r="J53" i="27" s="1"/>
  <c r="I46" i="27"/>
  <c r="I52" i="27" s="1"/>
  <c r="I53" i="27" s="1"/>
  <c r="F46" i="27"/>
  <c r="F52" i="27" s="1"/>
  <c r="F53" i="27" s="1"/>
  <c r="I36" i="27"/>
  <c r="H36" i="27"/>
  <c r="H46" i="27" s="1"/>
  <c r="H52" i="27" s="1"/>
  <c r="H53" i="27" s="1"/>
  <c r="G36" i="27"/>
  <c r="F36" i="27"/>
  <c r="I35" i="27"/>
  <c r="H35" i="27"/>
  <c r="G35" i="27"/>
  <c r="G46" i="27" s="1"/>
  <c r="G52" i="27" s="1"/>
  <c r="G53" i="27" s="1"/>
  <c r="F35" i="27"/>
  <c r="I27" i="27"/>
  <c r="P13" i="27"/>
  <c r="Q11" i="27"/>
  <c r="Q10" i="27"/>
  <c r="I9" i="27"/>
  <c r="J9" i="27" s="1"/>
  <c r="K9" i="27" s="1"/>
  <c r="L9" i="27" s="1"/>
  <c r="M9" i="27" s="1"/>
  <c r="N9" i="27" s="1"/>
  <c r="O9" i="27" s="1"/>
  <c r="P9" i="27" s="1"/>
  <c r="Q9" i="27" s="1"/>
  <c r="H9" i="27"/>
  <c r="H27" i="27" s="1"/>
  <c r="H72" i="27" s="1"/>
  <c r="G9" i="27"/>
  <c r="G27" i="27" s="1"/>
  <c r="F9" i="27"/>
  <c r="F27" i="27" s="1"/>
  <c r="F29" i="27" s="1"/>
  <c r="F62" i="27" s="1"/>
  <c r="F66" i="24" s="1"/>
  <c r="P8" i="27"/>
  <c r="Q8" i="27" s="1"/>
  <c r="M8" i="27"/>
  <c r="N8" i="27" s="1"/>
  <c r="O8" i="27" s="1"/>
  <c r="L8" i="27"/>
  <c r="K8" i="27"/>
  <c r="J8" i="27"/>
  <c r="I8" i="27"/>
  <c r="H8" i="27"/>
  <c r="G8" i="27"/>
  <c r="F8" i="27"/>
  <c r="I7" i="27"/>
  <c r="J7" i="27" s="1"/>
  <c r="K7" i="27" s="1"/>
  <c r="L7" i="27" s="1"/>
  <c r="H7" i="27"/>
  <c r="G7" i="27"/>
  <c r="G25" i="27" s="1"/>
  <c r="F7" i="27"/>
  <c r="F25" i="27" s="1"/>
  <c r="F31" i="27" s="1"/>
  <c r="P6" i="27"/>
  <c r="Q6" i="27" s="1"/>
  <c r="M6" i="27"/>
  <c r="N6" i="27" s="1"/>
  <c r="O6" i="27" s="1"/>
  <c r="Q13" i="27" s="1"/>
  <c r="L6" i="27"/>
  <c r="K6" i="27"/>
  <c r="J6" i="27"/>
  <c r="J25" i="27" s="1"/>
  <c r="J27" i="27" s="1"/>
  <c r="I6" i="27"/>
  <c r="H6" i="27"/>
  <c r="H25" i="27" s="1"/>
  <c r="H31" i="27" s="1"/>
  <c r="G6" i="27"/>
  <c r="F6" i="27"/>
  <c r="Q77" i="26"/>
  <c r="P77" i="26"/>
  <c r="O77" i="26"/>
  <c r="N77" i="26"/>
  <c r="I77" i="26"/>
  <c r="H77" i="26"/>
  <c r="G77" i="26"/>
  <c r="F77" i="26"/>
  <c r="J73" i="26"/>
  <c r="I73" i="26"/>
  <c r="H73" i="26"/>
  <c r="G73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Q64" i="26"/>
  <c r="Q73" i="26" s="1"/>
  <c r="P64" i="26"/>
  <c r="P72" i="26" s="1"/>
  <c r="O64" i="26"/>
  <c r="O73" i="26" s="1"/>
  <c r="N64" i="26"/>
  <c r="N73" i="26" s="1"/>
  <c r="M64" i="26"/>
  <c r="L64" i="26"/>
  <c r="K64" i="26"/>
  <c r="J64" i="26"/>
  <c r="J72" i="26" s="1"/>
  <c r="I64" i="26"/>
  <c r="I72" i="26" s="1"/>
  <c r="H64" i="26"/>
  <c r="G64" i="26"/>
  <c r="F64" i="26"/>
  <c r="F73" i="26" s="1"/>
  <c r="E64" i="26"/>
  <c r="E62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N52" i="26"/>
  <c r="E52" i="26"/>
  <c r="E53" i="26" s="1"/>
  <c r="Q49" i="26"/>
  <c r="P49" i="26"/>
  <c r="O49" i="26"/>
  <c r="N49" i="26"/>
  <c r="N53" i="26" s="1"/>
  <c r="H48" i="26"/>
  <c r="H50" i="26" s="1"/>
  <c r="Q46" i="26"/>
  <c r="Q52" i="26" s="1"/>
  <c r="P46" i="26"/>
  <c r="P52" i="26" s="1"/>
  <c r="O46" i="26"/>
  <c r="O52" i="26" s="1"/>
  <c r="N46" i="26"/>
  <c r="I46" i="26"/>
  <c r="H46" i="26"/>
  <c r="H52" i="26" s="1"/>
  <c r="H53" i="26" s="1"/>
  <c r="E46" i="26"/>
  <c r="O45" i="26"/>
  <c r="N45" i="26"/>
  <c r="J40" i="26"/>
  <c r="J46" i="26" s="1"/>
  <c r="J52" i="26" s="1"/>
  <c r="J53" i="26" s="1"/>
  <c r="I40" i="26"/>
  <c r="H40" i="26"/>
  <c r="G40" i="26"/>
  <c r="L38" i="26"/>
  <c r="M38" i="26" s="1"/>
  <c r="K38" i="26"/>
  <c r="M37" i="26"/>
  <c r="L37" i="26"/>
  <c r="K37" i="26"/>
  <c r="J37" i="26"/>
  <c r="I37" i="26"/>
  <c r="H37" i="26"/>
  <c r="G37" i="26"/>
  <c r="F37" i="26"/>
  <c r="M36" i="26"/>
  <c r="L36" i="26"/>
  <c r="K36" i="26"/>
  <c r="J36" i="26"/>
  <c r="I36" i="26"/>
  <c r="I48" i="26" s="1"/>
  <c r="H36" i="26"/>
  <c r="G36" i="26"/>
  <c r="G48" i="26" s="1"/>
  <c r="G50" i="26" s="1"/>
  <c r="F36" i="26"/>
  <c r="F48" i="26" s="1"/>
  <c r="F50" i="26" s="1"/>
  <c r="M35" i="26"/>
  <c r="L35" i="26"/>
  <c r="K35" i="26"/>
  <c r="J35" i="26"/>
  <c r="I35" i="26"/>
  <c r="H35" i="26"/>
  <c r="G35" i="26"/>
  <c r="G46" i="26" s="1"/>
  <c r="G52" i="26" s="1"/>
  <c r="G53" i="26" s="1"/>
  <c r="F35" i="26"/>
  <c r="F46" i="26" s="1"/>
  <c r="F52" i="26" s="1"/>
  <c r="F53" i="26" s="1"/>
  <c r="O27" i="26"/>
  <c r="N27" i="26"/>
  <c r="K27" i="26"/>
  <c r="G27" i="26"/>
  <c r="G72" i="26" s="1"/>
  <c r="F27" i="26"/>
  <c r="F29" i="26" s="1"/>
  <c r="Q25" i="26"/>
  <c r="Q31" i="26" s="1"/>
  <c r="G25" i="26"/>
  <c r="F25" i="26"/>
  <c r="F31" i="26" s="1"/>
  <c r="F32" i="26" s="1"/>
  <c r="E25" i="26"/>
  <c r="E31" i="26" s="1"/>
  <c r="E32" i="26" s="1"/>
  <c r="M23" i="26"/>
  <c r="P17" i="26"/>
  <c r="O17" i="26"/>
  <c r="N17" i="26"/>
  <c r="P15" i="26"/>
  <c r="P25" i="26" s="1"/>
  <c r="P31" i="26" s="1"/>
  <c r="O15" i="26"/>
  <c r="O25" i="26" s="1"/>
  <c r="O31" i="26" s="1"/>
  <c r="N15" i="26"/>
  <c r="M15" i="26"/>
  <c r="L15" i="26"/>
  <c r="K15" i="26"/>
  <c r="J15" i="26"/>
  <c r="I15" i="26"/>
  <c r="H15" i="26"/>
  <c r="M14" i="26"/>
  <c r="M25" i="26" s="1"/>
  <c r="M31" i="26" s="1"/>
  <c r="M32" i="26" s="1"/>
  <c r="L14" i="26"/>
  <c r="K14" i="26"/>
  <c r="J14" i="26"/>
  <c r="I14" i="26"/>
  <c r="I25" i="26" s="1"/>
  <c r="I31" i="26" s="1"/>
  <c r="H14" i="26"/>
  <c r="N14" i="26" s="1"/>
  <c r="M12" i="26"/>
  <c r="L12" i="26"/>
  <c r="L25" i="26" s="1"/>
  <c r="L31" i="26" s="1"/>
  <c r="L32" i="26" s="1"/>
  <c r="K12" i="26"/>
  <c r="K25" i="26" s="1"/>
  <c r="K31" i="26" s="1"/>
  <c r="K32" i="26" s="1"/>
  <c r="J12" i="26"/>
  <c r="N12" i="26" s="1"/>
  <c r="H8" i="26"/>
  <c r="H25" i="26" s="1"/>
  <c r="H31" i="26" s="1"/>
  <c r="E12" i="25"/>
  <c r="E9" i="25"/>
  <c r="E7" i="25"/>
  <c r="E6" i="25"/>
  <c r="A82" i="24"/>
  <c r="A81" i="24"/>
  <c r="A80" i="24"/>
  <c r="A79" i="24"/>
  <c r="E63" i="24"/>
  <c r="J62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M53" i="24"/>
  <c r="L53" i="24"/>
  <c r="K53" i="24"/>
  <c r="J53" i="24"/>
  <c r="G53" i="24"/>
  <c r="H53" i="24" s="1"/>
  <c r="I53" i="24" s="1"/>
  <c r="F53" i="24"/>
  <c r="Q38" i="24"/>
  <c r="P38" i="24"/>
  <c r="O38" i="24"/>
  <c r="N38" i="24"/>
  <c r="M38" i="24"/>
  <c r="L38" i="24"/>
  <c r="K38" i="24"/>
  <c r="J38" i="24"/>
  <c r="N35" i="24"/>
  <c r="O35" i="24" s="1"/>
  <c r="P35" i="24" s="1"/>
  <c r="Q35" i="24" s="1"/>
  <c r="P33" i="24"/>
  <c r="I33" i="24"/>
  <c r="F33" i="24"/>
  <c r="M30" i="24"/>
  <c r="N30" i="24" s="1"/>
  <c r="O30" i="24" s="1"/>
  <c r="P30" i="24" s="1"/>
  <c r="Q30" i="24" s="1"/>
  <c r="L30" i="24"/>
  <c r="K30" i="24"/>
  <c r="J30" i="24"/>
  <c r="I30" i="24"/>
  <c r="H30" i="24"/>
  <c r="G30" i="24"/>
  <c r="F30" i="24"/>
  <c r="Q18" i="24"/>
  <c r="Q33" i="24" s="1"/>
  <c r="P18" i="24"/>
  <c r="O18" i="24"/>
  <c r="O33" i="24" s="1"/>
  <c r="N18" i="24"/>
  <c r="N33" i="24" s="1"/>
  <c r="M18" i="24"/>
  <c r="M33" i="24" s="1"/>
  <c r="L18" i="24"/>
  <c r="L33" i="24" s="1"/>
  <c r="K18" i="24"/>
  <c r="K33" i="24" s="1"/>
  <c r="J18" i="24"/>
  <c r="J33" i="24" s="1"/>
  <c r="I18" i="24"/>
  <c r="H18" i="24"/>
  <c r="H33" i="24" s="1"/>
  <c r="G18" i="24"/>
  <c r="G33" i="24" s="1"/>
  <c r="F18" i="24"/>
  <c r="J58" i="22"/>
  <c r="F58" i="22"/>
  <c r="C58" i="22"/>
  <c r="B58" i="22"/>
  <c r="J54" i="22"/>
  <c r="I54" i="22"/>
  <c r="I58" i="22" s="1"/>
  <c r="H54" i="22"/>
  <c r="H58" i="22" s="1"/>
  <c r="G54" i="22"/>
  <c r="G58" i="22" s="1"/>
  <c r="F54" i="22"/>
  <c r="E54" i="22"/>
  <c r="E58" i="22" s="1"/>
  <c r="D54" i="22"/>
  <c r="D58" i="22" s="1"/>
  <c r="C54" i="22"/>
  <c r="B54" i="22"/>
  <c r="Q36" i="22"/>
  <c r="C33" i="22"/>
  <c r="D33" i="22" s="1"/>
  <c r="E33" i="22" s="1"/>
  <c r="F33" i="22" s="1"/>
  <c r="K30" i="22"/>
  <c r="L30" i="22" s="1"/>
  <c r="M30" i="22" s="1"/>
  <c r="N30" i="22" s="1"/>
  <c r="I30" i="22"/>
  <c r="J30" i="22" s="1"/>
  <c r="D30" i="22"/>
  <c r="E30" i="22" s="1"/>
  <c r="F30" i="22" s="1"/>
  <c r="G30" i="22" s="1"/>
  <c r="H30" i="22" s="1"/>
  <c r="C30" i="22"/>
  <c r="Q29" i="22"/>
  <c r="P28" i="22"/>
  <c r="Q26" i="22"/>
  <c r="N26" i="22"/>
  <c r="M26" i="22"/>
  <c r="G26" i="22"/>
  <c r="F26" i="22"/>
  <c r="E26" i="22"/>
  <c r="D26" i="22"/>
  <c r="N24" i="22"/>
  <c r="M24" i="22"/>
  <c r="K24" i="22"/>
  <c r="J24" i="22"/>
  <c r="I24" i="22"/>
  <c r="H24" i="22"/>
  <c r="H26" i="22" s="1"/>
  <c r="G24" i="22"/>
  <c r="F24" i="22"/>
  <c r="E24" i="22"/>
  <c r="D24" i="22"/>
  <c r="C24" i="22"/>
  <c r="B24" i="22"/>
  <c r="Q20" i="22"/>
  <c r="Q28" i="22" s="1"/>
  <c r="Q18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K13" i="22"/>
  <c r="J8" i="22"/>
  <c r="I8" i="22"/>
  <c r="G8" i="22"/>
  <c r="G9" i="22" s="1"/>
  <c r="F8" i="22"/>
  <c r="E8" i="22"/>
  <c r="N6" i="22"/>
  <c r="N8" i="22" s="1"/>
  <c r="M6" i="22"/>
  <c r="M8" i="22" s="1"/>
  <c r="L6" i="22"/>
  <c r="L8" i="22" s="1"/>
  <c r="K6" i="22"/>
  <c r="K8" i="22" s="1"/>
  <c r="J6" i="22"/>
  <c r="I6" i="22"/>
  <c r="F6" i="22"/>
  <c r="E6" i="22"/>
  <c r="D6" i="22"/>
  <c r="D8" i="22" s="1"/>
  <c r="C6" i="22"/>
  <c r="C8" i="22" s="1"/>
  <c r="B6" i="22"/>
  <c r="B8" i="22" s="1"/>
  <c r="I70" i="21"/>
  <c r="I69" i="21" s="1"/>
  <c r="H70" i="21"/>
  <c r="H69" i="21" s="1"/>
  <c r="J68" i="21"/>
  <c r="I68" i="21"/>
  <c r="I63" i="21" s="1"/>
  <c r="F47" i="21" s="1"/>
  <c r="H68" i="21"/>
  <c r="F68" i="21"/>
  <c r="G68" i="21" s="1"/>
  <c r="G70" i="21" s="1"/>
  <c r="G69" i="21" s="1"/>
  <c r="C68" i="21"/>
  <c r="I65" i="21"/>
  <c r="H65" i="21"/>
  <c r="G65" i="21"/>
  <c r="F65" i="21"/>
  <c r="F64" i="21"/>
  <c r="J63" i="21"/>
  <c r="H63" i="21"/>
  <c r="I64" i="21" s="1"/>
  <c r="G63" i="21"/>
  <c r="H64" i="21" s="1"/>
  <c r="F63" i="21"/>
  <c r="G64" i="21" s="1"/>
  <c r="Q62" i="21"/>
  <c r="P62" i="21"/>
  <c r="O62" i="21"/>
  <c r="N62" i="21"/>
  <c r="M62" i="21"/>
  <c r="L62" i="21"/>
  <c r="K62" i="21"/>
  <c r="J62" i="21"/>
  <c r="I62" i="21"/>
  <c r="H62" i="21"/>
  <c r="G62" i="21"/>
  <c r="N60" i="21"/>
  <c r="M60" i="21"/>
  <c r="L60" i="21"/>
  <c r="K60" i="21"/>
  <c r="J60" i="21"/>
  <c r="N52" i="21"/>
  <c r="M52" i="21"/>
  <c r="M53" i="21" s="1"/>
  <c r="L52" i="21"/>
  <c r="K52" i="21"/>
  <c r="C52" i="21"/>
  <c r="C54" i="21" s="1"/>
  <c r="C58" i="21" s="1"/>
  <c r="C60" i="21" s="1"/>
  <c r="E48" i="21"/>
  <c r="D48" i="21"/>
  <c r="D47" i="21"/>
  <c r="D52" i="21" s="1"/>
  <c r="I44" i="21"/>
  <c r="H44" i="21"/>
  <c r="G44" i="21"/>
  <c r="F42" i="21"/>
  <c r="E42" i="21"/>
  <c r="C42" i="21"/>
  <c r="N41" i="21"/>
  <c r="M41" i="21"/>
  <c r="L41" i="21"/>
  <c r="K41" i="21"/>
  <c r="J41" i="21"/>
  <c r="I41" i="21"/>
  <c r="H41" i="21"/>
  <c r="G41" i="21"/>
  <c r="F41" i="21"/>
  <c r="E41" i="21"/>
  <c r="D41" i="21"/>
  <c r="D42" i="21" s="1"/>
  <c r="E38" i="21"/>
  <c r="D38" i="21"/>
  <c r="I36" i="21"/>
  <c r="J36" i="21" s="1"/>
  <c r="J35" i="21"/>
  <c r="F34" i="21"/>
  <c r="F38" i="21" s="1"/>
  <c r="J33" i="21"/>
  <c r="F30" i="21"/>
  <c r="G30" i="21" s="1"/>
  <c r="H30" i="21" s="1"/>
  <c r="I30" i="21" s="1"/>
  <c r="J30" i="21" s="1"/>
  <c r="K30" i="21" s="1"/>
  <c r="L30" i="21" s="1"/>
  <c r="M30" i="21" s="1"/>
  <c r="N30" i="21" s="1"/>
  <c r="D30" i="21"/>
  <c r="E30" i="21" s="1"/>
  <c r="C30" i="21"/>
  <c r="H26" i="21"/>
  <c r="G26" i="21"/>
  <c r="N24" i="21"/>
  <c r="M24" i="21"/>
  <c r="L24" i="21"/>
  <c r="K24" i="21"/>
  <c r="K26" i="21" s="1"/>
  <c r="J24" i="21"/>
  <c r="I24" i="21"/>
  <c r="H24" i="21"/>
  <c r="G24" i="21"/>
  <c r="F24" i="21"/>
  <c r="E24" i="21"/>
  <c r="D24" i="21"/>
  <c r="C24" i="21"/>
  <c r="N17" i="21"/>
  <c r="M17" i="21"/>
  <c r="L17" i="21"/>
  <c r="L26" i="21" s="1"/>
  <c r="K17" i="21"/>
  <c r="I17" i="21"/>
  <c r="I26" i="21" s="1"/>
  <c r="H17" i="21"/>
  <c r="G17" i="21"/>
  <c r="F17" i="21"/>
  <c r="E17" i="21"/>
  <c r="D17" i="21"/>
  <c r="D26" i="21" s="1"/>
  <c r="C17" i="21"/>
  <c r="C26" i="21" s="1"/>
  <c r="D9" i="21"/>
  <c r="L8" i="21"/>
  <c r="K8" i="21"/>
  <c r="J8" i="21"/>
  <c r="I8" i="21"/>
  <c r="H8" i="21"/>
  <c r="H9" i="21" s="1"/>
  <c r="D8" i="21"/>
  <c r="C8" i="21"/>
  <c r="C9" i="21" s="1"/>
  <c r="N6" i="21"/>
  <c r="N8" i="21" s="1"/>
  <c r="M6" i="21"/>
  <c r="M8" i="21" s="1"/>
  <c r="L6" i="21"/>
  <c r="K6" i="21"/>
  <c r="J6" i="21"/>
  <c r="I6" i="21"/>
  <c r="H6" i="21"/>
  <c r="G6" i="21"/>
  <c r="G8" i="21" s="1"/>
  <c r="F6" i="21"/>
  <c r="F8" i="21" s="1"/>
  <c r="F9" i="21" s="1"/>
  <c r="G9" i="21" s="1"/>
  <c r="E6" i="21"/>
  <c r="E8" i="21" s="1"/>
  <c r="E9" i="21" s="1"/>
  <c r="D6" i="21"/>
  <c r="C6" i="21"/>
  <c r="H5" i="21"/>
  <c r="G5" i="21"/>
  <c r="F103" i="20"/>
  <c r="F102" i="20"/>
  <c r="F100" i="20"/>
  <c r="I99" i="20"/>
  <c r="F98" i="20"/>
  <c r="B94" i="20"/>
  <c r="B42" i="20" s="1"/>
  <c r="B46" i="20" s="1"/>
  <c r="B51" i="20" s="1"/>
  <c r="B58" i="20" s="1"/>
  <c r="B62" i="20" s="1"/>
  <c r="B70" i="20" s="1"/>
  <c r="J92" i="20"/>
  <c r="I92" i="20"/>
  <c r="H92" i="20"/>
  <c r="H94" i="20" s="1"/>
  <c r="H42" i="20" s="1"/>
  <c r="H46" i="20" s="1"/>
  <c r="H51" i="20" s="1"/>
  <c r="H58" i="20" s="1"/>
  <c r="H62" i="20" s="1"/>
  <c r="G92" i="20"/>
  <c r="G94" i="20" s="1"/>
  <c r="G42" i="20" s="1"/>
  <c r="G46" i="20" s="1"/>
  <c r="G51" i="20" s="1"/>
  <c r="G58" i="20" s="1"/>
  <c r="G62" i="20" s="1"/>
  <c r="F92" i="20"/>
  <c r="F94" i="20" s="1"/>
  <c r="F42" i="20" s="1"/>
  <c r="F46" i="20" s="1"/>
  <c r="F51" i="20" s="1"/>
  <c r="F58" i="20" s="1"/>
  <c r="F62" i="20" s="1"/>
  <c r="B92" i="20"/>
  <c r="J89" i="20"/>
  <c r="H89" i="20"/>
  <c r="F89" i="20"/>
  <c r="B89" i="20"/>
  <c r="E88" i="20"/>
  <c r="E92" i="20" s="1"/>
  <c r="D88" i="20"/>
  <c r="D92" i="20" s="1"/>
  <c r="C88" i="20"/>
  <c r="C92" i="20" s="1"/>
  <c r="B88" i="20"/>
  <c r="J84" i="20"/>
  <c r="I84" i="20"/>
  <c r="I89" i="20" s="1"/>
  <c r="H84" i="20"/>
  <c r="G84" i="20"/>
  <c r="G89" i="20" s="1"/>
  <c r="F84" i="20"/>
  <c r="E84" i="20"/>
  <c r="D84" i="20"/>
  <c r="D89" i="20" s="1"/>
  <c r="C84" i="20"/>
  <c r="B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H75" i="20"/>
  <c r="G75" i="20"/>
  <c r="D66" i="20"/>
  <c r="C66" i="20"/>
  <c r="B66" i="20"/>
  <c r="M65" i="20"/>
  <c r="N65" i="20" s="1"/>
  <c r="K65" i="20"/>
  <c r="L65" i="20" s="1"/>
  <c r="J65" i="20"/>
  <c r="I65" i="20"/>
  <c r="H65" i="20"/>
  <c r="G65" i="20"/>
  <c r="E64" i="20"/>
  <c r="E66" i="20" s="1"/>
  <c r="D64" i="20"/>
  <c r="K56" i="20"/>
  <c r="K17" i="20" s="1"/>
  <c r="N55" i="20"/>
  <c r="N56" i="20" s="1"/>
  <c r="N17" i="20" s="1"/>
  <c r="M55" i="20"/>
  <c r="L55" i="20"/>
  <c r="K55" i="20"/>
  <c r="J55" i="20"/>
  <c r="I55" i="20"/>
  <c r="H55" i="20"/>
  <c r="G55" i="20"/>
  <c r="F55" i="20"/>
  <c r="E55" i="20"/>
  <c r="D55" i="20"/>
  <c r="C55" i="20"/>
  <c r="N50" i="20"/>
  <c r="M50" i="20"/>
  <c r="L50" i="20"/>
  <c r="K50" i="20"/>
  <c r="J50" i="20"/>
  <c r="J75" i="20" s="1"/>
  <c r="I50" i="20"/>
  <c r="I75" i="20" s="1"/>
  <c r="H50" i="20"/>
  <c r="G50" i="20"/>
  <c r="F50" i="20"/>
  <c r="F75" i="20" s="1"/>
  <c r="E50" i="20"/>
  <c r="D50" i="20"/>
  <c r="C50" i="20"/>
  <c r="B50" i="20"/>
  <c r="N42" i="20"/>
  <c r="M42" i="20"/>
  <c r="L42" i="20"/>
  <c r="K42" i="20"/>
  <c r="L41" i="20"/>
  <c r="M41" i="20" s="1"/>
  <c r="K41" i="20"/>
  <c r="K46" i="20" s="1"/>
  <c r="C41" i="20"/>
  <c r="N36" i="20"/>
  <c r="L36" i="20"/>
  <c r="L46" i="20" s="1"/>
  <c r="K36" i="20"/>
  <c r="N35" i="20"/>
  <c r="M35" i="20"/>
  <c r="L35" i="20"/>
  <c r="D33" i="20"/>
  <c r="E33" i="20" s="1"/>
  <c r="F33" i="20" s="1"/>
  <c r="G33" i="20" s="1"/>
  <c r="H33" i="20" s="1"/>
  <c r="I33" i="20" s="1"/>
  <c r="J33" i="20" s="1"/>
  <c r="K33" i="20" s="1"/>
  <c r="L33" i="20" s="1"/>
  <c r="M33" i="20" s="1"/>
  <c r="N33" i="20" s="1"/>
  <c r="C33" i="20"/>
  <c r="N27" i="20"/>
  <c r="M27" i="20"/>
  <c r="L27" i="20"/>
  <c r="J27" i="20"/>
  <c r="I27" i="20"/>
  <c r="H27" i="20"/>
  <c r="G27" i="20"/>
  <c r="F27" i="20"/>
  <c r="E27" i="20"/>
  <c r="D27" i="20"/>
  <c r="C27" i="20"/>
  <c r="B27" i="20"/>
  <c r="H20" i="20"/>
  <c r="H29" i="20" s="1"/>
  <c r="G20" i="20"/>
  <c r="G29" i="20" s="1"/>
  <c r="K16" i="20"/>
  <c r="L15" i="20"/>
  <c r="L20" i="20" s="1"/>
  <c r="L29" i="20" s="1"/>
  <c r="K15" i="20"/>
  <c r="K20" i="20" s="1"/>
  <c r="J15" i="20"/>
  <c r="J20" i="20" s="1"/>
  <c r="J29" i="20" s="1"/>
  <c r="I15" i="20"/>
  <c r="I20" i="20" s="1"/>
  <c r="H15" i="20"/>
  <c r="G15" i="20"/>
  <c r="F15" i="20"/>
  <c r="F20" i="20" s="1"/>
  <c r="F29" i="20" s="1"/>
  <c r="E15" i="20"/>
  <c r="E20" i="20" s="1"/>
  <c r="E29" i="20" s="1"/>
  <c r="D15" i="20"/>
  <c r="D20" i="20" s="1"/>
  <c r="D29" i="20" s="1"/>
  <c r="C15" i="20"/>
  <c r="C20" i="20" s="1"/>
  <c r="C29" i="20" s="1"/>
  <c r="B15" i="20"/>
  <c r="B20" i="20" s="1"/>
  <c r="B29" i="20" s="1"/>
  <c r="C10" i="20"/>
  <c r="C11" i="20" s="1"/>
  <c r="J8" i="20"/>
  <c r="J10" i="20" s="1"/>
  <c r="I8" i="20"/>
  <c r="I10" i="20" s="1"/>
  <c r="H8" i="20"/>
  <c r="H10" i="20" s="1"/>
  <c r="G8" i="20"/>
  <c r="G10" i="20" s="1"/>
  <c r="F8" i="20"/>
  <c r="F10" i="20" s="1"/>
  <c r="E8" i="20"/>
  <c r="E10" i="20" s="1"/>
  <c r="D8" i="20"/>
  <c r="D10" i="20" s="1"/>
  <c r="C8" i="20"/>
  <c r="B8" i="20"/>
  <c r="B10" i="20" s="1"/>
  <c r="N6" i="20"/>
  <c r="N8" i="20" s="1"/>
  <c r="M6" i="20"/>
  <c r="M8" i="20" s="1"/>
  <c r="L6" i="20"/>
  <c r="L8" i="20" s="1"/>
  <c r="L10" i="20" s="1"/>
  <c r="K6" i="20"/>
  <c r="K8" i="20" s="1"/>
  <c r="G126" i="19"/>
  <c r="H126" i="19" s="1"/>
  <c r="I126" i="19" s="1"/>
  <c r="J126" i="19" s="1"/>
  <c r="K126" i="19" s="1"/>
  <c r="L126" i="19" s="1"/>
  <c r="M126" i="19" s="1"/>
  <c r="F126" i="19"/>
  <c r="F131" i="19" s="1"/>
  <c r="F125" i="19"/>
  <c r="G125" i="19" s="1"/>
  <c r="H125" i="19" s="1"/>
  <c r="I125" i="19" s="1"/>
  <c r="J125" i="19" s="1"/>
  <c r="K125" i="19" s="1"/>
  <c r="L125" i="19" s="1"/>
  <c r="G124" i="19"/>
  <c r="G123" i="19" s="1"/>
  <c r="F124" i="19"/>
  <c r="F129" i="19" s="1"/>
  <c r="F123" i="19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O120" i="19"/>
  <c r="N120" i="19"/>
  <c r="M120" i="19"/>
  <c r="L120" i="19"/>
  <c r="G120" i="19"/>
  <c r="F120" i="19"/>
  <c r="F119" i="19" s="1"/>
  <c r="F118" i="19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Q117" i="19"/>
  <c r="P117" i="19"/>
  <c r="O117" i="19"/>
  <c r="N117" i="19"/>
  <c r="M117" i="19"/>
  <c r="L117" i="19"/>
  <c r="K117" i="19"/>
  <c r="K131" i="19" s="1"/>
  <c r="J117" i="19"/>
  <c r="J120" i="19" s="1"/>
  <c r="J119" i="19" s="1"/>
  <c r="I117" i="19"/>
  <c r="I130" i="19" s="1"/>
  <c r="H117" i="19"/>
  <c r="H130" i="19" s="1"/>
  <c r="G117" i="19"/>
  <c r="F117" i="19"/>
  <c r="O114" i="19"/>
  <c r="N114" i="19"/>
  <c r="M114" i="19"/>
  <c r="L114" i="19"/>
  <c r="G114" i="19"/>
  <c r="F114" i="19"/>
  <c r="F113" i="19" s="1"/>
  <c r="F112" i="19"/>
  <c r="F62" i="19" s="1"/>
  <c r="Q111" i="19"/>
  <c r="Q114" i="19" s="1"/>
  <c r="P111" i="19"/>
  <c r="P114" i="19" s="1"/>
  <c r="O111" i="19"/>
  <c r="N111" i="19"/>
  <c r="M111" i="19"/>
  <c r="L111" i="19"/>
  <c r="K111" i="19"/>
  <c r="K114" i="19" s="1"/>
  <c r="J111" i="19"/>
  <c r="J114" i="19" s="1"/>
  <c r="I111" i="19"/>
  <c r="I114" i="19" s="1"/>
  <c r="H111" i="19"/>
  <c r="H114" i="19" s="1"/>
  <c r="G111" i="19"/>
  <c r="F111" i="19"/>
  <c r="D101" i="19"/>
  <c r="C98" i="19" s="1"/>
  <c r="H100" i="19"/>
  <c r="I100" i="19" s="1"/>
  <c r="J100" i="19" s="1"/>
  <c r="K100" i="19" s="1"/>
  <c r="L100" i="19" s="1"/>
  <c r="M100" i="19" s="1"/>
  <c r="N100" i="19" s="1"/>
  <c r="G100" i="19"/>
  <c r="F100" i="19"/>
  <c r="E100" i="19"/>
  <c r="F99" i="19"/>
  <c r="G99" i="19" s="1"/>
  <c r="H99" i="19" s="1"/>
  <c r="I99" i="19" s="1"/>
  <c r="J99" i="19" s="1"/>
  <c r="K99" i="19" s="1"/>
  <c r="L99" i="19" s="1"/>
  <c r="M99" i="19" s="1"/>
  <c r="N99" i="19" s="1"/>
  <c r="E99" i="19"/>
  <c r="C99" i="19"/>
  <c r="F98" i="19"/>
  <c r="G98" i="19" s="1"/>
  <c r="H98" i="19" s="1"/>
  <c r="I98" i="19" s="1"/>
  <c r="J98" i="19" s="1"/>
  <c r="K98" i="19" s="1"/>
  <c r="L98" i="19" s="1"/>
  <c r="M98" i="19" s="1"/>
  <c r="N98" i="19" s="1"/>
  <c r="E98" i="19"/>
  <c r="E97" i="19"/>
  <c r="F97" i="19" s="1"/>
  <c r="G97" i="19" s="1"/>
  <c r="H97" i="19" s="1"/>
  <c r="I97" i="19" s="1"/>
  <c r="J97" i="19" s="1"/>
  <c r="K97" i="19" s="1"/>
  <c r="L97" i="19" s="1"/>
  <c r="M97" i="19" s="1"/>
  <c r="N97" i="19" s="1"/>
  <c r="C97" i="19"/>
  <c r="P96" i="19"/>
  <c r="E96" i="19"/>
  <c r="E95" i="19"/>
  <c r="F95" i="19" s="1"/>
  <c r="M79" i="19"/>
  <c r="L79" i="19"/>
  <c r="L64" i="19"/>
  <c r="M64" i="19" s="1"/>
  <c r="N64" i="19" s="1"/>
  <c r="O64" i="19" s="1"/>
  <c r="J64" i="19"/>
  <c r="K64" i="19" s="1"/>
  <c r="G64" i="19"/>
  <c r="K63" i="19"/>
  <c r="L63" i="19" s="1"/>
  <c r="J63" i="19"/>
  <c r="K56" i="19"/>
  <c r="P55" i="19"/>
  <c r="L52" i="19"/>
  <c r="K52" i="19"/>
  <c r="J52" i="19"/>
  <c r="I52" i="19"/>
  <c r="H52" i="19"/>
  <c r="G52" i="19"/>
  <c r="F52" i="19"/>
  <c r="M51" i="19"/>
  <c r="J49" i="19"/>
  <c r="J54" i="19" s="1"/>
  <c r="I49" i="19"/>
  <c r="I54" i="19" s="1"/>
  <c r="H49" i="19"/>
  <c r="H54" i="19" s="1"/>
  <c r="G49" i="19"/>
  <c r="G54" i="19" s="1"/>
  <c r="M46" i="19"/>
  <c r="N46" i="19" s="1"/>
  <c r="O46" i="19" s="1"/>
  <c r="P46" i="19" s="1"/>
  <c r="Q46" i="19" s="1"/>
  <c r="K46" i="19"/>
  <c r="L46" i="19" s="1"/>
  <c r="J46" i="19"/>
  <c r="H46" i="19"/>
  <c r="G46" i="19"/>
  <c r="F46" i="19"/>
  <c r="F49" i="19" s="1"/>
  <c r="F54" i="19" s="1"/>
  <c r="K45" i="19"/>
  <c r="L45" i="19" s="1"/>
  <c r="L49" i="19" s="1"/>
  <c r="L54" i="19" s="1"/>
  <c r="J45" i="19"/>
  <c r="N44" i="19"/>
  <c r="K44" i="19"/>
  <c r="K41" i="19"/>
  <c r="J41" i="19"/>
  <c r="I41" i="19"/>
  <c r="N40" i="19"/>
  <c r="N41" i="19" s="1"/>
  <c r="M40" i="19"/>
  <c r="M41" i="19" s="1"/>
  <c r="H40" i="19"/>
  <c r="I39" i="19"/>
  <c r="H39" i="19"/>
  <c r="G39" i="19"/>
  <c r="F39" i="19"/>
  <c r="P34" i="19"/>
  <c r="Q34" i="19" s="1"/>
  <c r="F34" i="19"/>
  <c r="G34" i="19" s="1"/>
  <c r="H34" i="19" s="1"/>
  <c r="I34" i="19" s="1"/>
  <c r="J34" i="19" s="1"/>
  <c r="K34" i="19" s="1"/>
  <c r="L34" i="19" s="1"/>
  <c r="M34" i="19" s="1"/>
  <c r="N34" i="19" s="1"/>
  <c r="O34" i="19" s="1"/>
  <c r="Q28" i="19"/>
  <c r="P28" i="19"/>
  <c r="N28" i="19"/>
  <c r="M28" i="19"/>
  <c r="L28" i="19"/>
  <c r="K28" i="19"/>
  <c r="J28" i="19"/>
  <c r="I28" i="19"/>
  <c r="H28" i="19"/>
  <c r="G28" i="19"/>
  <c r="F28" i="19"/>
  <c r="Q19" i="19"/>
  <c r="Q30" i="19" s="1"/>
  <c r="P19" i="19"/>
  <c r="P30" i="19" s="1"/>
  <c r="O19" i="19"/>
  <c r="L15" i="19"/>
  <c r="L10" i="19"/>
  <c r="K10" i="19"/>
  <c r="I9" i="19"/>
  <c r="H9" i="19"/>
  <c r="H15" i="19" s="1"/>
  <c r="H19" i="19" s="1"/>
  <c r="H30" i="19" s="1"/>
  <c r="N8" i="19"/>
  <c r="L8" i="19"/>
  <c r="L9" i="19" s="1"/>
  <c r="K8" i="19"/>
  <c r="K9" i="19" s="1"/>
  <c r="K15" i="19" s="1"/>
  <c r="M6" i="19"/>
  <c r="L6" i="19"/>
  <c r="K6" i="19"/>
  <c r="J6" i="19"/>
  <c r="Q4" i="19"/>
  <c r="P4" i="19"/>
  <c r="Q3" i="19" s="1"/>
  <c r="O4" i="19"/>
  <c r="M4" i="19"/>
  <c r="M8" i="19" s="1"/>
  <c r="L4" i="19"/>
  <c r="L40" i="19" s="1"/>
  <c r="L41" i="19" s="1"/>
  <c r="K4" i="19"/>
  <c r="K40" i="19" s="1"/>
  <c r="J4" i="19"/>
  <c r="J40" i="19" s="1"/>
  <c r="I4" i="19"/>
  <c r="I8" i="19" s="1"/>
  <c r="H4" i="19"/>
  <c r="H8" i="19" s="1"/>
  <c r="G4" i="19"/>
  <c r="G8" i="19" s="1"/>
  <c r="G9" i="19" s="1"/>
  <c r="G15" i="19" s="1"/>
  <c r="F4" i="19"/>
  <c r="F8" i="19" s="1"/>
  <c r="F9" i="19" s="1"/>
  <c r="F15" i="19" s="1"/>
  <c r="F19" i="19" s="1"/>
  <c r="F30" i="19" s="1"/>
  <c r="N3" i="19"/>
  <c r="J78" i="18"/>
  <c r="J37" i="18" s="1"/>
  <c r="I78" i="18"/>
  <c r="I37" i="18" s="1"/>
  <c r="C78" i="18"/>
  <c r="C37" i="18" s="1"/>
  <c r="M76" i="18"/>
  <c r="L76" i="18"/>
  <c r="K76" i="18"/>
  <c r="J76" i="18"/>
  <c r="I76" i="18"/>
  <c r="H76" i="18"/>
  <c r="G76" i="18"/>
  <c r="F76" i="18"/>
  <c r="F78" i="18" s="1"/>
  <c r="E76" i="18"/>
  <c r="E78" i="18" s="1"/>
  <c r="E37" i="18" s="1"/>
  <c r="D76" i="18"/>
  <c r="D78" i="18" s="1"/>
  <c r="D37" i="18" s="1"/>
  <c r="C76" i="18"/>
  <c r="J73" i="18"/>
  <c r="I73" i="18"/>
  <c r="H73" i="18"/>
  <c r="G73" i="18"/>
  <c r="F73" i="18"/>
  <c r="E73" i="18"/>
  <c r="D73" i="18"/>
  <c r="C73" i="18"/>
  <c r="K69" i="18"/>
  <c r="K73" i="18" s="1"/>
  <c r="K78" i="18" s="1"/>
  <c r="K37" i="18" s="1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F37" i="18"/>
  <c r="M33" i="18"/>
  <c r="N30" i="18"/>
  <c r="I30" i="18"/>
  <c r="J30" i="18" s="1"/>
  <c r="K30" i="18" s="1"/>
  <c r="L30" i="18" s="1"/>
  <c r="M30" i="18" s="1"/>
  <c r="G30" i="18"/>
  <c r="H30" i="18" s="1"/>
  <c r="F30" i="18"/>
  <c r="C30" i="18"/>
  <c r="D30" i="18" s="1"/>
  <c r="E30" i="18" s="1"/>
  <c r="L26" i="18"/>
  <c r="K26" i="18"/>
  <c r="J26" i="18"/>
  <c r="E26" i="18"/>
  <c r="D26" i="18"/>
  <c r="C26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H22" i="18"/>
  <c r="H20" i="18"/>
  <c r="N18" i="18"/>
  <c r="N26" i="18" s="1"/>
  <c r="M18" i="18"/>
  <c r="M26" i="18" s="1"/>
  <c r="L18" i="18"/>
  <c r="K18" i="18"/>
  <c r="J18" i="18"/>
  <c r="I18" i="18"/>
  <c r="I26" i="18" s="1"/>
  <c r="H18" i="18"/>
  <c r="H26" i="18" s="1"/>
  <c r="G18" i="18"/>
  <c r="G26" i="18" s="1"/>
  <c r="F18" i="18"/>
  <c r="F26" i="18" s="1"/>
  <c r="E18" i="18"/>
  <c r="D18" i="18"/>
  <c r="C18" i="18"/>
  <c r="F15" i="18"/>
  <c r="N10" i="18"/>
  <c r="M10" i="18"/>
  <c r="K10" i="18"/>
  <c r="H10" i="18"/>
  <c r="G10" i="18"/>
  <c r="F10" i="18"/>
  <c r="E10" i="18"/>
  <c r="N8" i="18"/>
  <c r="M8" i="18"/>
  <c r="L8" i="18"/>
  <c r="L10" i="18" s="1"/>
  <c r="K8" i="18"/>
  <c r="J8" i="18"/>
  <c r="J10" i="18" s="1"/>
  <c r="I8" i="18"/>
  <c r="I10" i="18" s="1"/>
  <c r="H8" i="18"/>
  <c r="G8" i="18"/>
  <c r="F8" i="18"/>
  <c r="E8" i="18"/>
  <c r="D8" i="18"/>
  <c r="D10" i="18" s="1"/>
  <c r="C8" i="18"/>
  <c r="C10" i="18" s="1"/>
  <c r="C11" i="18" s="1"/>
  <c r="D11" i="18" s="1"/>
  <c r="E11" i="18" s="1"/>
  <c r="F11" i="18" s="1"/>
  <c r="C94" i="17"/>
  <c r="C93" i="17"/>
  <c r="C92" i="17"/>
  <c r="C91" i="17"/>
  <c r="C53" i="17" s="1"/>
  <c r="D87" i="17"/>
  <c r="B84" i="17"/>
  <c r="H83" i="17"/>
  <c r="H82" i="17"/>
  <c r="C82" i="17"/>
  <c r="H81" i="17"/>
  <c r="D81" i="17"/>
  <c r="M80" i="17"/>
  <c r="L80" i="17"/>
  <c r="K80" i="17"/>
  <c r="J80" i="17"/>
  <c r="H80" i="17"/>
  <c r="D80" i="17"/>
  <c r="C80" i="17"/>
  <c r="B75" i="17"/>
  <c r="C72" i="17" s="1"/>
  <c r="D72" i="17" s="1"/>
  <c r="K74" i="17"/>
  <c r="K85" i="17" s="1"/>
  <c r="H54" i="17" s="1"/>
  <c r="H55" i="17" s="1"/>
  <c r="J74" i="17"/>
  <c r="J85" i="17" s="1"/>
  <c r="G54" i="17" s="1"/>
  <c r="G55" i="17" s="1"/>
  <c r="D74" i="17"/>
  <c r="E75" i="17" s="1"/>
  <c r="H70" i="17"/>
  <c r="H74" i="17" s="1"/>
  <c r="D54" i="17" s="1"/>
  <c r="D55" i="17" s="1"/>
  <c r="D70" i="17"/>
  <c r="H69" i="17"/>
  <c r="C69" i="17"/>
  <c r="C71" i="17" s="1"/>
  <c r="H68" i="17"/>
  <c r="D68" i="17"/>
  <c r="M56" i="17"/>
  <c r="M16" i="17" s="1"/>
  <c r="N55" i="17"/>
  <c r="M55" i="17"/>
  <c r="L55" i="17"/>
  <c r="K55" i="17"/>
  <c r="J55" i="17"/>
  <c r="F53" i="17"/>
  <c r="E53" i="17"/>
  <c r="E20" i="17" s="1"/>
  <c r="D53" i="17"/>
  <c r="G52" i="17"/>
  <c r="G51" i="17"/>
  <c r="N49" i="17"/>
  <c r="F48" i="17"/>
  <c r="E48" i="17"/>
  <c r="D48" i="17"/>
  <c r="C45" i="17"/>
  <c r="J44" i="17"/>
  <c r="K44" i="17" s="1"/>
  <c r="L44" i="17" s="1"/>
  <c r="M44" i="17" s="1"/>
  <c r="N44" i="17" s="1"/>
  <c r="I44" i="17"/>
  <c r="N43" i="17"/>
  <c r="K43" i="17"/>
  <c r="L43" i="17" s="1"/>
  <c r="M43" i="17" s="1"/>
  <c r="G43" i="17"/>
  <c r="E43" i="17"/>
  <c r="C43" i="17"/>
  <c r="F42" i="17"/>
  <c r="F43" i="17" s="1"/>
  <c r="E42" i="17"/>
  <c r="D42" i="17"/>
  <c r="D43" i="17" s="1"/>
  <c r="N39" i="17"/>
  <c r="F39" i="17"/>
  <c r="J39" i="17" s="1"/>
  <c r="K39" i="17" s="1"/>
  <c r="L39" i="17" s="1"/>
  <c r="M39" i="17" s="1"/>
  <c r="G38" i="17"/>
  <c r="H38" i="17" s="1"/>
  <c r="I38" i="17" s="1"/>
  <c r="J38" i="17" s="1"/>
  <c r="K38" i="17" s="1"/>
  <c r="L38" i="17" s="1"/>
  <c r="M38" i="17" s="1"/>
  <c r="N38" i="17" s="1"/>
  <c r="H37" i="17"/>
  <c r="G37" i="17"/>
  <c r="E37" i="17"/>
  <c r="E45" i="17" s="1"/>
  <c r="D37" i="17"/>
  <c r="D45" i="17" s="1"/>
  <c r="G32" i="17"/>
  <c r="H32" i="17" s="1"/>
  <c r="I32" i="17" s="1"/>
  <c r="J32" i="17" s="1"/>
  <c r="K32" i="17" s="1"/>
  <c r="L32" i="17" s="1"/>
  <c r="M32" i="17" s="1"/>
  <c r="N32" i="17" s="1"/>
  <c r="C32" i="17"/>
  <c r="D32" i="17" s="1"/>
  <c r="E32" i="17" s="1"/>
  <c r="F32" i="17" s="1"/>
  <c r="C27" i="17"/>
  <c r="N25" i="17"/>
  <c r="M25" i="17"/>
  <c r="L25" i="17"/>
  <c r="K25" i="17"/>
  <c r="H25" i="17"/>
  <c r="G25" i="17"/>
  <c r="F25" i="17"/>
  <c r="E25" i="17"/>
  <c r="D25" i="17"/>
  <c r="C25" i="17"/>
  <c r="F17" i="17"/>
  <c r="F27" i="17" s="1"/>
  <c r="E17" i="17"/>
  <c r="E27" i="17" s="1"/>
  <c r="N16" i="17"/>
  <c r="L16" i="17"/>
  <c r="K16" i="17"/>
  <c r="J16" i="17"/>
  <c r="I16" i="17"/>
  <c r="H16" i="17"/>
  <c r="G16" i="17"/>
  <c r="F16" i="17"/>
  <c r="C16" i="17"/>
  <c r="J12" i="17"/>
  <c r="J17" i="17" s="1"/>
  <c r="I12" i="17"/>
  <c r="I17" i="17" s="1"/>
  <c r="I19" i="17" s="1"/>
  <c r="I25" i="17" s="1"/>
  <c r="H12" i="17"/>
  <c r="H17" i="17" s="1"/>
  <c r="H27" i="17" s="1"/>
  <c r="G12" i="17"/>
  <c r="G17" i="17" s="1"/>
  <c r="G27" i="17" s="1"/>
  <c r="F12" i="17"/>
  <c r="E12" i="17"/>
  <c r="D12" i="17"/>
  <c r="D17" i="17" s="1"/>
  <c r="D27" i="17" s="1"/>
  <c r="C12" i="17"/>
  <c r="C17" i="17" s="1"/>
  <c r="G10" i="17"/>
  <c r="F10" i="17"/>
  <c r="M8" i="17"/>
  <c r="M9" i="17" s="1"/>
  <c r="M12" i="17" s="1"/>
  <c r="M17" i="17" s="1"/>
  <c r="M27" i="17" s="1"/>
  <c r="P64" i="17" s="1"/>
  <c r="H8" i="17"/>
  <c r="H10" i="17" s="1"/>
  <c r="G8" i="17"/>
  <c r="F8" i="17"/>
  <c r="N5" i="17"/>
  <c r="M5" i="17"/>
  <c r="L5" i="17"/>
  <c r="L8" i="17" s="1"/>
  <c r="K5" i="17"/>
  <c r="K8" i="17" s="1"/>
  <c r="J5" i="17"/>
  <c r="I5" i="17"/>
  <c r="H5" i="17"/>
  <c r="G5" i="17"/>
  <c r="F5" i="17"/>
  <c r="E5" i="17"/>
  <c r="D5" i="17"/>
  <c r="C5" i="17"/>
  <c r="N4" i="17"/>
  <c r="J4" i="17"/>
  <c r="I4" i="17"/>
  <c r="I8" i="17" s="1"/>
  <c r="I10" i="17" s="1"/>
  <c r="H4" i="17"/>
  <c r="G4" i="17"/>
  <c r="F4" i="17"/>
  <c r="E4" i="17"/>
  <c r="E8" i="17" s="1"/>
  <c r="E10" i="17" s="1"/>
  <c r="E28" i="17" s="1"/>
  <c r="D4" i="17"/>
  <c r="D8" i="17" s="1"/>
  <c r="D10" i="17" s="1"/>
  <c r="D28" i="17" s="1"/>
  <c r="C4" i="17"/>
  <c r="C8" i="17" s="1"/>
  <c r="C10" i="17" s="1"/>
  <c r="C28" i="17" s="1"/>
  <c r="M7" i="16"/>
  <c r="N7" i="16" s="1"/>
  <c r="N6" i="16"/>
  <c r="O6" i="16" s="1"/>
  <c r="M6" i="16"/>
  <c r="L6" i="16"/>
  <c r="K6" i="16"/>
  <c r="N5" i="16"/>
  <c r="O5" i="16" s="1"/>
  <c r="I5" i="16"/>
  <c r="J5" i="16" s="1"/>
  <c r="K5" i="16" s="1"/>
  <c r="L5" i="16" s="1"/>
  <c r="H5" i="16"/>
  <c r="D4" i="16"/>
  <c r="D8" i="16" s="1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D50" i="15"/>
  <c r="E50" i="15" s="1"/>
  <c r="F50" i="15" s="1"/>
  <c r="G50" i="15" s="1"/>
  <c r="H50" i="15" s="1"/>
  <c r="I50" i="15" s="1"/>
  <c r="J50" i="15" s="1"/>
  <c r="K50" i="15" s="1"/>
  <c r="L50" i="15" s="1"/>
  <c r="M50" i="15" s="1"/>
  <c r="N50" i="15" s="1"/>
  <c r="C50" i="15"/>
  <c r="B50" i="15"/>
  <c r="C40" i="15"/>
  <c r="D40" i="15" s="1"/>
  <c r="A40" i="15"/>
  <c r="C39" i="15"/>
  <c r="D39" i="15" s="1"/>
  <c r="A39" i="15"/>
  <c r="D37" i="15"/>
  <c r="E37" i="15" s="1"/>
  <c r="C37" i="15"/>
  <c r="L35" i="15"/>
  <c r="K35" i="15"/>
  <c r="J35" i="15"/>
  <c r="I35" i="15"/>
  <c r="H35" i="15"/>
  <c r="G35" i="15"/>
  <c r="F35" i="15"/>
  <c r="E35" i="15"/>
  <c r="D35" i="15"/>
  <c r="C35" i="15"/>
  <c r="M34" i="15"/>
  <c r="M35" i="15" s="1"/>
  <c r="L34" i="15"/>
  <c r="N32" i="15"/>
  <c r="M32" i="15"/>
  <c r="K32" i="15"/>
  <c r="J32" i="15"/>
  <c r="I32" i="15"/>
  <c r="H32" i="15"/>
  <c r="G32" i="15"/>
  <c r="F32" i="15"/>
  <c r="E32" i="15"/>
  <c r="D32" i="15"/>
  <c r="C32" i="15"/>
  <c r="L31" i="15"/>
  <c r="L32" i="15" s="1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E11" i="15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P28" i="14"/>
  <c r="N28" i="14"/>
  <c r="H22" i="14"/>
  <c r="H21" i="14"/>
  <c r="H20" i="14"/>
  <c r="H19" i="14"/>
  <c r="H18" i="14"/>
  <c r="H17" i="14"/>
  <c r="H16" i="14"/>
  <c r="P14" i="14"/>
  <c r="H14" i="14"/>
  <c r="H13" i="14"/>
  <c r="H12" i="14"/>
  <c r="H11" i="14"/>
  <c r="H10" i="14"/>
  <c r="H9" i="14"/>
  <c r="H8" i="14"/>
  <c r="H7" i="14"/>
  <c r="C7" i="14"/>
  <c r="H6" i="14"/>
  <c r="P5" i="14"/>
  <c r="AD4" i="14"/>
  <c r="AE4" i="14" s="1"/>
  <c r="AB4" i="14"/>
  <c r="AC4" i="14" s="1"/>
  <c r="Z4" i="14"/>
  <c r="AA4" i="14" s="1"/>
  <c r="Y4" i="14"/>
  <c r="X4" i="14"/>
  <c r="V4" i="14"/>
  <c r="T4" i="14"/>
  <c r="U4" i="14" s="1"/>
  <c r="S4" i="14"/>
  <c r="R4" i="14"/>
  <c r="Q4" i="14"/>
  <c r="P4" i="14"/>
  <c r="N4" i="14"/>
  <c r="O4" i="14" s="1"/>
  <c r="M4" i="14"/>
  <c r="L4" i="14"/>
  <c r="J4" i="14"/>
  <c r="K4" i="14" s="1"/>
  <c r="I4" i="14"/>
  <c r="H4" i="14"/>
  <c r="AD3" i="14"/>
  <c r="AC3" i="14"/>
  <c r="AB3" i="14"/>
  <c r="Z3" i="14"/>
  <c r="Y3" i="14"/>
  <c r="X3" i="14"/>
  <c r="V3" i="14"/>
  <c r="T3" i="14"/>
  <c r="S3" i="14"/>
  <c r="R3" i="14"/>
  <c r="Q3" i="14"/>
  <c r="P3" i="14"/>
  <c r="N3" i="14"/>
  <c r="M3" i="14"/>
  <c r="L3" i="14"/>
  <c r="K3" i="14"/>
  <c r="J3" i="14"/>
  <c r="I3" i="14"/>
  <c r="H3" i="14"/>
  <c r="H15" i="14" s="1"/>
  <c r="AD43" i="13"/>
  <c r="AB43" i="13"/>
  <c r="T43" i="13"/>
  <c r="N43" i="13"/>
  <c r="L43" i="13"/>
  <c r="AE39" i="13" a="1"/>
  <c r="AE39" i="13" s="1"/>
  <c r="W39" i="13" a="1"/>
  <c r="W39" i="13"/>
  <c r="O39" i="13" a="1"/>
  <c r="O39" i="13" s="1"/>
  <c r="C33" i="13"/>
  <c r="I26" i="13"/>
  <c r="O19" i="13"/>
  <c r="I18" i="13"/>
  <c r="K18" i="13" s="1"/>
  <c r="O17" i="13"/>
  <c r="R16" i="13"/>
  <c r="R15" i="13"/>
  <c r="I15" i="13"/>
  <c r="K15" i="13" s="1"/>
  <c r="S10" i="13"/>
  <c r="O9" i="13"/>
  <c r="O8" i="13"/>
  <c r="O7" i="13"/>
  <c r="O5" i="13"/>
  <c r="AF3" i="13"/>
  <c r="AE3" i="13"/>
  <c r="AC3" i="13"/>
  <c r="AD3" i="13" s="1"/>
  <c r="AA3" i="13"/>
  <c r="AB3" i="13" s="1"/>
  <c r="Z3" i="13"/>
  <c r="Y3" i="13"/>
  <c r="X3" i="13"/>
  <c r="W3" i="13"/>
  <c r="U3" i="13"/>
  <c r="S3" i="13"/>
  <c r="T3" i="13" s="1"/>
  <c r="Q3" i="13"/>
  <c r="R3" i="13" s="1"/>
  <c r="P3" i="13"/>
  <c r="O3" i="13"/>
  <c r="M3" i="13"/>
  <c r="N3" i="13" s="1"/>
  <c r="K3" i="13"/>
  <c r="J3" i="13"/>
  <c r="I3" i="13"/>
  <c r="I21" i="13" s="1"/>
  <c r="AF2" i="13"/>
  <c r="AE2" i="13"/>
  <c r="AC2" i="13"/>
  <c r="AA2" i="13"/>
  <c r="Z2" i="13"/>
  <c r="Y2" i="13"/>
  <c r="X2" i="13"/>
  <c r="W2" i="13"/>
  <c r="V2" i="13"/>
  <c r="U2" i="13"/>
  <c r="S2" i="13"/>
  <c r="Q2" i="13"/>
  <c r="P2" i="13"/>
  <c r="O2" i="13"/>
  <c r="N2" i="13"/>
  <c r="M2" i="13"/>
  <c r="K2" i="13"/>
  <c r="I2" i="13"/>
  <c r="I39" i="13" s="1" a="1"/>
  <c r="I39" i="13" s="1"/>
  <c r="H57" i="12"/>
  <c r="C49" i="12"/>
  <c r="C48" i="12"/>
  <c r="Y43" i="12"/>
  <c r="K43" i="12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I43" i="12"/>
  <c r="J43" i="12" s="1"/>
  <c r="G43" i="12"/>
  <c r="Y42" i="12"/>
  <c r="K42" i="12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J42" i="12"/>
  <c r="I42" i="12"/>
  <c r="G42" i="12"/>
  <c r="Y41" i="12"/>
  <c r="I41" i="12"/>
  <c r="J41" i="12" s="1"/>
  <c r="K41" i="12" s="1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G41" i="12"/>
  <c r="Y40" i="12"/>
  <c r="T40" i="12"/>
  <c r="U40" i="12" s="1"/>
  <c r="V40" i="12" s="1"/>
  <c r="W40" i="12" s="1"/>
  <c r="X40" i="12" s="1"/>
  <c r="I40" i="12"/>
  <c r="J40" i="12" s="1"/>
  <c r="K40" i="12" s="1"/>
  <c r="L40" i="12" s="1"/>
  <c r="M40" i="12" s="1"/>
  <c r="N40" i="12" s="1"/>
  <c r="O40" i="12" s="1"/>
  <c r="P40" i="12" s="1"/>
  <c r="Q40" i="12" s="1"/>
  <c r="R40" i="12" s="1"/>
  <c r="S40" i="12" s="1"/>
  <c r="G40" i="12"/>
  <c r="Y39" i="12"/>
  <c r="A95" i="12" s="1"/>
  <c r="S39" i="12"/>
  <c r="T39" i="12" s="1"/>
  <c r="U39" i="12" s="1"/>
  <c r="V39" i="12" s="1"/>
  <c r="W39" i="12" s="1"/>
  <c r="X39" i="12" s="1"/>
  <c r="R39" i="12"/>
  <c r="I39" i="12"/>
  <c r="J39" i="12" s="1"/>
  <c r="K39" i="12" s="1"/>
  <c r="L39" i="12" s="1"/>
  <c r="M39" i="12" s="1"/>
  <c r="N39" i="12" s="1"/>
  <c r="O39" i="12" s="1"/>
  <c r="P39" i="12" s="1"/>
  <c r="Q39" i="12" s="1"/>
  <c r="G39" i="12"/>
  <c r="Y38" i="12"/>
  <c r="A94" i="12" s="1"/>
  <c r="I38" i="12"/>
  <c r="J38" i="12" s="1"/>
  <c r="K38" i="12" s="1"/>
  <c r="L38" i="12" s="1"/>
  <c r="M38" i="12" s="1"/>
  <c r="N38" i="12" s="1"/>
  <c r="O38" i="12" s="1"/>
  <c r="P38" i="12" s="1"/>
  <c r="Q38" i="12" s="1"/>
  <c r="R38" i="12" s="1"/>
  <c r="S38" i="12" s="1"/>
  <c r="T38" i="12" s="1"/>
  <c r="U38" i="12" s="1"/>
  <c r="V38" i="12" s="1"/>
  <c r="W38" i="12" s="1"/>
  <c r="X38" i="12" s="1"/>
  <c r="G38" i="12"/>
  <c r="Y37" i="12"/>
  <c r="A93" i="12" s="1"/>
  <c r="C37" i="12"/>
  <c r="G37" i="12" s="1"/>
  <c r="Y36" i="12"/>
  <c r="A92" i="12" s="1"/>
  <c r="Q36" i="12"/>
  <c r="R36" i="12" s="1"/>
  <c r="S36" i="12" s="1"/>
  <c r="T36" i="12" s="1"/>
  <c r="U36" i="12" s="1"/>
  <c r="V36" i="12" s="1"/>
  <c r="W36" i="12" s="1"/>
  <c r="X36" i="12" s="1"/>
  <c r="L36" i="12"/>
  <c r="M36" i="12" s="1"/>
  <c r="N36" i="12" s="1"/>
  <c r="O36" i="12" s="1"/>
  <c r="P36" i="12" s="1"/>
  <c r="J36" i="12"/>
  <c r="K36" i="12" s="1"/>
  <c r="I36" i="12"/>
  <c r="G36" i="12"/>
  <c r="Y35" i="12"/>
  <c r="A91" i="12" s="1"/>
  <c r="Q35" i="12"/>
  <c r="R35" i="12" s="1"/>
  <c r="S35" i="12" s="1"/>
  <c r="T35" i="12" s="1"/>
  <c r="U35" i="12" s="1"/>
  <c r="V35" i="12" s="1"/>
  <c r="W35" i="12" s="1"/>
  <c r="X35" i="12" s="1"/>
  <c r="P35" i="12"/>
  <c r="K35" i="12"/>
  <c r="L35" i="12" s="1"/>
  <c r="M35" i="12" s="1"/>
  <c r="N35" i="12" s="1"/>
  <c r="O35" i="12" s="1"/>
  <c r="J35" i="12"/>
  <c r="I35" i="12"/>
  <c r="G35" i="12"/>
  <c r="Y34" i="12"/>
  <c r="A90" i="12" s="1"/>
  <c r="M34" i="12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K34" i="12"/>
  <c r="L34" i="12" s="1"/>
  <c r="J34" i="12"/>
  <c r="I34" i="12"/>
  <c r="G34" i="12"/>
  <c r="Y33" i="12"/>
  <c r="A89" i="12" s="1"/>
  <c r="N33" i="12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L33" i="12"/>
  <c r="K33" i="12"/>
  <c r="J33" i="12"/>
  <c r="I33" i="12"/>
  <c r="Y32" i="12"/>
  <c r="A88" i="12" s="1"/>
  <c r="A129" i="12" s="1"/>
  <c r="N32" i="12"/>
  <c r="O32" i="12" s="1"/>
  <c r="P32" i="12" s="1"/>
  <c r="Q32" i="12" s="1"/>
  <c r="R32" i="12" s="1"/>
  <c r="S32" i="12" s="1"/>
  <c r="T32" i="12" s="1"/>
  <c r="U32" i="12" s="1"/>
  <c r="V32" i="12" s="1"/>
  <c r="W32" i="12" s="1"/>
  <c r="X32" i="12" s="1"/>
  <c r="L32" i="12"/>
  <c r="J32" i="12"/>
  <c r="K32" i="12" s="1"/>
  <c r="I32" i="12"/>
  <c r="Y31" i="12"/>
  <c r="A87" i="12" s="1"/>
  <c r="L31" i="12"/>
  <c r="M31" i="12" s="1"/>
  <c r="N31" i="12" s="1"/>
  <c r="O31" i="12" s="1"/>
  <c r="P31" i="12" s="1"/>
  <c r="Q31" i="12" s="1"/>
  <c r="R31" i="12" s="1"/>
  <c r="S31" i="12" s="1"/>
  <c r="T31" i="12" s="1"/>
  <c r="U31" i="12" s="1"/>
  <c r="V31" i="12" s="1"/>
  <c r="W31" i="12" s="1"/>
  <c r="X31" i="12" s="1"/>
  <c r="J31" i="12"/>
  <c r="K31" i="12" s="1"/>
  <c r="I31" i="12"/>
  <c r="Y30" i="12"/>
  <c r="A86" i="12" s="1"/>
  <c r="L30" i="12"/>
  <c r="M30" i="12" s="1"/>
  <c r="N30" i="12" s="1"/>
  <c r="O30" i="12" s="1"/>
  <c r="P30" i="12" s="1"/>
  <c r="Q30" i="12" s="1"/>
  <c r="R30" i="12" s="1"/>
  <c r="S30" i="12" s="1"/>
  <c r="T30" i="12" s="1"/>
  <c r="U30" i="12" s="1"/>
  <c r="V30" i="12" s="1"/>
  <c r="W30" i="12" s="1"/>
  <c r="X30" i="12" s="1"/>
  <c r="I30" i="12"/>
  <c r="J30" i="12" s="1"/>
  <c r="K30" i="12" s="1"/>
  <c r="G30" i="12"/>
  <c r="Y29" i="12"/>
  <c r="A85" i="12" s="1"/>
  <c r="M29" i="12"/>
  <c r="N29" i="12" s="1"/>
  <c r="O29" i="12" s="1"/>
  <c r="P29" i="12" s="1"/>
  <c r="Q29" i="12" s="1"/>
  <c r="R29" i="12" s="1"/>
  <c r="S29" i="12" s="1"/>
  <c r="T29" i="12" s="1"/>
  <c r="U29" i="12" s="1"/>
  <c r="V29" i="12" s="1"/>
  <c r="W29" i="12" s="1"/>
  <c r="X29" i="12" s="1"/>
  <c r="L29" i="12"/>
  <c r="J29" i="12"/>
  <c r="K29" i="12" s="1"/>
  <c r="I29" i="12"/>
  <c r="G29" i="12"/>
  <c r="Y28" i="12"/>
  <c r="A84" i="12" s="1"/>
  <c r="A125" i="12" s="1"/>
  <c r="L28" i="12"/>
  <c r="M28" i="12" s="1"/>
  <c r="N28" i="12" s="1"/>
  <c r="O28" i="12" s="1"/>
  <c r="P28" i="12" s="1"/>
  <c r="Q28" i="12" s="1"/>
  <c r="R28" i="12" s="1"/>
  <c r="S28" i="12" s="1"/>
  <c r="T28" i="12" s="1"/>
  <c r="U28" i="12" s="1"/>
  <c r="V28" i="12" s="1"/>
  <c r="W28" i="12" s="1"/>
  <c r="X28" i="12" s="1"/>
  <c r="I28" i="12"/>
  <c r="J28" i="12" s="1"/>
  <c r="K28" i="12" s="1"/>
  <c r="G28" i="12"/>
  <c r="Y27" i="12"/>
  <c r="A83" i="12" s="1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I27" i="12"/>
  <c r="J27" i="12" s="1"/>
  <c r="G27" i="12"/>
  <c r="Y26" i="12"/>
  <c r="A82" i="12" s="1"/>
  <c r="J26" i="12"/>
  <c r="K26" i="12" s="1"/>
  <c r="L26" i="12" s="1"/>
  <c r="M26" i="12" s="1"/>
  <c r="N26" i="12" s="1"/>
  <c r="O26" i="12" s="1"/>
  <c r="P26" i="12" s="1"/>
  <c r="Q26" i="12" s="1"/>
  <c r="R26" i="12" s="1"/>
  <c r="S26" i="12" s="1"/>
  <c r="T26" i="12" s="1"/>
  <c r="U26" i="12" s="1"/>
  <c r="V26" i="12" s="1"/>
  <c r="W26" i="12" s="1"/>
  <c r="X26" i="12" s="1"/>
  <c r="I26" i="12"/>
  <c r="G26" i="12"/>
  <c r="Y25" i="12"/>
  <c r="A81" i="12" s="1"/>
  <c r="J25" i="12"/>
  <c r="K25" i="12" s="1"/>
  <c r="L25" i="12" s="1"/>
  <c r="M25" i="12" s="1"/>
  <c r="N25" i="12" s="1"/>
  <c r="O25" i="12" s="1"/>
  <c r="P25" i="12" s="1"/>
  <c r="Q25" i="12" s="1"/>
  <c r="R25" i="12" s="1"/>
  <c r="S25" i="12" s="1"/>
  <c r="T25" i="12" s="1"/>
  <c r="U25" i="12" s="1"/>
  <c r="V25" i="12" s="1"/>
  <c r="W25" i="12" s="1"/>
  <c r="X25" i="12" s="1"/>
  <c r="I25" i="12"/>
  <c r="G25" i="12"/>
  <c r="Y24" i="12"/>
  <c r="A80" i="12" s="1"/>
  <c r="N24" i="12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L24" i="12"/>
  <c r="M24" i="12" s="1"/>
  <c r="K24" i="12"/>
  <c r="J24" i="12"/>
  <c r="I24" i="12"/>
  <c r="G24" i="12"/>
  <c r="Y23" i="12"/>
  <c r="A79" i="12" s="1"/>
  <c r="K23" i="12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J23" i="12"/>
  <c r="I23" i="12"/>
  <c r="G23" i="12"/>
  <c r="Y22" i="12"/>
  <c r="A78" i="12" s="1"/>
  <c r="J22" i="12"/>
  <c r="K22" i="12" s="1"/>
  <c r="L22" i="12" s="1"/>
  <c r="M22" i="12" s="1"/>
  <c r="N22" i="12" s="1"/>
  <c r="O22" i="12" s="1"/>
  <c r="P22" i="12" s="1"/>
  <c r="Q22" i="12" s="1"/>
  <c r="R22" i="12" s="1"/>
  <c r="S22" i="12" s="1"/>
  <c r="T22" i="12" s="1"/>
  <c r="U22" i="12" s="1"/>
  <c r="V22" i="12" s="1"/>
  <c r="W22" i="12" s="1"/>
  <c r="X22" i="12" s="1"/>
  <c r="I22" i="12"/>
  <c r="G22" i="12"/>
  <c r="Y21" i="12"/>
  <c r="A77" i="12" s="1"/>
  <c r="R21" i="12"/>
  <c r="S21" i="12" s="1"/>
  <c r="T21" i="12" s="1"/>
  <c r="U21" i="12" s="1"/>
  <c r="V21" i="12" s="1"/>
  <c r="W21" i="12" s="1"/>
  <c r="X21" i="12" s="1"/>
  <c r="L21" i="12"/>
  <c r="M21" i="12" s="1"/>
  <c r="N21" i="12" s="1"/>
  <c r="O21" i="12" s="1"/>
  <c r="P21" i="12" s="1"/>
  <c r="Q21" i="12" s="1"/>
  <c r="J21" i="12"/>
  <c r="K21" i="12" s="1"/>
  <c r="I21" i="12"/>
  <c r="G21" i="12"/>
  <c r="Y20" i="12"/>
  <c r="A76" i="12" s="1"/>
  <c r="N20" i="12"/>
  <c r="O20" i="12" s="1"/>
  <c r="P20" i="12" s="1"/>
  <c r="Q20" i="12" s="1"/>
  <c r="R20" i="12" s="1"/>
  <c r="S20" i="12" s="1"/>
  <c r="T20" i="12" s="1"/>
  <c r="U20" i="12" s="1"/>
  <c r="V20" i="12" s="1"/>
  <c r="W20" i="12" s="1"/>
  <c r="X20" i="12" s="1"/>
  <c r="L20" i="12"/>
  <c r="M20" i="12" s="1"/>
  <c r="K20" i="12"/>
  <c r="J20" i="12"/>
  <c r="I20" i="12"/>
  <c r="G20" i="12"/>
  <c r="Y19" i="12"/>
  <c r="A75" i="12" s="1"/>
  <c r="K19" i="12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X19" i="12" s="1"/>
  <c r="J19" i="12"/>
  <c r="I19" i="12"/>
  <c r="G19" i="12"/>
  <c r="Y18" i="12"/>
  <c r="A74" i="12" s="1"/>
  <c r="K18" i="12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J18" i="12"/>
  <c r="I18" i="12"/>
  <c r="G18" i="12"/>
  <c r="Y17" i="12"/>
  <c r="A73" i="12" s="1"/>
  <c r="L17" i="12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K17" i="12"/>
  <c r="J17" i="12"/>
  <c r="I17" i="12"/>
  <c r="G17" i="12"/>
  <c r="Y16" i="12"/>
  <c r="A72" i="12" s="1"/>
  <c r="N16" i="12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K16" i="12"/>
  <c r="L16" i="12" s="1"/>
  <c r="M16" i="12" s="1"/>
  <c r="I16" i="12"/>
  <c r="J16" i="12" s="1"/>
  <c r="G16" i="12"/>
  <c r="Y15" i="12"/>
  <c r="A71" i="12" s="1"/>
  <c r="M15" i="12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K15" i="12"/>
  <c r="L15" i="12" s="1"/>
  <c r="J15" i="12"/>
  <c r="I15" i="12"/>
  <c r="G15" i="12"/>
  <c r="Y14" i="12"/>
  <c r="A70" i="12" s="1"/>
  <c r="P14" i="12"/>
  <c r="Q14" i="12" s="1"/>
  <c r="R14" i="12" s="1"/>
  <c r="S14" i="12" s="1"/>
  <c r="T14" i="12" s="1"/>
  <c r="U14" i="12" s="1"/>
  <c r="V14" i="12" s="1"/>
  <c r="W14" i="12" s="1"/>
  <c r="X14" i="12" s="1"/>
  <c r="O14" i="12"/>
  <c r="J14" i="12"/>
  <c r="K14" i="12" s="1"/>
  <c r="L14" i="12" s="1"/>
  <c r="M14" i="12" s="1"/>
  <c r="N14" i="12" s="1"/>
  <c r="I14" i="12"/>
  <c r="G14" i="12"/>
  <c r="Y13" i="12"/>
  <c r="A69" i="12" s="1"/>
  <c r="R13" i="12"/>
  <c r="S13" i="12" s="1"/>
  <c r="T13" i="12" s="1"/>
  <c r="U13" i="12" s="1"/>
  <c r="V13" i="12" s="1"/>
  <c r="W13" i="12" s="1"/>
  <c r="X13" i="12" s="1"/>
  <c r="Q13" i="12"/>
  <c r="L13" i="12"/>
  <c r="M13" i="12" s="1"/>
  <c r="N13" i="12" s="1"/>
  <c r="O13" i="12" s="1"/>
  <c r="P13" i="12" s="1"/>
  <c r="K13" i="12"/>
  <c r="J13" i="12"/>
  <c r="I13" i="12"/>
  <c r="G13" i="12"/>
  <c r="Y12" i="12"/>
  <c r="A68" i="12" s="1"/>
  <c r="V12" i="12"/>
  <c r="W12" i="12" s="1"/>
  <c r="X12" i="12" s="1"/>
  <c r="L12" i="12"/>
  <c r="M12" i="12" s="1"/>
  <c r="N12" i="12" s="1"/>
  <c r="O12" i="12" s="1"/>
  <c r="P12" i="12" s="1"/>
  <c r="Q12" i="12" s="1"/>
  <c r="R12" i="12" s="1"/>
  <c r="S12" i="12" s="1"/>
  <c r="T12" i="12" s="1"/>
  <c r="U12" i="12" s="1"/>
  <c r="K12" i="12"/>
  <c r="J12" i="12"/>
  <c r="I12" i="12"/>
  <c r="G12" i="12"/>
  <c r="Y11" i="12"/>
  <c r="A67" i="12" s="1"/>
  <c r="K11" i="12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J11" i="12"/>
  <c r="I11" i="12"/>
  <c r="G11" i="12"/>
  <c r="Y10" i="12"/>
  <c r="A66" i="12" s="1"/>
  <c r="O10" i="12"/>
  <c r="P10" i="12" s="1"/>
  <c r="Q10" i="12" s="1"/>
  <c r="R10" i="12" s="1"/>
  <c r="S10" i="12" s="1"/>
  <c r="T10" i="12" s="1"/>
  <c r="U10" i="12" s="1"/>
  <c r="V10" i="12" s="1"/>
  <c r="W10" i="12" s="1"/>
  <c r="X10" i="12" s="1"/>
  <c r="J10" i="12"/>
  <c r="K10" i="12" s="1"/>
  <c r="L10" i="12" s="1"/>
  <c r="M10" i="12" s="1"/>
  <c r="N10" i="12" s="1"/>
  <c r="I10" i="12"/>
  <c r="G10" i="12"/>
  <c r="Y9" i="12"/>
  <c r="A65" i="12" s="1"/>
  <c r="K9" i="12"/>
  <c r="L9" i="12" s="1"/>
  <c r="M9" i="12" s="1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J9" i="12"/>
  <c r="I9" i="12"/>
  <c r="G9" i="12"/>
  <c r="Y8" i="12"/>
  <c r="A64" i="12" s="1"/>
  <c r="K8" i="12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J8" i="12"/>
  <c r="I8" i="12"/>
  <c r="G8" i="12"/>
  <c r="Y7" i="12"/>
  <c r="A63" i="12" s="1"/>
  <c r="M7" i="12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I7" i="12"/>
  <c r="J7" i="12" s="1"/>
  <c r="K7" i="12" s="1"/>
  <c r="L7" i="12" s="1"/>
  <c r="G7" i="12"/>
  <c r="Y6" i="12"/>
  <c r="A62" i="12" s="1"/>
  <c r="P6" i="12"/>
  <c r="Q6" i="12" s="1"/>
  <c r="R6" i="12" s="1"/>
  <c r="S6" i="12" s="1"/>
  <c r="T6" i="12" s="1"/>
  <c r="U6" i="12" s="1"/>
  <c r="V6" i="12" s="1"/>
  <c r="W6" i="12" s="1"/>
  <c r="X6" i="12" s="1"/>
  <c r="O6" i="12"/>
  <c r="J6" i="12"/>
  <c r="K6" i="12" s="1"/>
  <c r="L6" i="12" s="1"/>
  <c r="M6" i="12" s="1"/>
  <c r="N6" i="12" s="1"/>
  <c r="I6" i="12"/>
  <c r="G6" i="12"/>
  <c r="Y5" i="12"/>
  <c r="J5" i="12"/>
  <c r="I5" i="12"/>
  <c r="C5" i="12"/>
  <c r="K55" i="12" s="1" a="1"/>
  <c r="K55" i="12" s="1"/>
  <c r="C45" i="11" a="1"/>
  <c r="C45" i="11" s="1"/>
  <c r="D45" i="11" s="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A45" i="11"/>
  <c r="A44" i="11"/>
  <c r="A43" i="11"/>
  <c r="A42" i="1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C51" i="11" s="1"/>
  <c r="M20" i="11"/>
  <c r="E20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K13" i="11"/>
  <c r="K14" i="11" s="1"/>
  <c r="J13" i="11"/>
  <c r="J14" i="11" s="1"/>
  <c r="I13" i="11"/>
  <c r="I14" i="11" s="1"/>
  <c r="H13" i="11"/>
  <c r="H14" i="11" s="1"/>
  <c r="C13" i="11"/>
  <c r="C14" i="11" s="1"/>
  <c r="C97" i="1" s="1"/>
  <c r="C51" i="9" s="1"/>
  <c r="N10" i="11"/>
  <c r="M10" i="11"/>
  <c r="M13" i="11" s="1"/>
  <c r="M14" i="11" s="1"/>
  <c r="L10" i="11"/>
  <c r="K10" i="11"/>
  <c r="K20" i="11" s="1"/>
  <c r="J10" i="11"/>
  <c r="J20" i="11" s="1"/>
  <c r="I10" i="11"/>
  <c r="I20" i="11" s="1"/>
  <c r="H10" i="11"/>
  <c r="H20" i="11" s="1"/>
  <c r="G10" i="11"/>
  <c r="G13" i="11" s="1"/>
  <c r="G14" i="11" s="1"/>
  <c r="F10" i="11"/>
  <c r="E10" i="11"/>
  <c r="E13" i="11" s="1"/>
  <c r="E14" i="11" s="1"/>
  <c r="E97" i="1" s="1"/>
  <c r="E51" i="9" s="1"/>
  <c r="D10" i="11"/>
  <c r="C10" i="11"/>
  <c r="C20" i="11" s="1"/>
  <c r="F7" i="1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M19" i="10"/>
  <c r="L19" i="10"/>
  <c r="K19" i="10"/>
  <c r="J19" i="10"/>
  <c r="J99" i="1" s="1"/>
  <c r="J61" i="9" s="1"/>
  <c r="I19" i="10"/>
  <c r="I99" i="1" s="1"/>
  <c r="I61" i="9" s="1"/>
  <c r="H19" i="10"/>
  <c r="G19" i="10"/>
  <c r="F19" i="10"/>
  <c r="E19" i="10"/>
  <c r="D19" i="10"/>
  <c r="C19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C11" i="10" s="1"/>
  <c r="D11" i="10" s="1"/>
  <c r="E11" i="10" s="1"/>
  <c r="F11" i="10" s="1"/>
  <c r="G11" i="10" s="1"/>
  <c r="C9" i="10"/>
  <c r="C6" i="10"/>
  <c r="C5" i="10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D59" i="9"/>
  <c r="I55" i="9"/>
  <c r="K51" i="9"/>
  <c r="B26" i="9"/>
  <c r="I24" i="9"/>
  <c r="H24" i="9"/>
  <c r="G23" i="9"/>
  <c r="G26" i="9" s="1"/>
  <c r="N9" i="9"/>
  <c r="M9" i="9"/>
  <c r="L9" i="9"/>
  <c r="K9" i="9"/>
  <c r="J9" i="9"/>
  <c r="I9" i="9"/>
  <c r="H9" i="9"/>
  <c r="G9" i="9"/>
  <c r="F9" i="9"/>
  <c r="E9" i="9"/>
  <c r="D9" i="9"/>
  <c r="C9" i="9"/>
  <c r="B5" i="9"/>
  <c r="B11" i="9" s="1"/>
  <c r="B2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M48" i="5"/>
  <c r="L48" i="5"/>
  <c r="L48" i="4" s="1"/>
  <c r="AG48" i="4" s="1"/>
  <c r="E48" i="5"/>
  <c r="E48" i="4" s="1"/>
  <c r="I43" i="5"/>
  <c r="I43" i="4" s="1"/>
  <c r="AD43" i="4" s="1"/>
  <c r="G43" i="5"/>
  <c r="G43" i="4" s="1"/>
  <c r="I37" i="5"/>
  <c r="I48" i="5" s="1"/>
  <c r="I30" i="5"/>
  <c r="I30" i="4" s="1"/>
  <c r="AD30" i="4" s="1"/>
  <c r="G30" i="5"/>
  <c r="G30" i="4" s="1"/>
  <c r="F30" i="5"/>
  <c r="F30" i="4" s="1"/>
  <c r="C23" i="5"/>
  <c r="K22" i="5"/>
  <c r="K21" i="5" s="1"/>
  <c r="K21" i="4" s="1"/>
  <c r="AF21" i="4" s="1"/>
  <c r="O21" i="5"/>
  <c r="O21" i="4" s="1"/>
  <c r="H21" i="5"/>
  <c r="G21" i="5"/>
  <c r="G21" i="4" s="1"/>
  <c r="C21" i="5"/>
  <c r="F20" i="5"/>
  <c r="E20" i="5"/>
  <c r="C19" i="5"/>
  <c r="D12" i="5"/>
  <c r="C1" i="5" a="1"/>
  <c r="C1" i="5" s="1"/>
  <c r="G53" i="4"/>
  <c r="F53" i="4"/>
  <c r="E53" i="4"/>
  <c r="D53" i="4"/>
  <c r="D52" i="4"/>
  <c r="D51" i="4"/>
  <c r="D50" i="4"/>
  <c r="D49" i="4"/>
  <c r="P48" i="4"/>
  <c r="AK48" i="4" s="1"/>
  <c r="D48" i="4"/>
  <c r="D47" i="4"/>
  <c r="D46" i="4"/>
  <c r="D45" i="4"/>
  <c r="D44" i="4"/>
  <c r="D43" i="4"/>
  <c r="D42" i="4"/>
  <c r="D41" i="4"/>
  <c r="D40" i="4"/>
  <c r="D39" i="4"/>
  <c r="D38" i="4"/>
  <c r="AH37" i="4"/>
  <c r="L37" i="4"/>
  <c r="AG37" i="4" s="1"/>
  <c r="I37" i="4"/>
  <c r="AD37" i="4" s="1"/>
  <c r="E37" i="4"/>
  <c r="D37" i="4"/>
  <c r="D36" i="4"/>
  <c r="D35" i="4"/>
  <c r="AI34" i="4"/>
  <c r="AH34" i="4"/>
  <c r="AG34" i="4"/>
  <c r="AE34" i="4"/>
  <c r="AC34" i="4"/>
  <c r="P34" i="4"/>
  <c r="AK34" i="4" s="1"/>
  <c r="O34" i="4"/>
  <c r="AJ34" i="4" s="1"/>
  <c r="N34" i="4"/>
  <c r="M34" i="4"/>
  <c r="L34" i="4"/>
  <c r="K34" i="4"/>
  <c r="AF34" i="4" s="1"/>
  <c r="J34" i="4"/>
  <c r="I34" i="4"/>
  <c r="AD34" i="4" s="1"/>
  <c r="H34" i="4"/>
  <c r="G34" i="4"/>
  <c r="F34" i="4"/>
  <c r="E34" i="4"/>
  <c r="D34" i="4"/>
  <c r="D33" i="4"/>
  <c r="D32" i="4"/>
  <c r="D31" i="4"/>
  <c r="D30" i="4"/>
  <c r="D29" i="4"/>
  <c r="AK28" i="4"/>
  <c r="AI28" i="4"/>
  <c r="AG28" i="4"/>
  <c r="AF28" i="4"/>
  <c r="AE28" i="4"/>
  <c r="AD28" i="4"/>
  <c r="AC28" i="4"/>
  <c r="P28" i="4"/>
  <c r="O28" i="4"/>
  <c r="AJ28" i="4" s="1"/>
  <c r="N28" i="4"/>
  <c r="M28" i="4"/>
  <c r="AH28" i="4" s="1"/>
  <c r="L28" i="4"/>
  <c r="K28" i="4"/>
  <c r="J28" i="4"/>
  <c r="I28" i="4"/>
  <c r="H28" i="4"/>
  <c r="G28" i="4"/>
  <c r="F28" i="4"/>
  <c r="E28" i="4"/>
  <c r="D28" i="4"/>
  <c r="D27" i="4"/>
  <c r="D26" i="4"/>
  <c r="D25" i="4"/>
  <c r="D24" i="4"/>
  <c r="AB23" i="4"/>
  <c r="D23" i="4"/>
  <c r="C23" i="4"/>
  <c r="AK22" i="4"/>
  <c r="AC22" i="4"/>
  <c r="P22" i="4"/>
  <c r="H22" i="4"/>
  <c r="D22" i="4"/>
  <c r="AJ21" i="4"/>
  <c r="AB21" i="4"/>
  <c r="J21" i="4"/>
  <c r="AE21" i="4" s="1"/>
  <c r="H21" i="4"/>
  <c r="AC21" i="4" s="1"/>
  <c r="D21" i="4"/>
  <c r="C21" i="4"/>
  <c r="D20" i="4"/>
  <c r="AB19" i="4"/>
  <c r="D19" i="4"/>
  <c r="C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5" s="1"/>
  <c r="B47" i="15" s="1"/>
  <c r="B107" i="1"/>
  <c r="B42" i="15" s="1"/>
  <c r="B106" i="1"/>
  <c r="B43" i="15" s="1"/>
  <c r="N102" i="1"/>
  <c r="M102" i="1"/>
  <c r="L102" i="1"/>
  <c r="K102" i="1"/>
  <c r="J102" i="1"/>
  <c r="Q59" i="24" s="1"/>
  <c r="I102" i="1"/>
  <c r="P59" i="24" s="1"/>
  <c r="H102" i="1"/>
  <c r="O59" i="24" s="1"/>
  <c r="G102" i="1"/>
  <c r="N59" i="24" s="1"/>
  <c r="F102" i="1"/>
  <c r="E102" i="1"/>
  <c r="L59" i="24" s="1"/>
  <c r="D102" i="1"/>
  <c r="I59" i="24" s="1"/>
  <c r="C102" i="1"/>
  <c r="B102" i="1"/>
  <c r="G59" i="24" s="1"/>
  <c r="B101" i="1"/>
  <c r="N100" i="1"/>
  <c r="N55" i="9" s="1"/>
  <c r="M100" i="1"/>
  <c r="M55" i="9" s="1"/>
  <c r="L100" i="1"/>
  <c r="L55" i="9" s="1"/>
  <c r="K100" i="1"/>
  <c r="K55" i="9" s="1"/>
  <c r="J100" i="1"/>
  <c r="J55" i="9" s="1"/>
  <c r="I100" i="1"/>
  <c r="H100" i="1"/>
  <c r="H55" i="9" s="1"/>
  <c r="G100" i="1"/>
  <c r="G55" i="9" s="1"/>
  <c r="F100" i="1"/>
  <c r="F55" i="9" s="1"/>
  <c r="E100" i="1"/>
  <c r="E55" i="9" s="1"/>
  <c r="D100" i="1"/>
  <c r="D55" i="9" s="1"/>
  <c r="C100" i="1"/>
  <c r="C55" i="9" s="1"/>
  <c r="B100" i="1"/>
  <c r="N99" i="1"/>
  <c r="N61" i="9" s="1"/>
  <c r="M99" i="1"/>
  <c r="M61" i="9" s="1"/>
  <c r="L99" i="1"/>
  <c r="L61" i="9" s="1"/>
  <c r="K99" i="1"/>
  <c r="K61" i="9" s="1"/>
  <c r="H99" i="1"/>
  <c r="H61" i="9" s="1"/>
  <c r="G99" i="1"/>
  <c r="G61" i="9" s="1"/>
  <c r="F99" i="1"/>
  <c r="F61" i="9" s="1"/>
  <c r="E99" i="1"/>
  <c r="E61" i="9" s="1"/>
  <c r="D99" i="1"/>
  <c r="D61" i="9" s="1"/>
  <c r="C99" i="1"/>
  <c r="C61" i="9" s="1"/>
  <c r="B99" i="1"/>
  <c r="N98" i="1"/>
  <c r="N58" i="9" s="1"/>
  <c r="M98" i="1"/>
  <c r="M58" i="9" s="1"/>
  <c r="M62" i="9" s="1"/>
  <c r="L98" i="1"/>
  <c r="L58" i="9" s="1"/>
  <c r="K98" i="1"/>
  <c r="K58" i="9" s="1"/>
  <c r="J98" i="1"/>
  <c r="J58" i="9" s="1"/>
  <c r="I98" i="1"/>
  <c r="I58" i="9" s="1"/>
  <c r="H98" i="1"/>
  <c r="H58" i="9" s="1"/>
  <c r="G98" i="1"/>
  <c r="G58" i="9" s="1"/>
  <c r="F98" i="1"/>
  <c r="F58" i="9" s="1"/>
  <c r="E98" i="1"/>
  <c r="E58" i="9" s="1"/>
  <c r="D98" i="1"/>
  <c r="D58" i="9" s="1"/>
  <c r="D62" i="9" s="1"/>
  <c r="C98" i="1"/>
  <c r="C58" i="9" s="1"/>
  <c r="B98" i="1"/>
  <c r="M97" i="1"/>
  <c r="M51" i="9" s="1"/>
  <c r="K97" i="1"/>
  <c r="J97" i="1"/>
  <c r="J51" i="9" s="1"/>
  <c r="I97" i="1"/>
  <c r="I51" i="9" s="1"/>
  <c r="H97" i="1"/>
  <c r="H51" i="9" s="1"/>
  <c r="G97" i="1"/>
  <c r="G51" i="9" s="1"/>
  <c r="B97" i="1"/>
  <c r="N96" i="1"/>
  <c r="N24" i="9" s="1"/>
  <c r="M96" i="1"/>
  <c r="M24" i="9" s="1"/>
  <c r="L96" i="1"/>
  <c r="L24" i="9" s="1"/>
  <c r="K96" i="1"/>
  <c r="K24" i="9" s="1"/>
  <c r="J96" i="1"/>
  <c r="J24" i="9" s="1"/>
  <c r="I96" i="1"/>
  <c r="H96" i="1"/>
  <c r="G96" i="1"/>
  <c r="G24" i="9" s="1"/>
  <c r="F96" i="1"/>
  <c r="F24" i="9" s="1"/>
  <c r="E96" i="1"/>
  <c r="E24" i="9" s="1"/>
  <c r="D96" i="1"/>
  <c r="D24" i="9" s="1"/>
  <c r="C96" i="1"/>
  <c r="C24" i="9" s="1"/>
  <c r="B96" i="1"/>
  <c r="B24" i="9" s="1"/>
  <c r="B95" i="1"/>
  <c r="B16" i="9" s="1"/>
  <c r="N94" i="1"/>
  <c r="P37" i="5" s="1"/>
  <c r="P48" i="5" s="1"/>
  <c r="M94" i="1"/>
  <c r="O37" i="5" s="1"/>
  <c r="L94" i="1"/>
  <c r="N37" i="5" s="1"/>
  <c r="N48" i="5" s="1"/>
  <c r="K94" i="1"/>
  <c r="M37" i="5" s="1"/>
  <c r="M37" i="4" s="1"/>
  <c r="J94" i="1"/>
  <c r="L37" i="5" s="1"/>
  <c r="I94" i="1"/>
  <c r="K37" i="5" s="1"/>
  <c r="K37" i="4" s="1"/>
  <c r="AF37" i="4" s="1"/>
  <c r="H94" i="1"/>
  <c r="J37" i="5" s="1"/>
  <c r="G94" i="1"/>
  <c r="F94" i="1"/>
  <c r="H37" i="5" s="1"/>
  <c r="E94" i="1"/>
  <c r="G37" i="5" s="1"/>
  <c r="G48" i="5" s="1"/>
  <c r="D94" i="1"/>
  <c r="F37" i="5" s="1"/>
  <c r="C94" i="1"/>
  <c r="E37" i="5" s="1"/>
  <c r="B94" i="1"/>
  <c r="F93" i="1"/>
  <c r="F49" i="15" s="1"/>
  <c r="E93" i="1"/>
  <c r="E49" i="15" s="1"/>
  <c r="D93" i="1"/>
  <c r="D49" i="15" s="1"/>
  <c r="C93" i="1"/>
  <c r="C49" i="15" s="1"/>
  <c r="B93" i="1"/>
  <c r="B49" i="15" s="1"/>
  <c r="M91" i="1"/>
  <c r="O30" i="5" s="1"/>
  <c r="O30" i="4" s="1"/>
  <c r="AJ30" i="4" s="1"/>
  <c r="L91" i="1"/>
  <c r="N30" i="5" s="1"/>
  <c r="N30" i="4" s="1"/>
  <c r="AI30" i="4" s="1"/>
  <c r="K91" i="1"/>
  <c r="M30" i="5" s="1"/>
  <c r="M30" i="4" s="1"/>
  <c r="AH30" i="4" s="1"/>
  <c r="J91" i="1"/>
  <c r="L30" i="5" s="1"/>
  <c r="L30" i="4" s="1"/>
  <c r="AG30" i="4" s="1"/>
  <c r="I91" i="1"/>
  <c r="K30" i="5" s="1"/>
  <c r="K30" i="4" s="1"/>
  <c r="AF30" i="4" s="1"/>
  <c r="H91" i="1"/>
  <c r="J30" i="5" s="1"/>
  <c r="J30" i="4" s="1"/>
  <c r="AE30" i="4" s="1"/>
  <c r="G91" i="1"/>
  <c r="F91" i="1"/>
  <c r="H30" i="5" s="1"/>
  <c r="H30" i="4" s="1"/>
  <c r="AC30" i="4" s="1"/>
  <c r="E91" i="1"/>
  <c r="D91" i="1"/>
  <c r="C91" i="1"/>
  <c r="E30" i="5" s="1"/>
  <c r="E30" i="4" s="1"/>
  <c r="B91" i="1"/>
  <c r="B87" i="1"/>
  <c r="B86" i="1"/>
  <c r="N83" i="1"/>
  <c r="Q57" i="24" s="1"/>
  <c r="M83" i="1"/>
  <c r="P57" i="24" s="1"/>
  <c r="L83" i="1"/>
  <c r="O57" i="24" s="1"/>
  <c r="K83" i="1"/>
  <c r="N57" i="24" s="1"/>
  <c r="J83" i="1"/>
  <c r="M57" i="24" s="1"/>
  <c r="I83" i="1"/>
  <c r="L57" i="24" s="1"/>
  <c r="H83" i="1"/>
  <c r="K57" i="24" s="1"/>
  <c r="G83" i="1"/>
  <c r="J57" i="24" s="1"/>
  <c r="F83" i="1"/>
  <c r="I57" i="24" s="1"/>
  <c r="E83" i="1"/>
  <c r="H57" i="24" s="1"/>
  <c r="D83" i="1"/>
  <c r="G57" i="24" s="1"/>
  <c r="C83" i="1"/>
  <c r="F57" i="24" s="1"/>
  <c r="B83" i="1"/>
  <c r="B82" i="1"/>
  <c r="N79" i="1"/>
  <c r="P22" i="5" s="1"/>
  <c r="P21" i="5" s="1"/>
  <c r="P21" i="4" s="1"/>
  <c r="AK21" i="4" s="1"/>
  <c r="M79" i="1"/>
  <c r="O22" i="5" s="1"/>
  <c r="O22" i="4" s="1"/>
  <c r="AJ22" i="4" s="1"/>
  <c r="L79" i="1"/>
  <c r="N22" i="5" s="1"/>
  <c r="K79" i="1"/>
  <c r="M22" i="5" s="1"/>
  <c r="J79" i="1"/>
  <c r="L22" i="5" s="1"/>
  <c r="I79" i="1"/>
  <c r="H79" i="1"/>
  <c r="J22" i="5" s="1"/>
  <c r="J21" i="5" s="1"/>
  <c r="G79" i="1"/>
  <c r="I22" i="5" s="1"/>
  <c r="F79" i="1"/>
  <c r="H22" i="5" s="1"/>
  <c r="E79" i="1"/>
  <c r="G22" i="5" s="1"/>
  <c r="G22" i="4" s="1"/>
  <c r="D79" i="1"/>
  <c r="F22" i="5" s="1"/>
  <c r="C79" i="1"/>
  <c r="E22" i="5" s="1"/>
  <c r="E21" i="5" s="1"/>
  <c r="E21" i="4" s="1"/>
  <c r="B79" i="1"/>
  <c r="I78" i="1"/>
  <c r="K20" i="5" s="1"/>
  <c r="H78" i="1"/>
  <c r="J20" i="5" s="1"/>
  <c r="J19" i="5" s="1"/>
  <c r="J19" i="4" s="1"/>
  <c r="AE19" i="4" s="1"/>
  <c r="F78" i="1"/>
  <c r="H20" i="5" s="1"/>
  <c r="E78" i="1"/>
  <c r="G20" i="5" s="1"/>
  <c r="G19" i="5" s="1"/>
  <c r="G19" i="4" s="1"/>
  <c r="D78" i="1"/>
  <c r="C78" i="1"/>
  <c r="B78" i="1"/>
  <c r="B77" i="1"/>
  <c r="N73" i="1"/>
  <c r="N60" i="9" s="1"/>
  <c r="M73" i="1"/>
  <c r="M60" i="9" s="1"/>
  <c r="L73" i="1"/>
  <c r="L60" i="9" s="1"/>
  <c r="I73" i="1"/>
  <c r="I60" i="9" s="1"/>
  <c r="E73" i="1"/>
  <c r="E60" i="9" s="1"/>
  <c r="D73" i="1"/>
  <c r="D60" i="9" s="1"/>
  <c r="C73" i="1"/>
  <c r="C60" i="9" s="1"/>
  <c r="B73" i="1"/>
  <c r="B72" i="1"/>
  <c r="B71" i="1"/>
  <c r="N68" i="1"/>
  <c r="N59" i="9" s="1"/>
  <c r="M68" i="1"/>
  <c r="M59" i="9" s="1"/>
  <c r="L68" i="1"/>
  <c r="L59" i="9" s="1"/>
  <c r="H68" i="1"/>
  <c r="H59" i="9" s="1"/>
  <c r="E68" i="1"/>
  <c r="E59" i="9" s="1"/>
  <c r="D68" i="1"/>
  <c r="B68" i="1"/>
  <c r="N67" i="1"/>
  <c r="N53" i="9" s="1"/>
  <c r="L67" i="1"/>
  <c r="L53" i="9" s="1"/>
  <c r="J67" i="1"/>
  <c r="J53" i="9" s="1"/>
  <c r="F67" i="1"/>
  <c r="F53" i="9" s="1"/>
  <c r="C67" i="1"/>
  <c r="C53" i="9" s="1"/>
  <c r="B67" i="1"/>
  <c r="B66" i="1"/>
  <c r="N60" i="1"/>
  <c r="Q55" i="24" s="1"/>
  <c r="M60" i="1"/>
  <c r="P55" i="24" s="1"/>
  <c r="L60" i="1"/>
  <c r="O55" i="24" s="1"/>
  <c r="K60" i="1"/>
  <c r="N55" i="24" s="1"/>
  <c r="N60" i="24" s="1"/>
  <c r="N9" i="25" s="1"/>
  <c r="J60" i="1"/>
  <c r="M55" i="24" s="1"/>
  <c r="I60" i="1"/>
  <c r="L55" i="24" s="1"/>
  <c r="H60" i="1"/>
  <c r="K55" i="24" s="1"/>
  <c r="G60" i="1"/>
  <c r="J55" i="24" s="1"/>
  <c r="F60" i="1"/>
  <c r="I55" i="24" s="1"/>
  <c r="E60" i="1"/>
  <c r="H55" i="24" s="1"/>
  <c r="D60" i="1"/>
  <c r="G55" i="24" s="1"/>
  <c r="C60" i="1"/>
  <c r="F55" i="24" s="1"/>
  <c r="F60" i="24" s="1"/>
  <c r="F9" i="25" s="1"/>
  <c r="B60" i="1"/>
  <c r="B59" i="1"/>
  <c r="B58" i="1"/>
  <c r="B14" i="9" s="1"/>
  <c r="N51" i="1"/>
  <c r="P43" i="5" s="1"/>
  <c r="P43" i="4" s="1"/>
  <c r="AK43" i="4" s="1"/>
  <c r="M51" i="1"/>
  <c r="O43" i="5" s="1"/>
  <c r="O43" i="4" s="1"/>
  <c r="AJ43" i="4" s="1"/>
  <c r="L51" i="1"/>
  <c r="N43" i="5" s="1"/>
  <c r="N43" i="4" s="1"/>
  <c r="AI43" i="4" s="1"/>
  <c r="K51" i="1"/>
  <c r="M43" i="5" s="1"/>
  <c r="M43" i="4" s="1"/>
  <c r="AH43" i="4" s="1"/>
  <c r="J51" i="1"/>
  <c r="L43" i="5" s="1"/>
  <c r="L43" i="4" s="1"/>
  <c r="AG43" i="4" s="1"/>
  <c r="I51" i="1"/>
  <c r="K43" i="5" s="1"/>
  <c r="K43" i="4" s="1"/>
  <c r="AF43" i="4" s="1"/>
  <c r="H51" i="1"/>
  <c r="J43" i="5" s="1"/>
  <c r="J43" i="4" s="1"/>
  <c r="AE43" i="4" s="1"/>
  <c r="G51" i="1"/>
  <c r="F51" i="1"/>
  <c r="H43" i="5" s="1"/>
  <c r="H43" i="4" s="1"/>
  <c r="AC43" i="4" s="1"/>
  <c r="E51" i="1"/>
  <c r="D51" i="1"/>
  <c r="F43" i="5" s="1"/>
  <c r="F43" i="4" s="1"/>
  <c r="C51" i="1"/>
  <c r="E43" i="5" s="1"/>
  <c r="E43" i="4" s="1"/>
  <c r="B51" i="1"/>
  <c r="B50" i="1"/>
  <c r="C49" i="1"/>
  <c r="E24" i="5" s="1"/>
  <c r="B49" i="1"/>
  <c r="N43" i="1"/>
  <c r="N23" i="9" s="1"/>
  <c r="N26" i="9" s="1"/>
  <c r="M43" i="1"/>
  <c r="M23" i="9" s="1"/>
  <c r="M26" i="9" s="1"/>
  <c r="L43" i="1"/>
  <c r="L23" i="9" s="1"/>
  <c r="L26" i="9" s="1"/>
  <c r="K43" i="1"/>
  <c r="K23" i="9" s="1"/>
  <c r="K26" i="9" s="1"/>
  <c r="J43" i="1"/>
  <c r="J23" i="9" s="1"/>
  <c r="J26" i="9" s="1"/>
  <c r="I43" i="1"/>
  <c r="I23" i="9" s="1"/>
  <c r="I26" i="9" s="1"/>
  <c r="H43" i="1"/>
  <c r="H23" i="9" s="1"/>
  <c r="H26" i="9" s="1"/>
  <c r="G43" i="1"/>
  <c r="F43" i="1"/>
  <c r="F23" i="9" s="1"/>
  <c r="F26" i="9" s="1"/>
  <c r="E43" i="1"/>
  <c r="E23" i="9" s="1"/>
  <c r="E26" i="9" s="1"/>
  <c r="D43" i="1"/>
  <c r="D23" i="9" s="1"/>
  <c r="D26" i="9" s="1"/>
  <c r="C43" i="1"/>
  <c r="C23" i="9" s="1"/>
  <c r="C26" i="9" s="1"/>
  <c r="B43" i="1"/>
  <c r="N37" i="1"/>
  <c r="N42" i="9" s="1"/>
  <c r="M37" i="1"/>
  <c r="M42" i="9" s="1"/>
  <c r="L37" i="1"/>
  <c r="L42" i="9" s="1"/>
  <c r="K37" i="1"/>
  <c r="K42" i="9" s="1"/>
  <c r="J37" i="1"/>
  <c r="J42" i="9" s="1"/>
  <c r="I37" i="1"/>
  <c r="I42" i="9" s="1"/>
  <c r="H37" i="1"/>
  <c r="H42" i="9" s="1"/>
  <c r="G37" i="1"/>
  <c r="G42" i="9" s="1"/>
  <c r="F37" i="1"/>
  <c r="F42" i="9" s="1"/>
  <c r="E37" i="1"/>
  <c r="E42" i="9" s="1"/>
  <c r="D37" i="1"/>
  <c r="D42" i="9" s="1"/>
  <c r="C37" i="1"/>
  <c r="C42" i="9" s="1"/>
  <c r="B37" i="1"/>
  <c r="B42" i="9" s="1"/>
  <c r="N36" i="1"/>
  <c r="N34" i="9" s="1"/>
  <c r="M36" i="1"/>
  <c r="M34" i="9" s="1"/>
  <c r="K36" i="1"/>
  <c r="K34" i="9" s="1"/>
  <c r="J36" i="1"/>
  <c r="J34" i="9" s="1"/>
  <c r="I36" i="1"/>
  <c r="I34" i="9" s="1"/>
  <c r="H36" i="1"/>
  <c r="H34" i="9" s="1"/>
  <c r="G36" i="1"/>
  <c r="G34" i="9" s="1"/>
  <c r="F36" i="1"/>
  <c r="F34" i="9" s="1"/>
  <c r="E36" i="1"/>
  <c r="E34" i="9" s="1"/>
  <c r="D36" i="1"/>
  <c r="D34" i="9" s="1"/>
  <c r="C36" i="1"/>
  <c r="C34" i="9" s="1"/>
  <c r="B36" i="1"/>
  <c r="B34" i="9" s="1"/>
  <c r="B33" i="1"/>
  <c r="N32" i="1"/>
  <c r="N43" i="9" s="1"/>
  <c r="M32" i="1"/>
  <c r="M43" i="9" s="1"/>
  <c r="L32" i="1"/>
  <c r="L43" i="9" s="1"/>
  <c r="K32" i="1"/>
  <c r="K43" i="9" s="1"/>
  <c r="J32" i="1"/>
  <c r="J43" i="9" s="1"/>
  <c r="I32" i="1"/>
  <c r="I43" i="9" s="1"/>
  <c r="H32" i="1"/>
  <c r="H43" i="9" s="1"/>
  <c r="G32" i="1"/>
  <c r="G43" i="9" s="1"/>
  <c r="F32" i="1"/>
  <c r="F43" i="9" s="1"/>
  <c r="E32" i="1"/>
  <c r="E43" i="9" s="1"/>
  <c r="D32" i="1"/>
  <c r="D43" i="9" s="1"/>
  <c r="C32" i="1"/>
  <c r="C43" i="9" s="1"/>
  <c r="B32" i="1"/>
  <c r="N31" i="1"/>
  <c r="N35" i="9" s="1"/>
  <c r="M31" i="1"/>
  <c r="M35" i="9" s="1"/>
  <c r="L31" i="1"/>
  <c r="L35" i="9" s="1"/>
  <c r="K31" i="1"/>
  <c r="K35" i="9" s="1"/>
  <c r="J31" i="1"/>
  <c r="J35" i="9" s="1"/>
  <c r="I31" i="1"/>
  <c r="I35" i="9" s="1"/>
  <c r="H31" i="1"/>
  <c r="H35" i="9" s="1"/>
  <c r="G31" i="1"/>
  <c r="G35" i="9" s="1"/>
  <c r="F31" i="1"/>
  <c r="F35" i="9" s="1"/>
  <c r="E31" i="1"/>
  <c r="E35" i="9" s="1"/>
  <c r="D31" i="1"/>
  <c r="D35" i="9" s="1"/>
  <c r="C31" i="1"/>
  <c r="C35" i="9" s="1"/>
  <c r="B31" i="1"/>
  <c r="N28" i="1"/>
  <c r="P18" i="5" s="1"/>
  <c r="P17" i="5" s="1"/>
  <c r="P17" i="4" s="1"/>
  <c r="AK17" i="4" s="1"/>
  <c r="M28" i="1"/>
  <c r="O18" i="5" s="1"/>
  <c r="L28" i="1"/>
  <c r="N18" i="5" s="1"/>
  <c r="K28" i="1"/>
  <c r="M18" i="5" s="1"/>
  <c r="J28" i="1"/>
  <c r="L18" i="5" s="1"/>
  <c r="L18" i="4" s="1"/>
  <c r="AG18" i="4" s="1"/>
  <c r="C28" i="1"/>
  <c r="E18" i="5" s="1"/>
  <c r="E17" i="5" s="1"/>
  <c r="E17" i="4" s="1"/>
  <c r="B28" i="1"/>
  <c r="N27" i="1"/>
  <c r="N41" i="9" s="1"/>
  <c r="M27" i="1"/>
  <c r="M41" i="9" s="1"/>
  <c r="L27" i="1"/>
  <c r="L41" i="9" s="1"/>
  <c r="K27" i="1"/>
  <c r="K41" i="9" s="1"/>
  <c r="J27" i="1"/>
  <c r="J41" i="9" s="1"/>
  <c r="I27" i="1"/>
  <c r="I41" i="9" s="1"/>
  <c r="H27" i="1"/>
  <c r="H41" i="9" s="1"/>
  <c r="G27" i="1"/>
  <c r="G41" i="9" s="1"/>
  <c r="F27" i="1"/>
  <c r="F41" i="9" s="1"/>
  <c r="E27" i="1"/>
  <c r="E41" i="9" s="1"/>
  <c r="D27" i="1"/>
  <c r="D41" i="9" s="1"/>
  <c r="C27" i="1"/>
  <c r="C41" i="9" s="1"/>
  <c r="B27" i="1"/>
  <c r="N26" i="1"/>
  <c r="N33" i="9" s="1"/>
  <c r="M26" i="1"/>
  <c r="M33" i="9" s="1"/>
  <c r="L26" i="1"/>
  <c r="L33" i="9" s="1"/>
  <c r="K26" i="1"/>
  <c r="K33" i="9" s="1"/>
  <c r="I26" i="1"/>
  <c r="I33" i="9" s="1"/>
  <c r="H26" i="1"/>
  <c r="H33" i="9" s="1"/>
  <c r="G26" i="1"/>
  <c r="G33" i="9" s="1"/>
  <c r="F26" i="1"/>
  <c r="F33" i="9" s="1"/>
  <c r="E26" i="1"/>
  <c r="E33" i="9" s="1"/>
  <c r="D26" i="1"/>
  <c r="D33" i="9" s="1"/>
  <c r="C26" i="1"/>
  <c r="C33" i="9" s="1"/>
  <c r="B26" i="1"/>
  <c r="B23" i="1"/>
  <c r="N22" i="1"/>
  <c r="N40" i="9" s="1"/>
  <c r="M22" i="1"/>
  <c r="M40" i="9" s="1"/>
  <c r="L22" i="1"/>
  <c r="L40" i="9" s="1"/>
  <c r="J22" i="1"/>
  <c r="J40" i="9" s="1"/>
  <c r="I22" i="1"/>
  <c r="I40" i="9" s="1"/>
  <c r="H22" i="1"/>
  <c r="H40" i="9" s="1"/>
  <c r="G22" i="1"/>
  <c r="G40" i="9" s="1"/>
  <c r="F22" i="1"/>
  <c r="F40" i="9" s="1"/>
  <c r="E22" i="1"/>
  <c r="E40" i="9" s="1"/>
  <c r="D22" i="1"/>
  <c r="D40" i="9" s="1"/>
  <c r="C22" i="1"/>
  <c r="C40" i="9" s="1"/>
  <c r="B22" i="1"/>
  <c r="L21" i="1"/>
  <c r="L32" i="9" s="1"/>
  <c r="K21" i="1"/>
  <c r="K32" i="9" s="1"/>
  <c r="J21" i="1"/>
  <c r="J32" i="9" s="1"/>
  <c r="I21" i="1"/>
  <c r="I32" i="9" s="1"/>
  <c r="H21" i="1"/>
  <c r="H32" i="9" s="1"/>
  <c r="G21" i="1"/>
  <c r="G32" i="9" s="1"/>
  <c r="F21" i="1"/>
  <c r="F32" i="9" s="1"/>
  <c r="E21" i="1"/>
  <c r="E32" i="9" s="1"/>
  <c r="D21" i="1"/>
  <c r="D32" i="9" s="1"/>
  <c r="C21" i="1"/>
  <c r="C32" i="9" s="1"/>
  <c r="B21" i="1"/>
  <c r="N18" i="1"/>
  <c r="P12" i="5" s="1"/>
  <c r="P12" i="4" s="1"/>
  <c r="AK12" i="4" s="1"/>
  <c r="M18" i="1"/>
  <c r="O12" i="5" s="1"/>
  <c r="O12" i="4" s="1"/>
  <c r="AJ12" i="4" s="1"/>
  <c r="L18" i="1"/>
  <c r="N12" i="5" s="1"/>
  <c r="N12" i="4" s="1"/>
  <c r="AI12" i="4" s="1"/>
  <c r="K18" i="1"/>
  <c r="M12" i="5" s="1"/>
  <c r="M12" i="4" s="1"/>
  <c r="AH12" i="4" s="1"/>
  <c r="J18" i="1"/>
  <c r="L12" i="5" s="1"/>
  <c r="L12" i="4" s="1"/>
  <c r="AG12" i="4" s="1"/>
  <c r="I18" i="1"/>
  <c r="K12" i="5" s="1"/>
  <c r="K12" i="4" s="1"/>
  <c r="AF12" i="4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N39" i="9" s="1"/>
  <c r="M11" i="1"/>
  <c r="M39" i="9" s="1"/>
  <c r="K11" i="1"/>
  <c r="K39" i="9" s="1"/>
  <c r="J11" i="1"/>
  <c r="J39" i="9" s="1"/>
  <c r="I11" i="1"/>
  <c r="I39" i="9" s="1"/>
  <c r="H11" i="1"/>
  <c r="H39" i="9" s="1"/>
  <c r="G11" i="1"/>
  <c r="G39" i="9" s="1"/>
  <c r="F11" i="1"/>
  <c r="F39" i="9" s="1"/>
  <c r="E11" i="1"/>
  <c r="E39" i="9" s="1"/>
  <c r="D11" i="1"/>
  <c r="D39" i="9" s="1"/>
  <c r="C11" i="1"/>
  <c r="C39" i="9" s="1"/>
  <c r="B11" i="1"/>
  <c r="N10" i="1"/>
  <c r="N31" i="9" s="1"/>
  <c r="M10" i="1"/>
  <c r="M31" i="9" s="1"/>
  <c r="L10" i="1"/>
  <c r="L31" i="9" s="1"/>
  <c r="E10" i="1"/>
  <c r="E31" i="9" s="1"/>
  <c r="C10" i="1"/>
  <c r="C31" i="9" s="1"/>
  <c r="B10" i="1"/>
  <c r="B7" i="1"/>
  <c r="N6" i="1"/>
  <c r="N38" i="9" s="1"/>
  <c r="N44" i="9" s="1"/>
  <c r="M6" i="1"/>
  <c r="M38" i="9" s="1"/>
  <c r="L6" i="1"/>
  <c r="L38" i="9" s="1"/>
  <c r="K6" i="1"/>
  <c r="K38" i="9" s="1"/>
  <c r="I6" i="1"/>
  <c r="I38" i="9" s="1"/>
  <c r="H6" i="1"/>
  <c r="H38" i="9" s="1"/>
  <c r="H44" i="9" s="1"/>
  <c r="G6" i="1"/>
  <c r="G38" i="9" s="1"/>
  <c r="F6" i="1"/>
  <c r="F38" i="9" s="1"/>
  <c r="F44" i="9" s="1"/>
  <c r="E6" i="1"/>
  <c r="E38" i="9" s="1"/>
  <c r="D6" i="1"/>
  <c r="D38" i="9" s="1"/>
  <c r="D44" i="9" s="1"/>
  <c r="C6" i="1"/>
  <c r="C38" i="9" s="1"/>
  <c r="B6" i="1"/>
  <c r="M5" i="1"/>
  <c r="M30" i="9" s="1"/>
  <c r="J5" i="1"/>
  <c r="J30" i="9" s="1"/>
  <c r="I5" i="1"/>
  <c r="I30" i="9" s="1"/>
  <c r="H5" i="1"/>
  <c r="H30" i="9" s="1"/>
  <c r="G5" i="1"/>
  <c r="G30" i="9" s="1"/>
  <c r="F5" i="1"/>
  <c r="F30" i="9" s="1"/>
  <c r="E5" i="1"/>
  <c r="E30" i="9" s="1"/>
  <c r="E36" i="9" s="1"/>
  <c r="D5" i="1"/>
  <c r="D30" i="9" s="1"/>
  <c r="C5" i="1"/>
  <c r="C30" i="9" s="1"/>
  <c r="C36" i="9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H50" i="34"/>
  <c r="G50" i="34" s="1"/>
  <c r="F50" i="34" s="1"/>
  <c r="E50" i="34" s="1"/>
  <c r="H49" i="34"/>
  <c r="G49" i="34" s="1"/>
  <c r="F49" i="34" s="1"/>
  <c r="E49" i="34" s="1"/>
  <c r="H48" i="34"/>
  <c r="G48" i="34" s="1"/>
  <c r="F48" i="34" s="1"/>
  <c r="E48" i="34" s="1"/>
  <c r="H47" i="34"/>
  <c r="G47" i="34" s="1"/>
  <c r="F47" i="34" s="1"/>
  <c r="E47" i="34" s="1"/>
  <c r="H46" i="34"/>
  <c r="G46" i="34" s="1"/>
  <c r="F46" i="34" s="1"/>
  <c r="E46" i="34" s="1"/>
  <c r="H45" i="34"/>
  <c r="G45" i="34" s="1"/>
  <c r="F45" i="34" s="1"/>
  <c r="E45" i="34" s="1"/>
  <c r="H44" i="34"/>
  <c r="G44" i="34" s="1"/>
  <c r="F44" i="34" s="1"/>
  <c r="E44" i="34" s="1"/>
  <c r="H43" i="34"/>
  <c r="G43" i="34" s="1"/>
  <c r="F43" i="34" s="1"/>
  <c r="E43" i="34" s="1"/>
  <c r="H42" i="34"/>
  <c r="G42" i="34" s="1"/>
  <c r="F42" i="34" s="1"/>
  <c r="E42" i="34" s="1"/>
  <c r="H41" i="34"/>
  <c r="G41" i="34" s="1"/>
  <c r="F41" i="34" s="1"/>
  <c r="E41" i="34" s="1"/>
  <c r="H40" i="34"/>
  <c r="G40" i="34" s="1"/>
  <c r="F40" i="34" s="1"/>
  <c r="E40" i="34" s="1"/>
  <c r="H39" i="34"/>
  <c r="G39" i="34" s="1"/>
  <c r="F39" i="34" s="1"/>
  <c r="H35" i="34"/>
  <c r="G35" i="34" s="1"/>
  <c r="F35" i="34" s="1"/>
  <c r="E35" i="34" s="1"/>
  <c r="H34" i="34"/>
  <c r="G34" i="34" s="1"/>
  <c r="F34" i="34" s="1"/>
  <c r="E34" i="34" s="1"/>
  <c r="H33" i="34"/>
  <c r="G33" i="34" s="1"/>
  <c r="F33" i="34" s="1"/>
  <c r="E33" i="34" s="1"/>
  <c r="H32" i="34"/>
  <c r="G32" i="34" s="1"/>
  <c r="F32" i="34" s="1"/>
  <c r="E32" i="34" s="1"/>
  <c r="H31" i="34"/>
  <c r="G31" i="34" s="1"/>
  <c r="F31" i="34" s="1"/>
  <c r="E31" i="34" s="1"/>
  <c r="H30" i="34"/>
  <c r="G30" i="34" s="1"/>
  <c r="F30" i="34" s="1"/>
  <c r="E30" i="34" s="1"/>
  <c r="H29" i="34"/>
  <c r="G29" i="34" s="1"/>
  <c r="F29" i="34" s="1"/>
  <c r="E29" i="34" s="1"/>
  <c r="H28" i="34"/>
  <c r="G28" i="34" s="1"/>
  <c r="F28" i="34" s="1"/>
  <c r="E28" i="34" s="1"/>
  <c r="H27" i="34"/>
  <c r="G27" i="34" s="1"/>
  <c r="F27" i="34" s="1"/>
  <c r="E27" i="34" s="1"/>
  <c r="H26" i="34"/>
  <c r="G26" i="34" s="1"/>
  <c r="F26" i="34" s="1"/>
  <c r="E26" i="34" s="1"/>
  <c r="H25" i="34"/>
  <c r="G25" i="34" s="1"/>
  <c r="F34" i="31" l="1"/>
  <c r="G31" i="31"/>
  <c r="G77" i="27" s="1"/>
  <c r="O31" i="31"/>
  <c r="O77" i="27" s="1"/>
  <c r="Q31" i="31"/>
  <c r="Q77" i="27" s="1"/>
  <c r="M32" i="31"/>
  <c r="M78" i="27" s="1"/>
  <c r="M57" i="27" s="1"/>
  <c r="M58" i="27" s="1"/>
  <c r="M69" i="27" s="1"/>
  <c r="K31" i="31"/>
  <c r="K77" i="27" s="1"/>
  <c r="J32" i="31"/>
  <c r="J78" i="27" s="1"/>
  <c r="J57" i="27" s="1"/>
  <c r="J58" i="27" s="1"/>
  <c r="J69" i="27" s="1"/>
  <c r="M60" i="24"/>
  <c r="M9" i="25" s="1"/>
  <c r="E39" i="34"/>
  <c r="M21" i="5"/>
  <c r="M21" i="4" s="1"/>
  <c r="AH21" i="4" s="1"/>
  <c r="M22" i="4"/>
  <c r="AH22" i="4" s="1"/>
  <c r="O48" i="5"/>
  <c r="O37" i="4"/>
  <c r="AJ37" i="4" s="1"/>
  <c r="K47" i="32"/>
  <c r="K79" i="26" s="1"/>
  <c r="J47" i="32"/>
  <c r="J79" i="26" s="1"/>
  <c r="Q47" i="32"/>
  <c r="Q79" i="26" s="1"/>
  <c r="I47" i="32"/>
  <c r="I79" i="26" s="1"/>
  <c r="P47" i="32"/>
  <c r="P79" i="26" s="1"/>
  <c r="H47" i="32"/>
  <c r="H79" i="26" s="1"/>
  <c r="L47" i="32"/>
  <c r="L79" i="26" s="1"/>
  <c r="G47" i="32"/>
  <c r="G79" i="26" s="1"/>
  <c r="F47" i="32"/>
  <c r="F79" i="26" s="1"/>
  <c r="O47" i="32"/>
  <c r="O79" i="26" s="1"/>
  <c r="N47" i="32"/>
  <c r="N79" i="26" s="1"/>
  <c r="M47" i="32"/>
  <c r="M79" i="26" s="1"/>
  <c r="F25" i="34"/>
  <c r="E44" i="9"/>
  <c r="M44" i="9"/>
  <c r="J37" i="4"/>
  <c r="AE37" i="4" s="1"/>
  <c r="J48" i="5"/>
  <c r="G20" i="4"/>
  <c r="G37" i="4"/>
  <c r="K48" i="5"/>
  <c r="I21" i="5"/>
  <c r="I21" i="4" s="1"/>
  <c r="AD21" i="4" s="1"/>
  <c r="I22" i="4"/>
  <c r="AD22" i="4" s="1"/>
  <c r="E22" i="4"/>
  <c r="G44" i="9"/>
  <c r="K19" i="5"/>
  <c r="K19" i="4" s="1"/>
  <c r="AF19" i="4" s="1"/>
  <c r="K20" i="4"/>
  <c r="AF20" i="4" s="1"/>
  <c r="P18" i="4"/>
  <c r="AK18" i="4" s="1"/>
  <c r="J20" i="4"/>
  <c r="AE20" i="4" s="1"/>
  <c r="E46" i="9"/>
  <c r="E23" i="5"/>
  <c r="E23" i="4" s="1"/>
  <c r="E24" i="4"/>
  <c r="N37" i="4"/>
  <c r="AI37" i="4" s="1"/>
  <c r="I44" i="9"/>
  <c r="L21" i="5"/>
  <c r="L21" i="4" s="1"/>
  <c r="AG21" i="4" s="1"/>
  <c r="L22" i="4"/>
  <c r="AG22" i="4" s="1"/>
  <c r="F48" i="5"/>
  <c r="F37" i="4"/>
  <c r="N48" i="4"/>
  <c r="AI48" i="4" s="1"/>
  <c r="L62" i="9"/>
  <c r="M17" i="5"/>
  <c r="M17" i="4" s="1"/>
  <c r="AH17" i="4" s="1"/>
  <c r="M18" i="4"/>
  <c r="AH18" i="4" s="1"/>
  <c r="E62" i="9"/>
  <c r="G48" i="4"/>
  <c r="L17" i="5"/>
  <c r="L17" i="4" s="1"/>
  <c r="AG17" i="4" s="1"/>
  <c r="C44" i="9"/>
  <c r="C46" i="9" s="1"/>
  <c r="N17" i="5"/>
  <c r="N17" i="4" s="1"/>
  <c r="AI17" i="4" s="1"/>
  <c r="N18" i="4"/>
  <c r="AI18" i="4" s="1"/>
  <c r="F21" i="5"/>
  <c r="F21" i="4" s="1"/>
  <c r="F22" i="4"/>
  <c r="N21" i="5"/>
  <c r="N21" i="4" s="1"/>
  <c r="AI21" i="4" s="1"/>
  <c r="N22" i="4"/>
  <c r="AI22" i="4" s="1"/>
  <c r="E18" i="4"/>
  <c r="O46" i="32"/>
  <c r="O78" i="26" s="1"/>
  <c r="G46" i="32"/>
  <c r="G78" i="26" s="1"/>
  <c r="N46" i="32"/>
  <c r="N78" i="26" s="1"/>
  <c r="F46" i="32"/>
  <c r="F78" i="26" s="1"/>
  <c r="M46" i="32"/>
  <c r="M78" i="26" s="1"/>
  <c r="L46" i="32"/>
  <c r="L78" i="26" s="1"/>
  <c r="P46" i="32"/>
  <c r="P78" i="26" s="1"/>
  <c r="H46" i="32"/>
  <c r="H78" i="26" s="1"/>
  <c r="Q46" i="32"/>
  <c r="Q78" i="26" s="1"/>
  <c r="K46" i="32"/>
  <c r="K78" i="26" s="1"/>
  <c r="J46" i="32"/>
  <c r="J78" i="26" s="1"/>
  <c r="I46" i="32"/>
  <c r="I78" i="26" s="1"/>
  <c r="O17" i="5"/>
  <c r="O17" i="4" s="1"/>
  <c r="AJ17" i="4" s="1"/>
  <c r="O18" i="4"/>
  <c r="AJ18" i="4" s="1"/>
  <c r="H19" i="5"/>
  <c r="H19" i="4" s="1"/>
  <c r="AC19" i="4" s="1"/>
  <c r="H20" i="4"/>
  <c r="AC20" i="4" s="1"/>
  <c r="E19" i="5"/>
  <c r="E19" i="4" s="1"/>
  <c r="E20" i="4"/>
  <c r="F19" i="5"/>
  <c r="F19" i="4" s="1"/>
  <c r="F20" i="4"/>
  <c r="I48" i="4"/>
  <c r="AD48" i="4" s="1"/>
  <c r="F13" i="11"/>
  <c r="F14" i="11" s="1"/>
  <c r="F97" i="1" s="1"/>
  <c r="F51" i="9" s="1"/>
  <c r="F20" i="11"/>
  <c r="N13" i="11"/>
  <c r="N14" i="11" s="1"/>
  <c r="N97" i="1" s="1"/>
  <c r="N51" i="9" s="1"/>
  <c r="N20" i="11"/>
  <c r="G93" i="1"/>
  <c r="G49" i="15" s="1"/>
  <c r="H11" i="10"/>
  <c r="A104" i="12"/>
  <c r="E63" i="12" a="1"/>
  <c r="E63" i="12" s="1"/>
  <c r="G63" i="12" s="1"/>
  <c r="D63" i="12"/>
  <c r="I63" i="12" a="1"/>
  <c r="I63" i="12" s="1"/>
  <c r="A107" i="12"/>
  <c r="E66" i="12" a="1"/>
  <c r="E66" i="12" s="1"/>
  <c r="I66" i="12" a="1"/>
  <c r="I66" i="12" s="1"/>
  <c r="G66" i="12"/>
  <c r="D66" i="12"/>
  <c r="H48" i="5"/>
  <c r="H37" i="4"/>
  <c r="AC37" i="4" s="1"/>
  <c r="P37" i="4"/>
  <c r="AK37" i="4" s="1"/>
  <c r="M48" i="4"/>
  <c r="AH48" i="4" s="1"/>
  <c r="L60" i="24"/>
  <c r="L9" i="25" s="1"/>
  <c r="B51" i="15"/>
  <c r="B52" i="15" s="1"/>
  <c r="J22" i="4"/>
  <c r="AE22" i="4" s="1"/>
  <c r="K22" i="4"/>
  <c r="AF22" i="4" s="1"/>
  <c r="D13" i="11"/>
  <c r="D14" i="11" s="1"/>
  <c r="D97" i="1" s="1"/>
  <c r="D51" i="9" s="1"/>
  <c r="D20" i="11"/>
  <c r="L13" i="11"/>
  <c r="L14" i="11" s="1"/>
  <c r="L97" i="1" s="1"/>
  <c r="L51" i="9" s="1"/>
  <c r="L20" i="11"/>
  <c r="C140" i="12"/>
  <c r="C41" i="11" a="1"/>
  <c r="C41" i="11" s="1"/>
  <c r="D41" i="11" s="1" a="1"/>
  <c r="D41" i="11" s="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C42" i="11" a="1"/>
  <c r="C42" i="11" s="1"/>
  <c r="D42" i="11" s="1" a="1"/>
  <c r="D42" i="11" s="1"/>
  <c r="E42" i="11" s="1" a="1"/>
  <c r="E42" i="11" s="1"/>
  <c r="F42" i="11" s="1" a="1"/>
  <c r="F42" i="11" s="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C25" i="1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C43" i="11" a="1"/>
  <c r="C43" i="11" s="1"/>
  <c r="D43" i="11" s="1" a="1"/>
  <c r="D43" i="11" s="1"/>
  <c r="E43" i="11" s="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C26" i="11"/>
  <c r="C44" i="11" a="1"/>
  <c r="C44" i="11" s="1"/>
  <c r="D44" i="11" s="1" a="1"/>
  <c r="D44" i="11" s="1"/>
  <c r="E44" i="11" s="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I82" i="12" a="1"/>
  <c r="I82" i="12" s="1"/>
  <c r="A171" i="12"/>
  <c r="D125" i="12" a="1"/>
  <c r="D125" i="12" s="1"/>
  <c r="C125" i="12" a="1"/>
  <c r="C125" i="12" s="1"/>
  <c r="E68" i="12" a="1"/>
  <c r="E68" i="12" s="1"/>
  <c r="A122" i="12"/>
  <c r="I81" i="12" a="1"/>
  <c r="I81" i="12" s="1"/>
  <c r="E81" i="12" a="1"/>
  <c r="E81" i="12" s="1"/>
  <c r="G81" i="12" s="1"/>
  <c r="D81" i="12"/>
  <c r="D71" i="12"/>
  <c r="I47" i="12"/>
  <c r="A61" i="12"/>
  <c r="C129" i="12" a="1"/>
  <c r="C129" i="12" s="1"/>
  <c r="D88" i="12"/>
  <c r="I88" i="12" a="1"/>
  <c r="I88" i="12" s="1"/>
  <c r="F69" i="12" a="1"/>
  <c r="F69" i="12" s="1"/>
  <c r="E69" i="12" a="1"/>
  <c r="E69" i="12" s="1"/>
  <c r="A110" i="12"/>
  <c r="I69" i="12" a="1"/>
  <c r="I69" i="12" s="1"/>
  <c r="D69" i="12"/>
  <c r="I72" i="12" a="1"/>
  <c r="I72" i="12" s="1"/>
  <c r="E78" i="12" a="1"/>
  <c r="E78" i="12" s="1"/>
  <c r="F83" i="12" a="1"/>
  <c r="F83" i="12" s="1"/>
  <c r="J48" i="12"/>
  <c r="J47" i="12"/>
  <c r="J45" i="12" s="1"/>
  <c r="G75" i="12"/>
  <c r="A116" i="12"/>
  <c r="E75" i="12" a="1"/>
  <c r="E75" i="12" s="1"/>
  <c r="I75" i="12" a="1"/>
  <c r="I75" i="12" s="1"/>
  <c r="D75" i="12"/>
  <c r="A120" i="12"/>
  <c r="E79" i="12" a="1"/>
  <c r="E79" i="12" s="1"/>
  <c r="D79" i="12"/>
  <c r="F79" i="12" a="1"/>
  <c r="F79" i="12" s="1"/>
  <c r="I79" i="12" a="1"/>
  <c r="I79" i="12" s="1"/>
  <c r="G80" i="12"/>
  <c r="N62" i="9"/>
  <c r="K5" i="12"/>
  <c r="G62" i="12"/>
  <c r="F62" i="12" a="1"/>
  <c r="F62" i="12" s="1"/>
  <c r="I62" i="12" a="1"/>
  <c r="I62" i="12" s="1"/>
  <c r="E62" i="12" a="1"/>
  <c r="E62" i="12" s="1"/>
  <c r="A103" i="12"/>
  <c r="D62" i="12"/>
  <c r="D70" i="12"/>
  <c r="I70" i="12" a="1"/>
  <c r="I70" i="12" s="1"/>
  <c r="E70" i="12" a="1"/>
  <c r="E70" i="12" s="1"/>
  <c r="G70" i="12" s="1"/>
  <c r="A111" i="12"/>
  <c r="F70" i="12" a="1"/>
  <c r="F70" i="12" s="1"/>
  <c r="I76" i="12" a="1"/>
  <c r="I76" i="12" s="1"/>
  <c r="A126" i="12"/>
  <c r="F85" i="12" a="1"/>
  <c r="F85" i="12" s="1"/>
  <c r="E85" i="12" a="1"/>
  <c r="E85" i="12" s="1"/>
  <c r="G85" i="12" s="1"/>
  <c r="D85" i="12"/>
  <c r="I85" i="12" a="1"/>
  <c r="I85" i="12" s="1"/>
  <c r="A132" i="12"/>
  <c r="G91" i="12"/>
  <c r="E91" i="12" a="1"/>
  <c r="E91" i="12" s="1"/>
  <c r="D91" i="12"/>
  <c r="I91" i="12" a="1"/>
  <c r="I91" i="12" s="1"/>
  <c r="A136" i="12"/>
  <c r="E95" i="12" a="1"/>
  <c r="E95" i="12" s="1"/>
  <c r="D95" i="12"/>
  <c r="I95" i="12" a="1"/>
  <c r="I95" i="12" s="1"/>
  <c r="G95" i="12"/>
  <c r="J59" i="24"/>
  <c r="H59" i="24"/>
  <c r="G20" i="11"/>
  <c r="F65" i="12" a="1"/>
  <c r="F65" i="12" s="1"/>
  <c r="I65" i="12" a="1"/>
  <c r="I65" i="12" s="1"/>
  <c r="E65" i="12" a="1"/>
  <c r="E65" i="12" s="1"/>
  <c r="A106" i="12"/>
  <c r="D65" i="12"/>
  <c r="F90" i="12" a="1"/>
  <c r="F90" i="12" s="1"/>
  <c r="G5" i="12"/>
  <c r="F66" i="12" s="1" a="1"/>
  <c r="F66" i="12" s="1"/>
  <c r="A127" i="12"/>
  <c r="D86" i="12"/>
  <c r="I86" i="12" a="1"/>
  <c r="I86" i="12" s="1"/>
  <c r="E86" i="12" a="1"/>
  <c r="E86" i="12" s="1"/>
  <c r="A128" i="12"/>
  <c r="G87" i="12"/>
  <c r="I87" i="12" a="1"/>
  <c r="I87" i="12" s="1"/>
  <c r="I37" i="12"/>
  <c r="J37" i="12" s="1"/>
  <c r="K37" i="12" s="1"/>
  <c r="L37" i="12" s="1"/>
  <c r="M37" i="12" s="1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M55" i="12" a="1"/>
  <c r="M55" i="12" s="1"/>
  <c r="C63" i="1" s="1"/>
  <c r="C52" i="9" s="1"/>
  <c r="F67" i="12" a="1"/>
  <c r="F67" i="12" s="1"/>
  <c r="D78" i="12"/>
  <c r="E90" i="12" a="1"/>
  <c r="E90" i="12" s="1"/>
  <c r="E93" i="12" a="1"/>
  <c r="E93" i="12" s="1"/>
  <c r="A108" i="12"/>
  <c r="A114" i="12"/>
  <c r="D73" i="12"/>
  <c r="I73" i="12" a="1"/>
  <c r="I73" i="12" s="1"/>
  <c r="E73" i="12" a="1"/>
  <c r="E73" i="12" s="1"/>
  <c r="G73" i="12" s="1"/>
  <c r="A118" i="12"/>
  <c r="I77" i="12" a="1"/>
  <c r="I77" i="12" s="1"/>
  <c r="D77" i="12"/>
  <c r="C50" i="12"/>
  <c r="S55" i="12" a="1"/>
  <c r="S55" i="12" s="1"/>
  <c r="I63" i="1" s="1"/>
  <c r="I52" i="9" s="1"/>
  <c r="I56" i="9" s="1"/>
  <c r="F64" i="12" a="1"/>
  <c r="F64" i="12" s="1"/>
  <c r="D72" i="12"/>
  <c r="E84" i="12" a="1"/>
  <c r="E84" i="12" s="1"/>
  <c r="E87" i="12" a="1"/>
  <c r="E87" i="12" s="1"/>
  <c r="F93" i="12" a="1"/>
  <c r="F93" i="12" s="1"/>
  <c r="I55" i="12" a="1"/>
  <c r="I55" i="12" s="1"/>
  <c r="N55" i="12" a="1"/>
  <c r="N55" i="12" s="1"/>
  <c r="D63" i="1" s="1"/>
  <c r="D52" i="9" s="1"/>
  <c r="F87" i="12" a="1"/>
  <c r="F87" i="12" s="1"/>
  <c r="I74" i="12" a="1"/>
  <c r="I74" i="12" s="1"/>
  <c r="A115" i="12"/>
  <c r="D74" i="12"/>
  <c r="A119" i="12"/>
  <c r="G78" i="12"/>
  <c r="F78" i="12" a="1"/>
  <c r="F78" i="12" s="1"/>
  <c r="E82" i="12" a="1"/>
  <c r="E82" i="12" s="1"/>
  <c r="F82" i="12" a="1"/>
  <c r="F82" i="12" s="1"/>
  <c r="F94" i="12" a="1"/>
  <c r="F94" i="12" s="1"/>
  <c r="A135" i="12"/>
  <c r="V55" i="12" a="1"/>
  <c r="V55" i="12" s="1"/>
  <c r="L63" i="1" s="1"/>
  <c r="L52" i="9" s="1"/>
  <c r="D68" i="12"/>
  <c r="I78" i="12" a="1"/>
  <c r="I78" i="12" s="1"/>
  <c r="E80" i="12" a="1"/>
  <c r="E80" i="12" s="1"/>
  <c r="E83" i="12" a="1"/>
  <c r="E83" i="12" s="1"/>
  <c r="G83" i="12" s="1"/>
  <c r="F89" i="12" a="1"/>
  <c r="F89" i="12" s="1"/>
  <c r="F92" i="12" a="1"/>
  <c r="F92" i="12" s="1"/>
  <c r="J55" i="12" a="1"/>
  <c r="J55" i="12" s="1"/>
  <c r="O55" i="12" a="1"/>
  <c r="O55" i="12" s="1"/>
  <c r="E63" i="1" s="1"/>
  <c r="E52" i="9" s="1"/>
  <c r="E74" i="12" a="1"/>
  <c r="E74" i="12" s="1"/>
  <c r="E77" i="12" a="1"/>
  <c r="E77" i="12" s="1"/>
  <c r="F86" i="12" a="1"/>
  <c r="F86" i="12" s="1"/>
  <c r="D94" i="12"/>
  <c r="A123" i="12"/>
  <c r="D67" i="12"/>
  <c r="I67" i="12" a="1"/>
  <c r="I67" i="12" s="1"/>
  <c r="A112" i="12"/>
  <c r="G71" i="12"/>
  <c r="I71" i="12" a="1"/>
  <c r="I71" i="12" s="1"/>
  <c r="A124" i="12"/>
  <c r="D83" i="12"/>
  <c r="I83" i="12" a="1"/>
  <c r="I83" i="12" s="1"/>
  <c r="I93" i="12" a="1"/>
  <c r="I93" i="12" s="1"/>
  <c r="A134" i="12"/>
  <c r="D93" i="12"/>
  <c r="P55" i="12" a="1"/>
  <c r="P55" i="12" s="1"/>
  <c r="F63" i="1" s="1"/>
  <c r="F52" i="9" s="1"/>
  <c r="E71" i="12" a="1"/>
  <c r="E71" i="12" s="1"/>
  <c r="F77" i="12" a="1"/>
  <c r="F77" i="12" s="1"/>
  <c r="F80" i="12" a="1"/>
  <c r="F80" i="12" s="1"/>
  <c r="G86" i="12"/>
  <c r="D49" i="11"/>
  <c r="A130" i="12"/>
  <c r="D89" i="12"/>
  <c r="I89" i="12" a="1"/>
  <c r="I89" i="12" s="1"/>
  <c r="E89" i="12" a="1"/>
  <c r="E89" i="12" s="1"/>
  <c r="I90" i="12" a="1"/>
  <c r="I90" i="12" s="1"/>
  <c r="G90" i="12"/>
  <c r="A131" i="12"/>
  <c r="D90" i="12"/>
  <c r="A133" i="12"/>
  <c r="E92" i="12" a="1"/>
  <c r="E92" i="12" s="1"/>
  <c r="D92" i="12"/>
  <c r="C47" i="12"/>
  <c r="F71" i="12" a="1"/>
  <c r="F71" i="12" s="1"/>
  <c r="F74" i="12" a="1"/>
  <c r="F74" i="12" s="1"/>
  <c r="G77" i="12"/>
  <c r="D82" i="12"/>
  <c r="I92" i="12" a="1"/>
  <c r="I92" i="12" s="1"/>
  <c r="E94" i="12" a="1"/>
  <c r="E94" i="12" s="1"/>
  <c r="W55" i="12" a="1"/>
  <c r="W55" i="12" s="1"/>
  <c r="M63" i="1" s="1"/>
  <c r="M52" i="9" s="1"/>
  <c r="M56" i="9" s="1"/>
  <c r="M64" i="9" s="1"/>
  <c r="E97" i="12" a="1"/>
  <c r="E97" i="12" s="1"/>
  <c r="T55" i="12" a="1"/>
  <c r="T55" i="12" s="1"/>
  <c r="J63" i="1" s="1"/>
  <c r="J52" i="9" s="1"/>
  <c r="X55" i="12" a="1"/>
  <c r="X55" i="12" s="1"/>
  <c r="N63" i="1" s="1"/>
  <c r="N52" i="9" s="1"/>
  <c r="C44" i="12"/>
  <c r="U55" i="12" a="1"/>
  <c r="U55" i="12" s="1"/>
  <c r="K63" i="1" s="1"/>
  <c r="K52" i="9" s="1"/>
  <c r="Q55" i="12" a="1"/>
  <c r="Q55" i="12" s="1"/>
  <c r="G63" i="1" s="1"/>
  <c r="G52" i="9" s="1"/>
  <c r="D64" i="12"/>
  <c r="I64" i="12" a="1"/>
  <c r="I64" i="12" s="1"/>
  <c r="A105" i="12"/>
  <c r="G68" i="12"/>
  <c r="A109" i="12"/>
  <c r="F68" i="12" a="1"/>
  <c r="F68" i="12" s="1"/>
  <c r="I68" i="12" a="1"/>
  <c r="I68" i="12" s="1"/>
  <c r="F72" i="12" a="1"/>
  <c r="F72" i="12" s="1"/>
  <c r="E72" i="12" a="1"/>
  <c r="E72" i="12" s="1"/>
  <c r="A113" i="12"/>
  <c r="E76" i="12" a="1"/>
  <c r="E76" i="12" s="1"/>
  <c r="G76" i="12" s="1"/>
  <c r="A117" i="12"/>
  <c r="D76" i="12"/>
  <c r="D80" i="12"/>
  <c r="I80" i="12" a="1"/>
  <c r="I80" i="12" s="1"/>
  <c r="A121" i="12"/>
  <c r="G84" i="12"/>
  <c r="F84" i="12" a="1"/>
  <c r="F84" i="12" s="1"/>
  <c r="I84" i="12" a="1"/>
  <c r="I84" i="12" s="1"/>
  <c r="L55" i="12" a="1"/>
  <c r="L55" i="12" s="1"/>
  <c r="B63" i="1" s="1"/>
  <c r="R55" i="12" a="1"/>
  <c r="R55" i="12" s="1"/>
  <c r="H63" i="1" s="1"/>
  <c r="H52" i="9" s="1"/>
  <c r="E64" i="12" a="1"/>
  <c r="E64" i="12" s="1"/>
  <c r="E67" i="12" a="1"/>
  <c r="E67" i="12" s="1"/>
  <c r="F73" i="12" a="1"/>
  <c r="F73" i="12" s="1"/>
  <c r="F76" i="12" a="1"/>
  <c r="F76" i="12" s="1"/>
  <c r="G82" i="12"/>
  <c r="D84" i="12"/>
  <c r="D87" i="12"/>
  <c r="I94" i="12" a="1"/>
  <c r="I94" i="12" s="1"/>
  <c r="G88" i="12"/>
  <c r="Y39" i="13" a="1"/>
  <c r="Y39" i="13" s="1"/>
  <c r="K67" i="1" s="1"/>
  <c r="K53" i="9" s="1"/>
  <c r="L3" i="13"/>
  <c r="K22" i="13"/>
  <c r="Q9" i="13"/>
  <c r="S9" i="13" s="1"/>
  <c r="U9" i="13" s="1"/>
  <c r="W9" i="13" s="1"/>
  <c r="Y9" i="13" s="1"/>
  <c r="AA9" i="13" s="1"/>
  <c r="AC9" i="13" s="1"/>
  <c r="AE9" i="13" s="1"/>
  <c r="I14" i="13"/>
  <c r="J14" i="13" s="1"/>
  <c r="I16" i="13"/>
  <c r="I20" i="13"/>
  <c r="K20" i="13" s="1"/>
  <c r="M20" i="13" s="1"/>
  <c r="O20" i="13" s="1"/>
  <c r="A175" i="12"/>
  <c r="Q18" i="13"/>
  <c r="S18" i="13" s="1"/>
  <c r="U18" i="13" s="1"/>
  <c r="Q7" i="13"/>
  <c r="Q39" i="13" a="1"/>
  <c r="Q39" i="13" s="1"/>
  <c r="G67" i="1" s="1"/>
  <c r="G53" i="9" s="1"/>
  <c r="Q8" i="13"/>
  <c r="S8" i="13" s="1"/>
  <c r="U8" i="13" s="1"/>
  <c r="W8" i="13" s="1"/>
  <c r="Y8" i="13" s="1"/>
  <c r="AA8" i="13" s="1"/>
  <c r="AC8" i="13" s="1"/>
  <c r="AE8" i="13" s="1"/>
  <c r="Q5" i="13"/>
  <c r="R2" i="13"/>
  <c r="E88" i="12" a="1"/>
  <c r="E88" i="12" s="1"/>
  <c r="D129" i="12" a="1"/>
  <c r="D129" i="12" s="1"/>
  <c r="K23" i="13"/>
  <c r="M23" i="13" s="1"/>
  <c r="O23" i="13" s="1"/>
  <c r="Q23" i="13" s="1"/>
  <c r="Y10" i="13"/>
  <c r="AA10" i="13" s="1"/>
  <c r="AC10" i="13" s="1"/>
  <c r="AE10" i="13" s="1"/>
  <c r="I13" i="13"/>
  <c r="J13" i="13" s="1"/>
  <c r="I17" i="13"/>
  <c r="K17" i="13" s="1"/>
  <c r="M17" i="13" s="1"/>
  <c r="I19" i="13"/>
  <c r="K19" i="13" s="1"/>
  <c r="M19" i="13" s="1"/>
  <c r="J19" i="14"/>
  <c r="K5" i="13"/>
  <c r="M5" i="13" s="1"/>
  <c r="S21" i="13"/>
  <c r="U21" i="13" s="1"/>
  <c r="W21" i="13" s="1"/>
  <c r="Y21" i="13" s="1"/>
  <c r="F88" i="12" a="1"/>
  <c r="F88" i="12" s="1"/>
  <c r="E129" i="12" a="1"/>
  <c r="E129" i="12" s="1"/>
  <c r="V3" i="13"/>
  <c r="U39" i="13" a="1"/>
  <c r="U39" i="13" s="1"/>
  <c r="I67" i="1" s="1"/>
  <c r="I53" i="9" s="1"/>
  <c r="I7" i="13"/>
  <c r="K7" i="13" s="1"/>
  <c r="Q17" i="13"/>
  <c r="Q19" i="13"/>
  <c r="M15" i="13"/>
  <c r="O15" i="13" s="1"/>
  <c r="M26" i="13"/>
  <c r="O26" i="13" s="1"/>
  <c r="Q26" i="13" s="1"/>
  <c r="S26" i="13" s="1"/>
  <c r="U26" i="13" s="1"/>
  <c r="W26" i="13" s="1"/>
  <c r="Y26" i="13" s="1"/>
  <c r="M22" i="13"/>
  <c r="O22" i="13" s="1"/>
  <c r="Q22" i="13" s="1"/>
  <c r="M18" i="13"/>
  <c r="O18" i="13" s="1"/>
  <c r="M39" i="13" a="1"/>
  <c r="M39" i="13" s="1"/>
  <c r="E67" i="1" s="1"/>
  <c r="E53" i="9" s="1"/>
  <c r="M11" i="13"/>
  <c r="O11" i="13" s="1"/>
  <c r="I10" i="13"/>
  <c r="K10" i="13" s="1"/>
  <c r="M10" i="13" s="1"/>
  <c r="O10" i="13" s="1"/>
  <c r="K11" i="13"/>
  <c r="I22" i="13"/>
  <c r="M28" i="13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AB29" i="14" a="1"/>
  <c r="AB29" i="14" s="1"/>
  <c r="M72" i="1" s="1"/>
  <c r="M54" i="9" s="1"/>
  <c r="N9" i="14"/>
  <c r="P9" i="14" s="1"/>
  <c r="N14" i="14"/>
  <c r="C19" i="14"/>
  <c r="F37" i="15"/>
  <c r="G37" i="15" s="1"/>
  <c r="H37" i="15" s="1"/>
  <c r="I37" i="15" s="1"/>
  <c r="J37" i="15" s="1"/>
  <c r="K37" i="15" s="1"/>
  <c r="L37" i="15" s="1"/>
  <c r="M37" i="15" s="1"/>
  <c r="N37" i="15" s="1"/>
  <c r="J18" i="14"/>
  <c r="J10" i="14"/>
  <c r="L10" i="14" s="1"/>
  <c r="N10" i="14" s="1"/>
  <c r="P10" i="14" s="1"/>
  <c r="R10" i="14" s="1"/>
  <c r="T10" i="14" s="1"/>
  <c r="V10" i="14" s="1"/>
  <c r="J8" i="14"/>
  <c r="L8" i="14" s="1"/>
  <c r="N8" i="14" s="1"/>
  <c r="P8" i="14" s="1"/>
  <c r="R8" i="14" s="1"/>
  <c r="T8" i="14" s="1"/>
  <c r="V8" i="14" s="1"/>
  <c r="X8" i="14" s="1"/>
  <c r="Z8" i="14" s="1"/>
  <c r="AB8" i="14" s="1"/>
  <c r="AD8" i="14" s="1"/>
  <c r="J15" i="14"/>
  <c r="L15" i="14" s="1"/>
  <c r="N15" i="14" s="1"/>
  <c r="J14" i="14"/>
  <c r="L14" i="14" s="1"/>
  <c r="J9" i="14"/>
  <c r="L9" i="14" s="1"/>
  <c r="J22" i="14"/>
  <c r="L22" i="14" s="1"/>
  <c r="J21" i="14"/>
  <c r="J12" i="14"/>
  <c r="L12" i="14" s="1"/>
  <c r="J7" i="14"/>
  <c r="L7" i="14" s="1"/>
  <c r="J29" i="14" a="1"/>
  <c r="J29" i="14" s="1"/>
  <c r="D72" i="1" s="1"/>
  <c r="D54" i="9" s="1"/>
  <c r="J16" i="14"/>
  <c r="L16" i="14" s="1"/>
  <c r="N16" i="14" s="1"/>
  <c r="P16" i="14" s="1"/>
  <c r="R16" i="14" s="1"/>
  <c r="J20" i="14"/>
  <c r="L20" i="14" s="1"/>
  <c r="J11" i="14"/>
  <c r="L11" i="14" s="1"/>
  <c r="J6" i="14"/>
  <c r="L6" i="14" s="1"/>
  <c r="N6" i="14" s="1"/>
  <c r="P6" i="14" s="1"/>
  <c r="J17" i="14"/>
  <c r="L17" i="14" s="1"/>
  <c r="F28" i="17"/>
  <c r="T20" i="14"/>
  <c r="V20" i="14" s="1"/>
  <c r="X20" i="14" s="1"/>
  <c r="Z20" i="14" s="1"/>
  <c r="AB20" i="14" s="1"/>
  <c r="AD20" i="14" s="1"/>
  <c r="T12" i="14"/>
  <c r="T21" i="14"/>
  <c r="V21" i="14" s="1"/>
  <c r="X21" i="14" s="1"/>
  <c r="Z21" i="14" s="1"/>
  <c r="AB21" i="14" s="1"/>
  <c r="AD21" i="14" s="1"/>
  <c r="T29" i="14" a="1"/>
  <c r="T29" i="14" s="1"/>
  <c r="I72" i="1" s="1"/>
  <c r="I54" i="9" s="1"/>
  <c r="U3" i="14"/>
  <c r="L9" i="17"/>
  <c r="L12" i="17" s="1"/>
  <c r="L17" i="17" s="1"/>
  <c r="L10" i="17"/>
  <c r="G28" i="17"/>
  <c r="H28" i="17" s="1"/>
  <c r="I28" i="17" s="1"/>
  <c r="I23" i="13"/>
  <c r="I28" i="13"/>
  <c r="I8" i="13"/>
  <c r="K8" i="13" s="1"/>
  <c r="I6" i="13"/>
  <c r="K6" i="13" s="1"/>
  <c r="I27" i="13"/>
  <c r="I12" i="13"/>
  <c r="J12" i="13" s="1"/>
  <c r="I9" i="13"/>
  <c r="K9" i="13" s="1"/>
  <c r="I5" i="13"/>
  <c r="AA39" i="13" a="1"/>
  <c r="AA39" i="13" s="1"/>
  <c r="M67" i="1" s="1"/>
  <c r="M53" i="9" s="1"/>
  <c r="AB2" i="13"/>
  <c r="M6" i="13"/>
  <c r="O6" i="13" s="1"/>
  <c r="Q6" i="13" s="1"/>
  <c r="S17" i="13"/>
  <c r="S19" i="13"/>
  <c r="I25" i="13"/>
  <c r="J5" i="14"/>
  <c r="J13" i="14"/>
  <c r="L13" i="14" s="1"/>
  <c r="D60" i="17"/>
  <c r="D7" i="1" s="1"/>
  <c r="F7" i="5" s="1"/>
  <c r="J2" i="13"/>
  <c r="S39" i="13" a="1"/>
  <c r="S39" i="13" s="1"/>
  <c r="H67" i="1" s="1"/>
  <c r="H53" i="9" s="1"/>
  <c r="S11" i="13"/>
  <c r="U11" i="13" s="1"/>
  <c r="W11" i="13" s="1"/>
  <c r="Y11" i="13" s="1"/>
  <c r="AA11" i="13" s="1"/>
  <c r="AC11" i="13" s="1"/>
  <c r="AE11" i="13" s="1"/>
  <c r="S5" i="13"/>
  <c r="U5" i="13" s="1"/>
  <c r="W5" i="13" s="1"/>
  <c r="T2" i="13"/>
  <c r="S16" i="13"/>
  <c r="AC39" i="13" a="1"/>
  <c r="AC39" i="13" s="1"/>
  <c r="S7" i="13"/>
  <c r="U7" i="13" s="1"/>
  <c r="W7" i="13" s="1"/>
  <c r="Y7" i="13" s="1"/>
  <c r="AA7" i="13" s="1"/>
  <c r="AC7" i="13" s="1"/>
  <c r="AE7" i="13" s="1"/>
  <c r="S15" i="13"/>
  <c r="U17" i="13"/>
  <c r="I24" i="13"/>
  <c r="M25" i="13"/>
  <c r="O25" i="13" s="1"/>
  <c r="Q25" i="13" s="1"/>
  <c r="I29" i="13"/>
  <c r="K39" i="13" a="1"/>
  <c r="K39" i="13" s="1"/>
  <c r="D67" i="1" s="1"/>
  <c r="D53" i="9" s="1"/>
  <c r="K26" i="13"/>
  <c r="K29" i="13"/>
  <c r="M29" i="13" s="1"/>
  <c r="O29" i="13" s="1"/>
  <c r="Q29" i="13" s="1"/>
  <c r="K25" i="13"/>
  <c r="K16" i="13"/>
  <c r="M16" i="13" s="1"/>
  <c r="O16" i="13" s="1"/>
  <c r="K13" i="13"/>
  <c r="M13" i="13" s="1"/>
  <c r="O13" i="13" s="1"/>
  <c r="Q13" i="13" s="1"/>
  <c r="S13" i="13" s="1"/>
  <c r="U13" i="13" s="1"/>
  <c r="W13" i="13" s="1"/>
  <c r="Y13" i="13" s="1"/>
  <c r="AA13" i="13" s="1"/>
  <c r="AC13" i="13" s="1"/>
  <c r="AE13" i="13" s="1"/>
  <c r="L2" i="13"/>
  <c r="K27" i="13"/>
  <c r="M27" i="13" s="1"/>
  <c r="O27" i="13" s="1"/>
  <c r="Q27" i="13" s="1"/>
  <c r="S27" i="13" s="1"/>
  <c r="U27" i="13" s="1"/>
  <c r="W27" i="13" s="1"/>
  <c r="Y27" i="13" s="1"/>
  <c r="AA27" i="13" s="1"/>
  <c r="AC27" i="13" s="1"/>
  <c r="AE27" i="13" s="1"/>
  <c r="AF27" i="13" s="1"/>
  <c r="K21" i="13"/>
  <c r="M21" i="13" s="1"/>
  <c r="O21" i="13" s="1"/>
  <c r="Q21" i="13" s="1"/>
  <c r="R21" i="13" s="1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U19" i="13"/>
  <c r="W19" i="13" s="1"/>
  <c r="X19" i="13" s="1"/>
  <c r="U16" i="13"/>
  <c r="W16" i="13" s="1"/>
  <c r="Y16" i="13" s="1"/>
  <c r="AA16" i="13" s="1"/>
  <c r="AC16" i="13" s="1"/>
  <c r="AE16" i="13" s="1"/>
  <c r="U10" i="13"/>
  <c r="W10" i="13" s="1"/>
  <c r="AD2" i="13"/>
  <c r="I4" i="13"/>
  <c r="I11" i="13"/>
  <c r="U15" i="13"/>
  <c r="W15" i="13" s="1"/>
  <c r="Y15" i="13" s="1"/>
  <c r="AA15" i="13" s="1"/>
  <c r="AC15" i="13" s="1"/>
  <c r="AE15" i="13" s="1"/>
  <c r="K24" i="13"/>
  <c r="M24" i="13" s="1"/>
  <c r="O24" i="13" s="1"/>
  <c r="Q24" i="13" s="1"/>
  <c r="K28" i="13"/>
  <c r="W4" i="14"/>
  <c r="L21" i="14"/>
  <c r="L18" i="14"/>
  <c r="AD29" i="14" a="1"/>
  <c r="AD29" i="14" s="1"/>
  <c r="N72" i="1" s="1"/>
  <c r="N54" i="9" s="1"/>
  <c r="AE3" i="14"/>
  <c r="L19" i="14"/>
  <c r="N19" i="14" s="1"/>
  <c r="P19" i="14" s="1"/>
  <c r="R19" i="14" s="1"/>
  <c r="T19" i="14" s="1"/>
  <c r="V19" i="14" s="1"/>
  <c r="J8" i="17"/>
  <c r="J10" i="17" s="1"/>
  <c r="C73" i="17"/>
  <c r="C74" i="17"/>
  <c r="C78" i="17" s="1"/>
  <c r="D78" i="17"/>
  <c r="D83" i="17" s="1"/>
  <c r="F10" i="19"/>
  <c r="F11" i="19" s="1"/>
  <c r="V12" i="14"/>
  <c r="X12" i="14" s="1"/>
  <c r="Z12" i="14" s="1"/>
  <c r="AB12" i="14" s="1"/>
  <c r="AD12" i="14" s="1"/>
  <c r="W3" i="14"/>
  <c r="V22" i="14"/>
  <c r="X22" i="14" s="1"/>
  <c r="Z22" i="14" s="1"/>
  <c r="AB22" i="14" s="1"/>
  <c r="AD22" i="14" s="1"/>
  <c r="N3" i="17"/>
  <c r="O37" i="17" s="1"/>
  <c r="O38" i="17" s="1"/>
  <c r="J37" i="17" s="1"/>
  <c r="N13" i="14"/>
  <c r="P13" i="14" s="1"/>
  <c r="O3" i="14"/>
  <c r="N21" i="14"/>
  <c r="P21" i="14" s="1"/>
  <c r="R21" i="14" s="1"/>
  <c r="R5" i="14"/>
  <c r="N11" i="14"/>
  <c r="P11" i="14" s="1"/>
  <c r="R11" i="14" s="1"/>
  <c r="T11" i="14" s="1"/>
  <c r="V11" i="14" s="1"/>
  <c r="N20" i="14"/>
  <c r="P20" i="14" s="1"/>
  <c r="N34" i="15"/>
  <c r="N35" i="15" s="1"/>
  <c r="N91" i="1" s="1"/>
  <c r="P30" i="5" s="1"/>
  <c r="P30" i="4" s="1"/>
  <c r="AK30" i="4" s="1"/>
  <c r="E4" i="16"/>
  <c r="G39" i="17"/>
  <c r="H39" i="17" s="1"/>
  <c r="I39" i="17" s="1"/>
  <c r="M9" i="19"/>
  <c r="M15" i="19" s="1"/>
  <c r="M10" i="19"/>
  <c r="D10" i="16"/>
  <c r="C50" i="1" s="1"/>
  <c r="E42" i="5" s="1"/>
  <c r="E42" i="4" s="1"/>
  <c r="I27" i="17"/>
  <c r="N33" i="18"/>
  <c r="N40" i="18" s="1"/>
  <c r="N45" i="18" s="1"/>
  <c r="L33" i="18"/>
  <c r="O3" i="19"/>
  <c r="O40" i="19"/>
  <c r="O41" i="19" s="1"/>
  <c r="O44" i="19" s="1"/>
  <c r="O37" i="19" s="1"/>
  <c r="M45" i="19"/>
  <c r="N7" i="14"/>
  <c r="N12" i="14"/>
  <c r="R20" i="14"/>
  <c r="N22" i="14"/>
  <c r="P22" i="14" s="1"/>
  <c r="R22" i="14" s="1"/>
  <c r="T22" i="14" s="1"/>
  <c r="N8" i="17"/>
  <c r="I37" i="17"/>
  <c r="I45" i="17" s="1"/>
  <c r="R17" i="14"/>
  <c r="R28" i="14" s="1"/>
  <c r="R14" i="14"/>
  <c r="T14" i="14" s="1"/>
  <c r="V14" i="14" s="1"/>
  <c r="R9" i="14"/>
  <c r="T9" i="14" s="1"/>
  <c r="V9" i="14" s="1"/>
  <c r="X9" i="14" s="1"/>
  <c r="Z9" i="14" s="1"/>
  <c r="AB9" i="14" s="1"/>
  <c r="AD9" i="14" s="1"/>
  <c r="AA3" i="14"/>
  <c r="R12" i="14"/>
  <c r="N17" i="14"/>
  <c r="P17" i="14" s="1"/>
  <c r="N18" i="14"/>
  <c r="P18" i="14" s="1"/>
  <c r="R18" i="14" s="1"/>
  <c r="T18" i="14" s="1"/>
  <c r="V18" i="14" s="1"/>
  <c r="Z29" i="14" a="1"/>
  <c r="Z29" i="14" s="1"/>
  <c r="L72" i="1" s="1"/>
  <c r="L54" i="9" s="1"/>
  <c r="K9" i="17"/>
  <c r="K12" i="17" s="1"/>
  <c r="K17" i="17" s="1"/>
  <c r="N9" i="19"/>
  <c r="N10" i="19" s="1"/>
  <c r="C60" i="17"/>
  <c r="C7" i="1" s="1"/>
  <c r="E7" i="5" s="1"/>
  <c r="G11" i="18"/>
  <c r="H11" i="18" s="1"/>
  <c r="I11" i="18" s="1"/>
  <c r="J11" i="18" s="1"/>
  <c r="K11" i="18" s="1"/>
  <c r="L11" i="18" s="1"/>
  <c r="M11" i="18" s="1"/>
  <c r="N11" i="18" s="1"/>
  <c r="F45" i="17"/>
  <c r="F40" i="19"/>
  <c r="H5" i="14"/>
  <c r="H73" i="17"/>
  <c r="C54" i="17" s="1"/>
  <c r="C55" i="17" s="1"/>
  <c r="G130" i="19"/>
  <c r="N119" i="19"/>
  <c r="F128" i="19"/>
  <c r="N9" i="20"/>
  <c r="N15" i="20" s="1"/>
  <c r="N20" i="20" s="1"/>
  <c r="N90" i="19"/>
  <c r="O90" i="19" s="1"/>
  <c r="O119" i="19"/>
  <c r="M10" i="17"/>
  <c r="G40" i="19"/>
  <c r="M125" i="19"/>
  <c r="L130" i="19"/>
  <c r="D11" i="20"/>
  <c r="E11" i="20" s="1"/>
  <c r="F11" i="20" s="1"/>
  <c r="G11" i="20" s="1"/>
  <c r="H11" i="20" s="1"/>
  <c r="I11" i="20" s="1"/>
  <c r="J11" i="20" s="1"/>
  <c r="K11" i="20" s="1"/>
  <c r="L11" i="20" s="1"/>
  <c r="I94" i="20"/>
  <c r="I42" i="20" s="1"/>
  <c r="I46" i="20" s="1"/>
  <c r="I51" i="20" s="1"/>
  <c r="I58" i="20" s="1"/>
  <c r="I62" i="20" s="1"/>
  <c r="L53" i="20"/>
  <c r="L51" i="20"/>
  <c r="L58" i="20" s="1"/>
  <c r="L62" i="20" s="1"/>
  <c r="G78" i="18"/>
  <c r="G37" i="18" s="1"/>
  <c r="G10" i="19"/>
  <c r="P3" i="19"/>
  <c r="P37" i="19"/>
  <c r="N51" i="19"/>
  <c r="M52" i="19"/>
  <c r="M131" i="19"/>
  <c r="N126" i="19"/>
  <c r="M74" i="17"/>
  <c r="M85" i="17" s="1"/>
  <c r="L74" i="17"/>
  <c r="L85" i="17" s="1"/>
  <c r="I54" i="17" s="1"/>
  <c r="H78" i="18"/>
  <c r="H37" i="18" s="1"/>
  <c r="H10" i="19"/>
  <c r="Q40" i="19"/>
  <c r="Q41" i="19" s="1"/>
  <c r="Q44" i="19" s="1"/>
  <c r="Q49" i="19" s="1"/>
  <c r="Q54" i="19" s="1"/>
  <c r="G95" i="19"/>
  <c r="L131" i="19"/>
  <c r="G119" i="19"/>
  <c r="K10" i="20"/>
  <c r="K24" i="20"/>
  <c r="K27" i="20" s="1"/>
  <c r="K22" i="1" s="1"/>
  <c r="K40" i="9" s="1"/>
  <c r="K44" i="9" s="1"/>
  <c r="H75" i="17"/>
  <c r="E54" i="17" s="1"/>
  <c r="E55" i="17" s="1"/>
  <c r="E60" i="17" s="1"/>
  <c r="E7" i="1" s="1"/>
  <c r="G7" i="5" s="1"/>
  <c r="L69" i="18"/>
  <c r="I10" i="19"/>
  <c r="K49" i="19"/>
  <c r="K54" i="19" s="1"/>
  <c r="L119" i="19"/>
  <c r="K51" i="20"/>
  <c r="K58" i="20" s="1"/>
  <c r="K62" i="20" s="1"/>
  <c r="K53" i="20"/>
  <c r="E54" i="21"/>
  <c r="E58" i="21" s="1"/>
  <c r="E60" i="21" s="1"/>
  <c r="E28" i="1" s="1"/>
  <c r="G18" i="5" s="1"/>
  <c r="H76" i="17"/>
  <c r="H85" i="17" s="1"/>
  <c r="F54" i="17" s="1"/>
  <c r="F55" i="17" s="1"/>
  <c r="G41" i="19"/>
  <c r="F41" i="19"/>
  <c r="H41" i="19"/>
  <c r="P40" i="19"/>
  <c r="P41" i="19" s="1"/>
  <c r="P44" i="19" s="1"/>
  <c r="P49" i="19" s="1"/>
  <c r="P54" i="19" s="1"/>
  <c r="M119" i="19"/>
  <c r="M9" i="20"/>
  <c r="M15" i="20" s="1"/>
  <c r="M20" i="20" s="1"/>
  <c r="M46" i="20"/>
  <c r="M51" i="20" s="1"/>
  <c r="M58" i="20" s="1"/>
  <c r="M62" i="20" s="1"/>
  <c r="N41" i="20"/>
  <c r="N46" i="20" s="1"/>
  <c r="N51" i="20" s="1"/>
  <c r="N58" i="20" s="1"/>
  <c r="N62" i="20" s="1"/>
  <c r="J8" i="19"/>
  <c r="C96" i="19"/>
  <c r="G113" i="19"/>
  <c r="K120" i="19"/>
  <c r="K119" i="19" s="1"/>
  <c r="J130" i="19"/>
  <c r="I9" i="21"/>
  <c r="F48" i="21"/>
  <c r="F52" i="21" s="1"/>
  <c r="F54" i="21" s="1"/>
  <c r="F58" i="21" s="1"/>
  <c r="F60" i="21" s="1"/>
  <c r="F28" i="1" s="1"/>
  <c r="H18" i="5" s="1"/>
  <c r="C26" i="22"/>
  <c r="K26" i="22"/>
  <c r="P60" i="24"/>
  <c r="P9" i="25" s="1"/>
  <c r="D104" i="19"/>
  <c r="D105" i="19" s="1"/>
  <c r="G129" i="19"/>
  <c r="K130" i="19"/>
  <c r="G131" i="19"/>
  <c r="L56" i="20"/>
  <c r="J9" i="21"/>
  <c r="D54" i="21"/>
  <c r="D58" i="21" s="1"/>
  <c r="D60" i="21" s="1"/>
  <c r="D28" i="1" s="1"/>
  <c r="F18" i="5" s="1"/>
  <c r="G47" i="21"/>
  <c r="K68" i="21"/>
  <c r="J70" i="21"/>
  <c r="J69" i="21" s="1"/>
  <c r="I60" i="24"/>
  <c r="I9" i="25" s="1"/>
  <c r="F96" i="19"/>
  <c r="E101" i="19"/>
  <c r="H124" i="19"/>
  <c r="H129" i="19"/>
  <c r="H131" i="19"/>
  <c r="I131" i="19"/>
  <c r="C89" i="20"/>
  <c r="C94" i="20" s="1"/>
  <c r="C42" i="20" s="1"/>
  <c r="C46" i="20" s="1"/>
  <c r="C51" i="20" s="1"/>
  <c r="C58" i="20" s="1"/>
  <c r="C62" i="20" s="1"/>
  <c r="C70" i="20" s="1"/>
  <c r="C23" i="1" s="1"/>
  <c r="E14" i="5" s="1"/>
  <c r="J94" i="20"/>
  <c r="J42" i="20" s="1"/>
  <c r="J46" i="20" s="1"/>
  <c r="J51" i="20" s="1"/>
  <c r="J58" i="20" s="1"/>
  <c r="J62" i="20" s="1"/>
  <c r="J44" i="21"/>
  <c r="N53" i="21"/>
  <c r="G60" i="24"/>
  <c r="G9" i="25" s="1"/>
  <c r="G112" i="19"/>
  <c r="F130" i="19"/>
  <c r="J131" i="19"/>
  <c r="H60" i="24"/>
  <c r="H9" i="25" s="1"/>
  <c r="I40" i="19"/>
  <c r="C100" i="19"/>
  <c r="H120" i="19"/>
  <c r="H119" i="19" s="1"/>
  <c r="P120" i="19"/>
  <c r="P119" i="19" s="1"/>
  <c r="M56" i="20"/>
  <c r="F64" i="20"/>
  <c r="E89" i="20"/>
  <c r="E94" i="20" s="1"/>
  <c r="E42" i="20" s="1"/>
  <c r="E46" i="20" s="1"/>
  <c r="E51" i="20" s="1"/>
  <c r="E58" i="20" s="1"/>
  <c r="E62" i="20" s="1"/>
  <c r="E70" i="20" s="1"/>
  <c r="E23" i="1" s="1"/>
  <c r="G14" i="5" s="1"/>
  <c r="D94" i="20"/>
  <c r="D42" i="20" s="1"/>
  <c r="D46" i="20" s="1"/>
  <c r="D51" i="20" s="1"/>
  <c r="D58" i="20" s="1"/>
  <c r="D62" i="20" s="1"/>
  <c r="D70" i="20" s="1"/>
  <c r="D23" i="1" s="1"/>
  <c r="F14" i="5" s="1"/>
  <c r="E26" i="21"/>
  <c r="M26" i="21"/>
  <c r="E47" i="21"/>
  <c r="E52" i="21" s="1"/>
  <c r="I120" i="19"/>
  <c r="I119" i="19" s="1"/>
  <c r="Q120" i="19"/>
  <c r="Q119" i="19" s="1"/>
  <c r="F26" i="21"/>
  <c r="N26" i="21"/>
  <c r="J64" i="21"/>
  <c r="Q27" i="22"/>
  <c r="Q30" i="22" s="1"/>
  <c r="Q31" i="22" s="1"/>
  <c r="R28" i="22"/>
  <c r="S28" i="22" s="1"/>
  <c r="I29" i="20"/>
  <c r="J26" i="22"/>
  <c r="J33" i="22" s="1"/>
  <c r="O60" i="24"/>
  <c r="O9" i="25" s="1"/>
  <c r="G29" i="27"/>
  <c r="G72" i="27"/>
  <c r="E16" i="25"/>
  <c r="E8" i="25"/>
  <c r="E11" i="25" s="1"/>
  <c r="I32" i="26"/>
  <c r="Q60" i="24"/>
  <c r="Q9" i="25" s="1"/>
  <c r="F68" i="27"/>
  <c r="F32" i="27"/>
  <c r="J60" i="24"/>
  <c r="J9" i="25" s="1"/>
  <c r="H32" i="26"/>
  <c r="H68" i="26"/>
  <c r="H68" i="27"/>
  <c r="H32" i="27"/>
  <c r="G31" i="27"/>
  <c r="K9" i="21"/>
  <c r="L9" i="21" s="1"/>
  <c r="M9" i="21" s="1"/>
  <c r="N9" i="21" s="1"/>
  <c r="I26" i="22"/>
  <c r="G33" i="22"/>
  <c r="G78" i="1" s="1"/>
  <c r="I20" i="5" s="1"/>
  <c r="K60" i="24"/>
  <c r="K9" i="25" s="1"/>
  <c r="N25" i="26"/>
  <c r="N31" i="26" s="1"/>
  <c r="N32" i="26" s="1"/>
  <c r="O68" i="26"/>
  <c r="O32" i="26"/>
  <c r="O53" i="26"/>
  <c r="J72" i="27"/>
  <c r="M7" i="27"/>
  <c r="L27" i="27"/>
  <c r="P32" i="26"/>
  <c r="P68" i="26"/>
  <c r="Q32" i="26"/>
  <c r="Q68" i="26"/>
  <c r="I52" i="26"/>
  <c r="I53" i="26" s="1"/>
  <c r="P53" i="26"/>
  <c r="L53" i="21"/>
  <c r="F62" i="26"/>
  <c r="F68" i="24" s="1"/>
  <c r="I50" i="26"/>
  <c r="J50" i="26" s="1"/>
  <c r="K50" i="26" s="1"/>
  <c r="L50" i="26" s="1"/>
  <c r="M50" i="26" s="1"/>
  <c r="N50" i="26" s="1"/>
  <c r="O50" i="26" s="1"/>
  <c r="P50" i="26" s="1"/>
  <c r="Q50" i="26" s="1"/>
  <c r="Q53" i="26"/>
  <c r="J25" i="26"/>
  <c r="J31" i="26" s="1"/>
  <c r="K73" i="27"/>
  <c r="G73" i="28"/>
  <c r="G72" i="28"/>
  <c r="G68" i="28"/>
  <c r="O73" i="28"/>
  <c r="O72" i="28"/>
  <c r="K73" i="26"/>
  <c r="K72" i="26"/>
  <c r="L72" i="26"/>
  <c r="K40" i="26"/>
  <c r="L40" i="26" s="1"/>
  <c r="M40" i="26" s="1"/>
  <c r="M46" i="26" s="1"/>
  <c r="M52" i="26" s="1"/>
  <c r="M72" i="26"/>
  <c r="G31" i="26"/>
  <c r="N72" i="26"/>
  <c r="L73" i="26"/>
  <c r="I25" i="27"/>
  <c r="I31" i="27" s="1"/>
  <c r="I32" i="27" s="1"/>
  <c r="K25" i="27"/>
  <c r="K27" i="27"/>
  <c r="K72" i="27" s="1"/>
  <c r="F72" i="27"/>
  <c r="F74" i="27" s="1"/>
  <c r="O72" i="26"/>
  <c r="M73" i="26"/>
  <c r="J31" i="27"/>
  <c r="J32" i="27" s="1"/>
  <c r="E68" i="26"/>
  <c r="F72" i="26"/>
  <c r="F74" i="26" s="1"/>
  <c r="Q72" i="26"/>
  <c r="L50" i="27"/>
  <c r="G34" i="21"/>
  <c r="G29" i="26"/>
  <c r="H72" i="26"/>
  <c r="F68" i="26"/>
  <c r="P73" i="26"/>
  <c r="L25" i="27"/>
  <c r="L31" i="27" s="1"/>
  <c r="N28" i="27"/>
  <c r="M50" i="27"/>
  <c r="N50" i="27" s="1"/>
  <c r="O50" i="27" s="1"/>
  <c r="P50" i="27" s="1"/>
  <c r="Q50" i="27" s="1"/>
  <c r="F62" i="28"/>
  <c r="F67" i="24" s="1"/>
  <c r="F69" i="24" s="1"/>
  <c r="C107" i="1" s="1"/>
  <c r="C42" i="15" s="1"/>
  <c r="G50" i="28"/>
  <c r="J73" i="27"/>
  <c r="J68" i="27"/>
  <c r="I68" i="27"/>
  <c r="I72" i="27"/>
  <c r="H68" i="28"/>
  <c r="I29" i="28"/>
  <c r="F68" i="28"/>
  <c r="F72" i="28"/>
  <c r="F74" i="28" s="1"/>
  <c r="H26" i="30"/>
  <c r="J27" i="30"/>
  <c r="M28" i="30"/>
  <c r="J45" i="32"/>
  <c r="J77" i="26" s="1"/>
  <c r="O41" i="33"/>
  <c r="O49" i="33" s="1"/>
  <c r="O78" i="28" s="1"/>
  <c r="G41" i="33"/>
  <c r="G50" i="33" s="1"/>
  <c r="G79" i="28" s="1"/>
  <c r="Q28" i="30"/>
  <c r="I28" i="30"/>
  <c r="N27" i="30"/>
  <c r="F27" i="30"/>
  <c r="K26" i="30"/>
  <c r="P25" i="30"/>
  <c r="H25" i="30"/>
  <c r="M24" i="30"/>
  <c r="J23" i="30"/>
  <c r="N41" i="33"/>
  <c r="N50" i="33" s="1"/>
  <c r="N79" i="28" s="1"/>
  <c r="F41" i="33"/>
  <c r="F49" i="33" s="1"/>
  <c r="F78" i="28" s="1"/>
  <c r="P28" i="30"/>
  <c r="H28" i="30"/>
  <c r="M27" i="30"/>
  <c r="J26" i="30"/>
  <c r="O25" i="30"/>
  <c r="G25" i="30"/>
  <c r="L24" i="30"/>
  <c r="Q23" i="30"/>
  <c r="I23" i="30"/>
  <c r="M41" i="33"/>
  <c r="M49" i="33" s="1"/>
  <c r="M78" i="28" s="1"/>
  <c r="O28" i="30"/>
  <c r="G28" i="30"/>
  <c r="L27" i="30"/>
  <c r="Q26" i="30"/>
  <c r="I26" i="30"/>
  <c r="N25" i="30"/>
  <c r="F25" i="30"/>
  <c r="K24" i="30"/>
  <c r="P23" i="30"/>
  <c r="H23" i="30"/>
  <c r="L41" i="33"/>
  <c r="L48" i="33" s="1"/>
  <c r="L77" i="28" s="1"/>
  <c r="P41" i="33"/>
  <c r="P50" i="33" s="1"/>
  <c r="P79" i="28" s="1"/>
  <c r="H41" i="33"/>
  <c r="H48" i="33" s="1"/>
  <c r="H77" i="28" s="1"/>
  <c r="J28" i="30"/>
  <c r="O27" i="30"/>
  <c r="G27" i="30"/>
  <c r="L26" i="30"/>
  <c r="Q25" i="30"/>
  <c r="I25" i="30"/>
  <c r="N24" i="30"/>
  <c r="F24" i="30"/>
  <c r="K23" i="30"/>
  <c r="G24" i="30"/>
  <c r="J25" i="30"/>
  <c r="M26" i="30"/>
  <c r="K27" i="30"/>
  <c r="N28" i="30"/>
  <c r="K45" i="32"/>
  <c r="K77" i="26" s="1"/>
  <c r="P39" i="28"/>
  <c r="J72" i="28"/>
  <c r="I73" i="28"/>
  <c r="F23" i="30"/>
  <c r="H24" i="30"/>
  <c r="K25" i="30"/>
  <c r="N26" i="30"/>
  <c r="P27" i="30"/>
  <c r="M33" i="31"/>
  <c r="M79" i="27" s="1"/>
  <c r="L45" i="32"/>
  <c r="L77" i="26" s="1"/>
  <c r="I41" i="33"/>
  <c r="I48" i="33" s="1"/>
  <c r="I77" i="28" s="1"/>
  <c r="M46" i="28"/>
  <c r="M52" i="28" s="1"/>
  <c r="M53" i="28" s="1"/>
  <c r="I72" i="28"/>
  <c r="J73" i="28"/>
  <c r="G23" i="30"/>
  <c r="I24" i="30"/>
  <c r="L25" i="30"/>
  <c r="O26" i="30"/>
  <c r="Q27" i="30"/>
  <c r="F33" i="31"/>
  <c r="F79" i="27" s="1"/>
  <c r="F32" i="31"/>
  <c r="F78" i="27" s="1"/>
  <c r="K32" i="31"/>
  <c r="K78" i="27" s="1"/>
  <c r="M45" i="32"/>
  <c r="M77" i="26" s="1"/>
  <c r="J41" i="33"/>
  <c r="J50" i="33" s="1"/>
  <c r="J79" i="28" s="1"/>
  <c r="L32" i="31"/>
  <c r="L78" i="27" s="1"/>
  <c r="M48" i="33"/>
  <c r="M77" i="28" s="1"/>
  <c r="K41" i="33"/>
  <c r="K49" i="33" s="1"/>
  <c r="K78" i="28" s="1"/>
  <c r="N72" i="28"/>
  <c r="M23" i="30"/>
  <c r="O24" i="30"/>
  <c r="F28" i="30"/>
  <c r="H32" i="31"/>
  <c r="H78" i="27" s="1"/>
  <c r="H31" i="31"/>
  <c r="H77" i="27" s="1"/>
  <c r="P32" i="31"/>
  <c r="P78" i="27" s="1"/>
  <c r="P31" i="31"/>
  <c r="P77" i="27" s="1"/>
  <c r="N48" i="33"/>
  <c r="N77" i="28" s="1"/>
  <c r="Q41" i="33"/>
  <c r="Q50" i="33" s="1"/>
  <c r="Q79" i="28" s="1"/>
  <c r="N23" i="30"/>
  <c r="P24" i="30"/>
  <c r="F26" i="30"/>
  <c r="H27" i="30"/>
  <c r="K28" i="30"/>
  <c r="I32" i="31"/>
  <c r="I78" i="27" s="1"/>
  <c r="Q32" i="31"/>
  <c r="Q78" i="27" s="1"/>
  <c r="I31" i="31"/>
  <c r="I77" i="27" s="1"/>
  <c r="N32" i="31"/>
  <c r="N78" i="27" s="1"/>
  <c r="G48" i="33"/>
  <c r="G77" i="28" s="1"/>
  <c r="O48" i="33"/>
  <c r="O77" i="28" s="1"/>
  <c r="J31" i="31"/>
  <c r="J77" i="27" s="1"/>
  <c r="L31" i="31"/>
  <c r="L77" i="27" s="1"/>
  <c r="G32" i="31"/>
  <c r="G78" i="27" s="1"/>
  <c r="O32" i="31"/>
  <c r="O78" i="27" s="1"/>
  <c r="M31" i="31"/>
  <c r="M77" i="27" s="1"/>
  <c r="K72" i="28"/>
  <c r="F77" i="27"/>
  <c r="N31" i="31"/>
  <c r="N77" i="27" s="1"/>
  <c r="L33" i="30" l="1"/>
  <c r="L82" i="24" s="1"/>
  <c r="L42" i="24" s="1"/>
  <c r="L44" i="24" s="1"/>
  <c r="M25" i="24"/>
  <c r="J70" i="27"/>
  <c r="J6" i="24" s="1"/>
  <c r="J60" i="27"/>
  <c r="G46" i="1" s="1"/>
  <c r="N33" i="30"/>
  <c r="N82" i="24" s="1"/>
  <c r="N42" i="24" s="1"/>
  <c r="N44" i="24" s="1"/>
  <c r="H32" i="30"/>
  <c r="H81" i="24" s="1"/>
  <c r="O30" i="30"/>
  <c r="O79" i="24" s="1"/>
  <c r="P33" i="30"/>
  <c r="P82" i="24" s="1"/>
  <c r="P42" i="24" s="1"/>
  <c r="P44" i="24" s="1"/>
  <c r="J31" i="30"/>
  <c r="J80" i="24" s="1"/>
  <c r="M31" i="30"/>
  <c r="M80" i="24" s="1"/>
  <c r="G32" i="30"/>
  <c r="G81" i="24" s="1"/>
  <c r="K32" i="30"/>
  <c r="K81" i="24" s="1"/>
  <c r="I33" i="30"/>
  <c r="I82" i="24" s="1"/>
  <c r="I42" i="24" s="1"/>
  <c r="I44" i="24" s="1"/>
  <c r="Q31" i="30"/>
  <c r="Q80" i="24" s="1"/>
  <c r="W18" i="14"/>
  <c r="X18" i="14" s="1"/>
  <c r="Z18" i="14" s="1"/>
  <c r="AB18" i="14" s="1"/>
  <c r="AD18" i="14" s="1"/>
  <c r="X19" i="14"/>
  <c r="Z19" i="14" s="1"/>
  <c r="AB19" i="14" s="1"/>
  <c r="AD19" i="14" s="1"/>
  <c r="W19" i="14"/>
  <c r="F6" i="25"/>
  <c r="E13" i="25"/>
  <c r="R6" i="14"/>
  <c r="T6" i="14" s="1"/>
  <c r="V6" i="14" s="1"/>
  <c r="X6" i="14" s="1"/>
  <c r="Z6" i="14" s="1"/>
  <c r="AB6" i="14" s="1"/>
  <c r="AD6" i="14" s="1"/>
  <c r="E13" i="5"/>
  <c r="E13" i="4" s="1"/>
  <c r="E14" i="4"/>
  <c r="W11" i="14"/>
  <c r="X11" i="14" s="1"/>
  <c r="R25" i="13"/>
  <c r="S25" i="13"/>
  <c r="U25" i="13" s="1"/>
  <c r="W25" i="13" s="1"/>
  <c r="Y25" i="13" s="1"/>
  <c r="AA25" i="13" s="1"/>
  <c r="AC25" i="13" s="1"/>
  <c r="AE25" i="13" s="1"/>
  <c r="X5" i="13"/>
  <c r="Y5" i="13"/>
  <c r="AA5" i="13" s="1"/>
  <c r="AC5" i="13" s="1"/>
  <c r="AE5" i="13" s="1"/>
  <c r="G13" i="5"/>
  <c r="G13" i="4" s="1"/>
  <c r="G14" i="4"/>
  <c r="M57" i="28"/>
  <c r="M58" i="28" s="1"/>
  <c r="M69" i="28" s="1"/>
  <c r="O57" i="28"/>
  <c r="O58" i="28" s="1"/>
  <c r="R6" i="13"/>
  <c r="S6" i="13" s="1"/>
  <c r="U6" i="13" s="1"/>
  <c r="W6" i="13" s="1"/>
  <c r="Y6" i="13" s="1"/>
  <c r="AA6" i="13" s="1"/>
  <c r="AC6" i="13" s="1"/>
  <c r="AE6" i="13" s="1"/>
  <c r="S16" i="14"/>
  <c r="S33" i="14" s="1"/>
  <c r="H73" i="1" s="1"/>
  <c r="H60" i="9" s="1"/>
  <c r="H62" i="9" s="1"/>
  <c r="T16" i="14"/>
  <c r="V16" i="14" s="1"/>
  <c r="X16" i="14" s="1"/>
  <c r="P15" i="14"/>
  <c r="R15" i="14" s="1"/>
  <c r="T15" i="14" s="1"/>
  <c r="V15" i="14" s="1"/>
  <c r="X15" i="14" s="1"/>
  <c r="Z15" i="14" s="1"/>
  <c r="AB15" i="14" s="1"/>
  <c r="AD15" i="14" s="1"/>
  <c r="O15" i="14"/>
  <c r="R22" i="13"/>
  <c r="S22" i="13" s="1"/>
  <c r="U22" i="13" s="1"/>
  <c r="W22" i="13" s="1"/>
  <c r="Y22" i="13" s="1"/>
  <c r="AA22" i="13" s="1"/>
  <c r="AC22" i="13" s="1"/>
  <c r="AE22" i="13" s="1"/>
  <c r="Z26" i="13"/>
  <c r="AA26" i="13"/>
  <c r="AC26" i="13" s="1"/>
  <c r="AE26" i="13" s="1"/>
  <c r="S23" i="13"/>
  <c r="U23" i="13" s="1"/>
  <c r="W23" i="13" s="1"/>
  <c r="Y23" i="13" s="1"/>
  <c r="AA23" i="13" s="1"/>
  <c r="AC23" i="13" s="1"/>
  <c r="AE23" i="13" s="1"/>
  <c r="R23" i="13"/>
  <c r="V18" i="13"/>
  <c r="W18" i="13" s="1"/>
  <c r="K57" i="28"/>
  <c r="K58" i="28" s="1"/>
  <c r="W14" i="14"/>
  <c r="X14" i="14" s="1"/>
  <c r="Z14" i="14" s="1"/>
  <c r="AB14" i="14" s="1"/>
  <c r="AD14" i="14" s="1"/>
  <c r="M53" i="26"/>
  <c r="M68" i="26"/>
  <c r="K33" i="22"/>
  <c r="J78" i="1"/>
  <c r="L20" i="5" s="1"/>
  <c r="G6" i="5"/>
  <c r="G6" i="4" s="1"/>
  <c r="G7" i="4"/>
  <c r="R13" i="14"/>
  <c r="T13" i="14" s="1"/>
  <c r="V13" i="14" s="1"/>
  <c r="X13" i="14" s="1"/>
  <c r="Q13" i="14"/>
  <c r="Q33" i="14" s="1"/>
  <c r="G73" i="1" s="1"/>
  <c r="G60" i="9" s="1"/>
  <c r="R29" i="13"/>
  <c r="S29" i="13" s="1"/>
  <c r="U29" i="13" s="1"/>
  <c r="W29" i="13" s="1"/>
  <c r="Y29" i="13" s="1"/>
  <c r="AA29" i="13" s="1"/>
  <c r="AC29" i="13" s="1"/>
  <c r="AE29" i="13" s="1"/>
  <c r="AF29" i="13" s="1"/>
  <c r="AF43" i="13" s="1"/>
  <c r="W10" i="14"/>
  <c r="Z21" i="13"/>
  <c r="Z43" i="13" s="1"/>
  <c r="K68" i="1" s="1"/>
  <c r="K59" i="9" s="1"/>
  <c r="AA21" i="13"/>
  <c r="AC21" i="13" s="1"/>
  <c r="AE21" i="13" s="1"/>
  <c r="F57" i="28"/>
  <c r="F58" i="28" s="1"/>
  <c r="H17" i="5"/>
  <c r="H17" i="4" s="1"/>
  <c r="AC17" i="4" s="1"/>
  <c r="H18" i="4"/>
  <c r="AC18" i="4" s="1"/>
  <c r="R24" i="13"/>
  <c r="S24" i="13"/>
  <c r="U24" i="13" s="1"/>
  <c r="W24" i="13" s="1"/>
  <c r="Y24" i="13" s="1"/>
  <c r="AA24" i="13" s="1"/>
  <c r="AC24" i="13" s="1"/>
  <c r="AE24" i="13" s="1"/>
  <c r="P20" i="13"/>
  <c r="Q20" i="13"/>
  <c r="S20" i="13" s="1"/>
  <c r="U20" i="13" s="1"/>
  <c r="W20" i="13" s="1"/>
  <c r="H34" i="21"/>
  <c r="G38" i="21"/>
  <c r="G42" i="21" s="1"/>
  <c r="E104" i="19"/>
  <c r="E105" i="19" s="1"/>
  <c r="F60" i="19" s="1"/>
  <c r="F59" i="19"/>
  <c r="O51" i="19"/>
  <c r="N52" i="19"/>
  <c r="F132" i="19"/>
  <c r="F109" i="19"/>
  <c r="K33" i="18"/>
  <c r="V17" i="13"/>
  <c r="V43" i="13" s="1"/>
  <c r="I68" i="1" s="1"/>
  <c r="I59" i="9" s="1"/>
  <c r="I62" i="9" s="1"/>
  <c r="I64" i="9" s="1"/>
  <c r="A159" i="12"/>
  <c r="C113" i="12" a="1"/>
  <c r="C113" i="12" s="1"/>
  <c r="J93" i="12"/>
  <c r="D108" i="12" a="1"/>
  <c r="D108" i="12" s="1"/>
  <c r="A154" i="12"/>
  <c r="C108" i="12" a="1"/>
  <c r="C108" i="12" s="1"/>
  <c r="A162" i="12"/>
  <c r="C116" i="12" a="1"/>
  <c r="C116" i="12" s="1"/>
  <c r="A153" i="12"/>
  <c r="C107" i="12" a="1"/>
  <c r="C107" i="12" s="1"/>
  <c r="E107" i="12" a="1"/>
  <c r="E107" i="12" s="1"/>
  <c r="F107" i="12" s="1" a="1"/>
  <c r="F107" i="12" s="1"/>
  <c r="D107" i="12" a="1"/>
  <c r="D107" i="12" s="1"/>
  <c r="P27" i="24"/>
  <c r="P57" i="26"/>
  <c r="P58" i="26" s="1"/>
  <c r="P69" i="26" s="1"/>
  <c r="P70" i="26" s="1"/>
  <c r="N49" i="33"/>
  <c r="N78" i="28" s="1"/>
  <c r="O50" i="33"/>
  <c r="O79" i="28" s="1"/>
  <c r="O26" i="24" s="1"/>
  <c r="K50" i="33"/>
  <c r="K79" i="28" s="1"/>
  <c r="K26" i="24" s="1"/>
  <c r="F48" i="4"/>
  <c r="N31" i="30"/>
  <c r="N80" i="24" s="1"/>
  <c r="L31" i="30"/>
  <c r="L80" i="24" s="1"/>
  <c r="K48" i="4"/>
  <c r="AF48" i="4" s="1"/>
  <c r="H33" i="30"/>
  <c r="H82" i="24" s="1"/>
  <c r="H42" i="24" s="1"/>
  <c r="H44" i="24" s="1"/>
  <c r="P57" i="27"/>
  <c r="P58" i="27" s="1"/>
  <c r="P69" i="27" s="1"/>
  <c r="P46" i="28"/>
  <c r="P52" i="28" s="1"/>
  <c r="Q39" i="28"/>
  <c r="Q46" i="28" s="1"/>
  <c r="Q52" i="28" s="1"/>
  <c r="H33" i="31"/>
  <c r="H79" i="27" s="1"/>
  <c r="H25" i="24" s="1"/>
  <c r="Q33" i="31"/>
  <c r="Q79" i="27" s="1"/>
  <c r="Q25" i="24" s="1"/>
  <c r="P33" i="31"/>
  <c r="P79" i="27" s="1"/>
  <c r="P25" i="24" s="1"/>
  <c r="J33" i="31"/>
  <c r="J79" i="27" s="1"/>
  <c r="J25" i="24" s="1"/>
  <c r="I33" i="31"/>
  <c r="I79" i="27" s="1"/>
  <c r="I25" i="24" s="1"/>
  <c r="K48" i="33"/>
  <c r="K77" i="28" s="1"/>
  <c r="G32" i="27"/>
  <c r="G68" i="27"/>
  <c r="F104" i="20"/>
  <c r="F105" i="20" s="1"/>
  <c r="G64" i="20"/>
  <c r="F66" i="20"/>
  <c r="F70" i="20" s="1"/>
  <c r="F23" i="1" s="1"/>
  <c r="H14" i="5" s="1"/>
  <c r="G96" i="19"/>
  <c r="F17" i="5"/>
  <c r="F17" i="4" s="1"/>
  <c r="F18" i="4"/>
  <c r="M29" i="20"/>
  <c r="M21" i="1"/>
  <c r="M32" i="9" s="1"/>
  <c r="M36" i="9" s="1"/>
  <c r="M46" i="9" s="1"/>
  <c r="J21" i="17"/>
  <c r="J25" i="17" s="1"/>
  <c r="I55" i="17"/>
  <c r="F60" i="17"/>
  <c r="F61" i="19"/>
  <c r="Y19" i="13"/>
  <c r="AA19" i="13" s="1"/>
  <c r="AC19" i="13" s="1"/>
  <c r="AE19" i="13" s="1"/>
  <c r="A167" i="12"/>
  <c r="C121" i="12" a="1"/>
  <c r="C121" i="12" s="1"/>
  <c r="D121" i="12" s="1" a="1"/>
  <c r="D121" i="12" s="1"/>
  <c r="A165" i="12"/>
  <c r="C119" i="12" a="1"/>
  <c r="C119" i="12" s="1"/>
  <c r="E119" i="12" a="1"/>
  <c r="E119" i="12" s="1"/>
  <c r="F119" i="12" s="1" a="1"/>
  <c r="F119" i="12" s="1"/>
  <c r="D119" i="12" a="1"/>
  <c r="D119" i="12" s="1"/>
  <c r="H95" i="12"/>
  <c r="A178" i="12"/>
  <c r="A149" i="12"/>
  <c r="D103" i="12" a="1"/>
  <c r="D103" i="12" s="1"/>
  <c r="C103" i="12" a="1"/>
  <c r="C103" i="12" s="1"/>
  <c r="H78" i="12"/>
  <c r="A168" i="12"/>
  <c r="C122" i="12" a="1"/>
  <c r="C122" i="12" s="1"/>
  <c r="L56" i="9"/>
  <c r="L64" i="9" s="1"/>
  <c r="L57" i="26"/>
  <c r="L58" i="26" s="1"/>
  <c r="L69" i="26" s="1"/>
  <c r="L27" i="24"/>
  <c r="G49" i="33"/>
  <c r="G78" i="28" s="1"/>
  <c r="F50" i="33"/>
  <c r="F79" i="28" s="1"/>
  <c r="F26" i="24" s="1"/>
  <c r="L50" i="33"/>
  <c r="L79" i="28" s="1"/>
  <c r="O31" i="30"/>
  <c r="O80" i="24" s="1"/>
  <c r="L32" i="30"/>
  <c r="L81" i="24" s="1"/>
  <c r="O32" i="30"/>
  <c r="O81" i="24" s="1"/>
  <c r="E57" i="26"/>
  <c r="E58" i="26" s="1"/>
  <c r="E25" i="34"/>
  <c r="J48" i="33"/>
  <c r="J77" i="28" s="1"/>
  <c r="K30" i="30"/>
  <c r="K79" i="24" s="1"/>
  <c r="K33" i="31"/>
  <c r="K79" i="27" s="1"/>
  <c r="K25" i="24" s="1"/>
  <c r="E18" i="25"/>
  <c r="O57" i="27"/>
  <c r="O58" i="27" s="1"/>
  <c r="O69" i="27" s="1"/>
  <c r="N57" i="27"/>
  <c r="N58" i="27" s="1"/>
  <c r="N69" i="27" s="1"/>
  <c r="H57" i="27"/>
  <c r="H58" i="27" s="1"/>
  <c r="K57" i="27"/>
  <c r="K58" i="27" s="1"/>
  <c r="K69" i="27" s="1"/>
  <c r="L33" i="31"/>
  <c r="L79" i="27" s="1"/>
  <c r="L25" i="24" s="1"/>
  <c r="L30" i="30"/>
  <c r="L79" i="24" s="1"/>
  <c r="L32" i="27"/>
  <c r="L68" i="27"/>
  <c r="N73" i="27"/>
  <c r="L72" i="27"/>
  <c r="M10" i="20"/>
  <c r="G17" i="5"/>
  <c r="G17" i="4" s="1"/>
  <c r="G18" i="4"/>
  <c r="F101" i="19"/>
  <c r="K27" i="17"/>
  <c r="N64" i="17" s="1"/>
  <c r="K5" i="1"/>
  <c r="K30" i="9" s="1"/>
  <c r="I60" i="17"/>
  <c r="I7" i="1" s="1"/>
  <c r="K7" i="5" s="1"/>
  <c r="J45" i="17"/>
  <c r="J60" i="17" s="1"/>
  <c r="K37" i="17"/>
  <c r="I34" i="13"/>
  <c r="I33" i="13"/>
  <c r="C66" i="1" s="1"/>
  <c r="E29" i="5" s="1"/>
  <c r="F7" i="4"/>
  <c r="F6" i="5"/>
  <c r="F6" i="4" s="1"/>
  <c r="T5" i="14"/>
  <c r="A181" i="12"/>
  <c r="C135" i="12" a="1"/>
  <c r="C135" i="12" s="1"/>
  <c r="D135" i="12" s="1" a="1"/>
  <c r="D135" i="12" s="1"/>
  <c r="H87" i="12"/>
  <c r="C118" i="12" a="1"/>
  <c r="C118" i="12" s="1"/>
  <c r="A164" i="12"/>
  <c r="D118" i="12" a="1"/>
  <c r="D118" i="12" s="1"/>
  <c r="E118" i="12" s="1" a="1"/>
  <c r="E118" i="12" s="1"/>
  <c r="H90" i="12"/>
  <c r="A174" i="12"/>
  <c r="D128" i="12" a="1"/>
  <c r="D128" i="12" s="1"/>
  <c r="C128" i="12" a="1"/>
  <c r="C128" i="12" s="1"/>
  <c r="A182" i="12"/>
  <c r="C136" i="12" a="1"/>
  <c r="C136" i="12" s="1"/>
  <c r="J85" i="12"/>
  <c r="H62" i="12"/>
  <c r="G64" i="12"/>
  <c r="H64" i="12" s="1"/>
  <c r="H68" i="12"/>
  <c r="J82" i="12"/>
  <c r="D26" i="11"/>
  <c r="H48" i="4"/>
  <c r="AC48" i="4" s="1"/>
  <c r="M57" i="26"/>
  <c r="M58" i="26" s="1"/>
  <c r="M69" i="26" s="1"/>
  <c r="M70" i="26" s="1"/>
  <c r="M27" i="24"/>
  <c r="M50" i="33"/>
  <c r="M79" i="28" s="1"/>
  <c r="M26" i="24" s="1"/>
  <c r="P31" i="30"/>
  <c r="P80" i="24" s="1"/>
  <c r="B53" i="15"/>
  <c r="M32" i="30"/>
  <c r="M81" i="24" s="1"/>
  <c r="Q51" i="33"/>
  <c r="Q80" i="28" s="1"/>
  <c r="I51" i="33"/>
  <c r="I80" i="28" s="1"/>
  <c r="P51" i="33"/>
  <c r="P80" i="28" s="1"/>
  <c r="H51" i="33"/>
  <c r="H80" i="28" s="1"/>
  <c r="O51" i="33"/>
  <c r="O80" i="28" s="1"/>
  <c r="G51" i="33"/>
  <c r="G80" i="28" s="1"/>
  <c r="N51" i="33"/>
  <c r="N80" i="28" s="1"/>
  <c r="F51" i="33"/>
  <c r="F80" i="28" s="1"/>
  <c r="M51" i="33"/>
  <c r="M80" i="28" s="1"/>
  <c r="L51" i="33"/>
  <c r="L80" i="28" s="1"/>
  <c r="J51" i="33"/>
  <c r="J80" i="28" s="1"/>
  <c r="K51" i="33"/>
  <c r="K80" i="28" s="1"/>
  <c r="J29" i="28"/>
  <c r="G57" i="27"/>
  <c r="G58" i="27" s="1"/>
  <c r="G69" i="27" s="1"/>
  <c r="G70" i="27" s="1"/>
  <c r="N30" i="30"/>
  <c r="N79" i="24" s="1"/>
  <c r="F25" i="24"/>
  <c r="F57" i="27"/>
  <c r="F58" i="27" s="1"/>
  <c r="F69" i="27" s="1"/>
  <c r="F70" i="27" s="1"/>
  <c r="G30" i="30"/>
  <c r="G79" i="24" s="1"/>
  <c r="G33" i="31"/>
  <c r="G79" i="27" s="1"/>
  <c r="G25" i="24" s="1"/>
  <c r="I30" i="30"/>
  <c r="I79" i="24" s="1"/>
  <c r="H50" i="28"/>
  <c r="G62" i="28"/>
  <c r="G67" i="24" s="1"/>
  <c r="G68" i="26"/>
  <c r="G32" i="26"/>
  <c r="P48" i="33"/>
  <c r="P77" i="28" s="1"/>
  <c r="M27" i="27"/>
  <c r="N7" i="27"/>
  <c r="M25" i="27"/>
  <c r="M31" i="27" s="1"/>
  <c r="G48" i="21"/>
  <c r="G52" i="21" s="1"/>
  <c r="L73" i="18"/>
  <c r="L78" i="18" s="1"/>
  <c r="L37" i="18" s="1"/>
  <c r="L40" i="18" s="1"/>
  <c r="L45" i="18" s="1"/>
  <c r="L53" i="18" s="1"/>
  <c r="M69" i="18"/>
  <c r="M73" i="18" s="1"/>
  <c r="M78" i="18" s="1"/>
  <c r="M37" i="18" s="1"/>
  <c r="H95" i="19"/>
  <c r="G101" i="19"/>
  <c r="K29" i="20"/>
  <c r="M11" i="20"/>
  <c r="H45" i="17"/>
  <c r="H60" i="17" s="1"/>
  <c r="H7" i="1" s="1"/>
  <c r="J7" i="5" s="1"/>
  <c r="O7" i="14"/>
  <c r="P7" i="14"/>
  <c r="R7" i="14" s="1"/>
  <c r="T7" i="14" s="1"/>
  <c r="V7" i="14" s="1"/>
  <c r="X7" i="14" s="1"/>
  <c r="Z7" i="14" s="1"/>
  <c r="AB7" i="14" s="1"/>
  <c r="AD7" i="14" s="1"/>
  <c r="K10" i="17"/>
  <c r="D12" i="16"/>
  <c r="G11" i="19"/>
  <c r="H11" i="19" s="1"/>
  <c r="I11" i="19" s="1"/>
  <c r="G45" i="17"/>
  <c r="G60" i="17" s="1"/>
  <c r="J94" i="12"/>
  <c r="D124" i="12" a="1"/>
  <c r="D124" i="12" s="1"/>
  <c r="A170" i="12"/>
  <c r="C124" i="12" a="1"/>
  <c r="C124" i="12" s="1"/>
  <c r="G74" i="12"/>
  <c r="H74" i="12" s="1"/>
  <c r="H84" i="12"/>
  <c r="H73" i="12"/>
  <c r="H86" i="12"/>
  <c r="D106" i="12" a="1"/>
  <c r="D106" i="12" s="1"/>
  <c r="E106" i="12" s="1" a="1"/>
  <c r="E106" i="12" s="1"/>
  <c r="C106" i="12" a="1"/>
  <c r="C106" i="12" s="1"/>
  <c r="A152" i="12"/>
  <c r="G93" i="12"/>
  <c r="H93" i="12" s="1"/>
  <c r="A157" i="12"/>
  <c r="C111" i="12" a="1"/>
  <c r="C111" i="12" s="1"/>
  <c r="D111" i="12" s="1" a="1"/>
  <c r="D111" i="12" s="1"/>
  <c r="J62" i="12"/>
  <c r="A166" i="12"/>
  <c r="C120" i="12" a="1"/>
  <c r="C120" i="12" s="1"/>
  <c r="D120" i="12" s="1" a="1"/>
  <c r="D120" i="12" s="1"/>
  <c r="D56" i="9"/>
  <c r="D64" i="9" s="1"/>
  <c r="F63" i="12" a="1"/>
  <c r="F63" i="12" s="1"/>
  <c r="J63" i="12" s="1"/>
  <c r="N56" i="9"/>
  <c r="N64" i="9" s="1"/>
  <c r="I57" i="26"/>
  <c r="I58" i="26" s="1"/>
  <c r="I69" i="26" s="1"/>
  <c r="I27" i="24"/>
  <c r="F27" i="24"/>
  <c r="F57" i="26"/>
  <c r="F58" i="26" s="1"/>
  <c r="H49" i="33"/>
  <c r="H78" i="28" s="1"/>
  <c r="H50" i="33"/>
  <c r="H79" i="28" s="1"/>
  <c r="J32" i="30"/>
  <c r="J81" i="24" s="1"/>
  <c r="P32" i="30"/>
  <c r="P81" i="24" s="1"/>
  <c r="M33" i="30"/>
  <c r="M82" i="24" s="1"/>
  <c r="M42" i="24" s="1"/>
  <c r="M44" i="24" s="1"/>
  <c r="J32" i="26"/>
  <c r="J68" i="26"/>
  <c r="Q57" i="27"/>
  <c r="Q58" i="27" s="1"/>
  <c r="Q69" i="27" s="1"/>
  <c r="L57" i="27"/>
  <c r="L58" i="27" s="1"/>
  <c r="L69" i="27" s="1"/>
  <c r="L70" i="27" s="1"/>
  <c r="N33" i="31"/>
  <c r="N79" i="27" s="1"/>
  <c r="N25" i="24" s="1"/>
  <c r="O33" i="31"/>
  <c r="O79" i="27" s="1"/>
  <c r="O25" i="24" s="1"/>
  <c r="F30" i="30"/>
  <c r="F79" i="24" s="1"/>
  <c r="Q30" i="30"/>
  <c r="Q79" i="24" s="1"/>
  <c r="I68" i="28"/>
  <c r="N68" i="26"/>
  <c r="G74" i="27"/>
  <c r="F72" i="24"/>
  <c r="I19" i="5"/>
  <c r="I19" i="4" s="1"/>
  <c r="AD19" i="4" s="1"/>
  <c r="I20" i="4"/>
  <c r="AD20" i="4" s="1"/>
  <c r="L46" i="26"/>
  <c r="L52" i="26" s="1"/>
  <c r="K46" i="26"/>
  <c r="K52" i="26" s="1"/>
  <c r="J9" i="19"/>
  <c r="J15" i="19" s="1"/>
  <c r="Q37" i="19"/>
  <c r="O126" i="19"/>
  <c r="N131" i="19"/>
  <c r="N9" i="17"/>
  <c r="N12" i="17" s="1"/>
  <c r="N17" i="17" s="1"/>
  <c r="N10" i="17"/>
  <c r="M49" i="19"/>
  <c r="M54" i="19" s="1"/>
  <c r="N45" i="19"/>
  <c r="N49" i="19" s="1"/>
  <c r="E8" i="16"/>
  <c r="F4" i="16"/>
  <c r="E84" i="17"/>
  <c r="D86" i="17"/>
  <c r="D89" i="17" s="1"/>
  <c r="E90" i="17" s="1"/>
  <c r="C133" i="12" a="1"/>
  <c r="C133" i="12" s="1"/>
  <c r="A179" i="12"/>
  <c r="C130" i="12" a="1"/>
  <c r="C130" i="12" s="1"/>
  <c r="A176" i="12"/>
  <c r="D130" i="12" a="1"/>
  <c r="D130" i="12" s="1"/>
  <c r="E130" i="12" a="1"/>
  <c r="E130" i="12" s="1"/>
  <c r="F130" i="12" s="1" a="1"/>
  <c r="F130" i="12" s="1"/>
  <c r="H71" i="12"/>
  <c r="C123" i="12" a="1"/>
  <c r="C123" i="12" s="1"/>
  <c r="D123" i="12" a="1"/>
  <c r="D123" i="12" s="1"/>
  <c r="A169" i="12"/>
  <c r="G94" i="12"/>
  <c r="H94" i="12" s="1"/>
  <c r="C115" i="12" a="1"/>
  <c r="C115" i="12" s="1"/>
  <c r="D115" i="12" s="1" a="1"/>
  <c r="D115" i="12" s="1"/>
  <c r="A161" i="12"/>
  <c r="J86" i="12"/>
  <c r="K86" i="12" s="1"/>
  <c r="H70" i="12"/>
  <c r="G89" i="12"/>
  <c r="H89" i="12" s="1"/>
  <c r="J57" i="26"/>
  <c r="J58" i="26" s="1"/>
  <c r="J69" i="26" s="1"/>
  <c r="J70" i="26" s="1"/>
  <c r="J27" i="24"/>
  <c r="N27" i="24"/>
  <c r="N57" i="26"/>
  <c r="N58" i="26" s="1"/>
  <c r="N69" i="26" s="1"/>
  <c r="N70" i="26" s="1"/>
  <c r="J49" i="33"/>
  <c r="J78" i="28" s="1"/>
  <c r="P49" i="33"/>
  <c r="P78" i="28" s="1"/>
  <c r="F31" i="30"/>
  <c r="F80" i="24" s="1"/>
  <c r="I32" i="30"/>
  <c r="I81" i="24" s="1"/>
  <c r="J48" i="4"/>
  <c r="AE48" i="4" s="1"/>
  <c r="O33" i="30"/>
  <c r="O82" i="24" s="1"/>
  <c r="O42" i="24" s="1"/>
  <c r="O44" i="24" s="1"/>
  <c r="Q33" i="30"/>
  <c r="Q82" i="24" s="1"/>
  <c r="Q42" i="24" s="1"/>
  <c r="Q44" i="24" s="1"/>
  <c r="I57" i="27"/>
  <c r="I58" i="27" s="1"/>
  <c r="J24" i="14"/>
  <c r="J23" i="14"/>
  <c r="D71" i="1" s="1"/>
  <c r="F31" i="5" s="1"/>
  <c r="F31" i="4" s="1"/>
  <c r="L5" i="14"/>
  <c r="F129" i="12" a="1"/>
  <c r="F129" i="12" s="1"/>
  <c r="A163" i="12"/>
  <c r="D117" i="12" a="1"/>
  <c r="D117" i="12" s="1"/>
  <c r="C117" i="12" a="1"/>
  <c r="C117" i="12" s="1"/>
  <c r="A155" i="12"/>
  <c r="C109" i="12" a="1"/>
  <c r="C109" i="12" s="1"/>
  <c r="H83" i="12"/>
  <c r="J74" i="12"/>
  <c r="J65" i="12"/>
  <c r="K65" i="12" s="1"/>
  <c r="H85" i="12"/>
  <c r="K70" i="12"/>
  <c r="J70" i="12"/>
  <c r="J75" i="12"/>
  <c r="K75" i="12" s="1"/>
  <c r="J69" i="12"/>
  <c r="H81" i="12"/>
  <c r="J66" i="12"/>
  <c r="K66" i="12" s="1"/>
  <c r="H63" i="12"/>
  <c r="K57" i="26"/>
  <c r="K58" i="26" s="1"/>
  <c r="K69" i="26" s="1"/>
  <c r="K27" i="24"/>
  <c r="G27" i="24"/>
  <c r="G57" i="26"/>
  <c r="G58" i="26" s="1"/>
  <c r="G69" i="26" s="1"/>
  <c r="G70" i="26" s="1"/>
  <c r="L49" i="33"/>
  <c r="L78" i="28" s="1"/>
  <c r="I49" i="33"/>
  <c r="I78" i="28" s="1"/>
  <c r="I50" i="33"/>
  <c r="I79" i="28" s="1"/>
  <c r="G31" i="30"/>
  <c r="G80" i="24" s="1"/>
  <c r="Q32" i="30"/>
  <c r="Q81" i="24" s="1"/>
  <c r="J33" i="30"/>
  <c r="J82" i="24" s="1"/>
  <c r="J42" i="24" s="1"/>
  <c r="J44" i="24" s="1"/>
  <c r="G74" i="28"/>
  <c r="F73" i="24"/>
  <c r="L68" i="21"/>
  <c r="K63" i="21"/>
  <c r="K70" i="21"/>
  <c r="K69" i="21" s="1"/>
  <c r="H109" i="19"/>
  <c r="N125" i="19"/>
  <c r="M130" i="19"/>
  <c r="E6" i="5"/>
  <c r="E6" i="4" s="1"/>
  <c r="E7" i="4"/>
  <c r="C79" i="17"/>
  <c r="C83" i="17" s="1"/>
  <c r="M30" i="30"/>
  <c r="M79" i="24" s="1"/>
  <c r="H30" i="30"/>
  <c r="H79" i="24" s="1"/>
  <c r="Q48" i="33"/>
  <c r="Q77" i="28" s="1"/>
  <c r="K31" i="27"/>
  <c r="I68" i="26"/>
  <c r="G62" i="27"/>
  <c r="G66" i="24" s="1"/>
  <c r="H29" i="27"/>
  <c r="H112" i="19"/>
  <c r="G62" i="19"/>
  <c r="H128" i="19"/>
  <c r="K64" i="21"/>
  <c r="H48" i="21" s="1"/>
  <c r="G128" i="19"/>
  <c r="F79" i="19"/>
  <c r="N29" i="20"/>
  <c r="N21" i="1"/>
  <c r="N32" i="9" s="1"/>
  <c r="J43" i="13"/>
  <c r="C68" i="1" s="1"/>
  <c r="C59" i="9" s="1"/>
  <c r="C62" i="9" s="1"/>
  <c r="J84" i="12"/>
  <c r="K84" i="12" s="1"/>
  <c r="H76" i="12"/>
  <c r="A177" i="12"/>
  <c r="E131" i="12" a="1"/>
  <c r="E131" i="12" s="1"/>
  <c r="A158" i="12"/>
  <c r="C112" i="12" a="1"/>
  <c r="C112" i="12" s="1"/>
  <c r="H80" i="12"/>
  <c r="H82" i="12"/>
  <c r="C114" i="12" a="1"/>
  <c r="C114" i="12" s="1"/>
  <c r="D114" i="12" s="1" a="1"/>
  <c r="D114" i="12" s="1"/>
  <c r="A160" i="12"/>
  <c r="A173" i="12"/>
  <c r="C127" i="12" a="1"/>
  <c r="C127" i="12" s="1"/>
  <c r="D127" i="12" s="1" a="1"/>
  <c r="D127" i="12" s="1"/>
  <c r="H91" i="12"/>
  <c r="K47" i="12"/>
  <c r="K45" i="12" s="1"/>
  <c r="K48" i="12"/>
  <c r="L5" i="12"/>
  <c r="J79" i="12"/>
  <c r="K79" i="12" s="1"/>
  <c r="H75" i="12"/>
  <c r="G69" i="12"/>
  <c r="H69" i="12" s="1"/>
  <c r="I61" i="12" a="1"/>
  <c r="I61" i="12" s="1"/>
  <c r="D61" i="12"/>
  <c r="A102" i="12"/>
  <c r="F61" i="12" a="1"/>
  <c r="F61" i="12" s="1"/>
  <c r="E61" i="12" a="1"/>
  <c r="E61" i="12" s="1"/>
  <c r="G61" i="12" s="1"/>
  <c r="A150" i="12"/>
  <c r="C104" i="12" a="1"/>
  <c r="C104" i="12" s="1"/>
  <c r="Q57" i="26"/>
  <c r="Q58" i="26" s="1"/>
  <c r="Q69" i="26" s="1"/>
  <c r="Q70" i="26" s="1"/>
  <c r="Q27" i="24"/>
  <c r="O27" i="24"/>
  <c r="O57" i="26"/>
  <c r="O58" i="26" s="1"/>
  <c r="O69" i="26" s="1"/>
  <c r="O70" i="26" s="1"/>
  <c r="Q49" i="33"/>
  <c r="Q78" i="28" s="1"/>
  <c r="H31" i="30"/>
  <c r="H80" i="24" s="1"/>
  <c r="F32" i="30"/>
  <c r="F81" i="24" s="1"/>
  <c r="F33" i="30"/>
  <c r="F82" i="24" s="1"/>
  <c r="F42" i="24" s="1"/>
  <c r="F44" i="24" s="1"/>
  <c r="K33" i="30"/>
  <c r="K82" i="24" s="1"/>
  <c r="K42" i="24" s="1"/>
  <c r="K44" i="24" s="1"/>
  <c r="O43" i="19"/>
  <c r="O49" i="19"/>
  <c r="F48" i="33"/>
  <c r="F77" i="28" s="1"/>
  <c r="M60" i="28"/>
  <c r="M87" i="24" s="1"/>
  <c r="P30" i="30"/>
  <c r="P79" i="24" s="1"/>
  <c r="J30" i="30"/>
  <c r="J79" i="24" s="1"/>
  <c r="H29" i="26"/>
  <c r="G62" i="26"/>
  <c r="G68" i="24" s="1"/>
  <c r="G74" i="26"/>
  <c r="F74" i="24"/>
  <c r="F13" i="5"/>
  <c r="F13" i="4" s="1"/>
  <c r="F14" i="4"/>
  <c r="H123" i="19"/>
  <c r="I124" i="19"/>
  <c r="J65" i="21"/>
  <c r="N10" i="20"/>
  <c r="H24" i="14"/>
  <c r="H23" i="14"/>
  <c r="C71" i="1" s="1"/>
  <c r="E31" i="5" s="1"/>
  <c r="E31" i="4" s="1"/>
  <c r="J28" i="17"/>
  <c r="K12" i="13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L27" i="17"/>
  <c r="O64" i="17" s="1"/>
  <c r="L5" i="1"/>
  <c r="L30" i="9" s="1"/>
  <c r="T17" i="14"/>
  <c r="V17" i="14" s="1"/>
  <c r="X17" i="14" s="1"/>
  <c r="Z17" i="14" s="1"/>
  <c r="AB17" i="14" s="1"/>
  <c r="AD17" i="14" s="1"/>
  <c r="R29" i="14" a="1"/>
  <c r="R29" i="14" s="1"/>
  <c r="H72" i="1" s="1"/>
  <c r="H54" i="9" s="1"/>
  <c r="H56" i="9" s="1"/>
  <c r="H64" i="9" s="1"/>
  <c r="H29" i="14" a="1"/>
  <c r="H29" i="14" s="1"/>
  <c r="C72" i="1" s="1"/>
  <c r="C54" i="9" s="1"/>
  <c r="C56" i="9" s="1"/>
  <c r="C64" i="9" s="1"/>
  <c r="P29" i="14" a="1"/>
  <c r="P29" i="14" s="1"/>
  <c r="G72" i="1" s="1"/>
  <c r="G54" i="9" s="1"/>
  <c r="G56" i="9" s="1"/>
  <c r="L29" i="14" a="1"/>
  <c r="L29" i="14" s="1"/>
  <c r="E72" i="1" s="1"/>
  <c r="E54" i="9" s="1"/>
  <c r="E56" i="9" s="1"/>
  <c r="E64" i="9" s="1"/>
  <c r="K4" i="13"/>
  <c r="H88" i="12"/>
  <c r="G72" i="12"/>
  <c r="H72" i="12" s="1"/>
  <c r="C105" i="12" a="1"/>
  <c r="C105" i="12" s="1"/>
  <c r="E105" i="12" a="1"/>
  <c r="E105" i="12" s="1"/>
  <c r="F105" i="12" s="1" a="1"/>
  <c r="F105" i="12" s="1"/>
  <c r="A151" i="12"/>
  <c r="D105" i="12" a="1"/>
  <c r="D105" i="12" s="1"/>
  <c r="C134" i="12" a="1"/>
  <c r="C134" i="12" s="1"/>
  <c r="D134" i="12" s="1" a="1"/>
  <c r="D134" i="12" s="1"/>
  <c r="A180" i="12"/>
  <c r="J67" i="12"/>
  <c r="K67" i="12"/>
  <c r="H77" i="12"/>
  <c r="J78" i="12"/>
  <c r="K78" i="12" s="1"/>
  <c r="F97" i="12" a="1"/>
  <c r="F97" i="12" s="1"/>
  <c r="K93" i="12" s="1"/>
  <c r="G44" i="12"/>
  <c r="G65" i="12"/>
  <c r="H65" i="12" s="1"/>
  <c r="F95" i="12" a="1"/>
  <c r="F95" i="12" s="1"/>
  <c r="J95" i="12" s="1"/>
  <c r="K95" i="12" s="1"/>
  <c r="F91" i="12" a="1"/>
  <c r="F91" i="12" s="1"/>
  <c r="J91" i="12" s="1"/>
  <c r="K91" i="12" s="1"/>
  <c r="C126" i="12" a="1"/>
  <c r="C126" i="12" s="1"/>
  <c r="A172" i="12"/>
  <c r="G67" i="12"/>
  <c r="H67" i="12" s="1"/>
  <c r="G79" i="12"/>
  <c r="H79" i="12" s="1"/>
  <c r="F75" i="12" a="1"/>
  <c r="F75" i="12" s="1"/>
  <c r="G92" i="12"/>
  <c r="H92" i="12" s="1"/>
  <c r="C110" i="12" a="1"/>
  <c r="C110" i="12" s="1"/>
  <c r="A156" i="12"/>
  <c r="E110" i="12" a="1"/>
  <c r="E110" i="12" s="1"/>
  <c r="D110" i="12" a="1"/>
  <c r="D110" i="12" s="1"/>
  <c r="I48" i="12"/>
  <c r="F81" i="12" a="1"/>
  <c r="F81" i="12" s="1"/>
  <c r="J81" i="12" s="1"/>
  <c r="K81" i="12" s="1"/>
  <c r="E125" i="12" a="1"/>
  <c r="E125" i="12" s="1"/>
  <c r="H66" i="12"/>
  <c r="I11" i="10"/>
  <c r="H93" i="1"/>
  <c r="H49" i="15" s="1"/>
  <c r="H27" i="24"/>
  <c r="H57" i="26"/>
  <c r="H58" i="26" s="1"/>
  <c r="I31" i="30"/>
  <c r="I80" i="24" s="1"/>
  <c r="K31" i="30"/>
  <c r="K80" i="24" s="1"/>
  <c r="N32" i="30"/>
  <c r="N81" i="24" s="1"/>
  <c r="O48" i="4"/>
  <c r="AJ48" i="4" s="1"/>
  <c r="G33" i="30"/>
  <c r="G82" i="24" s="1"/>
  <c r="G42" i="24" s="1"/>
  <c r="G44" i="24" s="1"/>
  <c r="L28" i="24" l="1"/>
  <c r="I28" i="24"/>
  <c r="J85" i="24"/>
  <c r="P60" i="26"/>
  <c r="P86" i="24" s="1"/>
  <c r="P28" i="24"/>
  <c r="G47" i="1"/>
  <c r="J60" i="26"/>
  <c r="J86" i="24" s="1"/>
  <c r="N28" i="24"/>
  <c r="H28" i="24"/>
  <c r="J28" i="24"/>
  <c r="M28" i="24"/>
  <c r="M36" i="24" s="1"/>
  <c r="M40" i="24" s="1"/>
  <c r="E134" i="12" a="1"/>
  <c r="E134" i="12" s="1"/>
  <c r="X18" i="13"/>
  <c r="Y18" i="13"/>
  <c r="AA18" i="13" s="1"/>
  <c r="AC18" i="13" s="1"/>
  <c r="AE18" i="13" s="1"/>
  <c r="E114" i="12" a="1"/>
  <c r="E114" i="12" s="1"/>
  <c r="F118" i="12" a="1"/>
  <c r="F118" i="12" s="1"/>
  <c r="G119" i="12" a="1"/>
  <c r="G119" i="12" s="1"/>
  <c r="G130" i="12" a="1"/>
  <c r="G130" i="12" s="1"/>
  <c r="E115" i="12" a="1"/>
  <c r="E115" i="12" s="1"/>
  <c r="E121" i="12" a="1"/>
  <c r="E121" i="12" s="1"/>
  <c r="Y11" i="14"/>
  <c r="Z11" i="14"/>
  <c r="AB11" i="14" s="1"/>
  <c r="AD11" i="14" s="1"/>
  <c r="E120" i="12" a="1"/>
  <c r="E120" i="12" s="1"/>
  <c r="E111" i="12" a="1"/>
  <c r="E111" i="12" s="1"/>
  <c r="E127" i="12" a="1"/>
  <c r="E127" i="12" s="1"/>
  <c r="G107" i="12" a="1"/>
  <c r="G107" i="12" s="1"/>
  <c r="F106" i="12" a="1"/>
  <c r="F106" i="12" s="1"/>
  <c r="E135" i="12" a="1"/>
  <c r="E135" i="12" s="1"/>
  <c r="G105" i="12" a="1"/>
  <c r="G105" i="12" s="1"/>
  <c r="L56" i="18"/>
  <c r="L61" i="18" s="1"/>
  <c r="L33" i="1"/>
  <c r="N16" i="5" s="1"/>
  <c r="K34" i="13"/>
  <c r="K33" i="13"/>
  <c r="D66" i="1" s="1"/>
  <c r="F29" i="5" s="1"/>
  <c r="M4" i="13"/>
  <c r="O8" i="24"/>
  <c r="L56" i="1"/>
  <c r="J61" i="12"/>
  <c r="K61" i="12" s="1"/>
  <c r="F131" i="12" a="1"/>
  <c r="F131" i="12" s="1"/>
  <c r="H62" i="27"/>
  <c r="H66" i="24" s="1"/>
  <c r="I29" i="27"/>
  <c r="P57" i="28"/>
  <c r="P58" i="28" s="1"/>
  <c r="P69" i="28" s="1"/>
  <c r="P26" i="24"/>
  <c r="J92" i="12"/>
  <c r="K53" i="26"/>
  <c r="K60" i="26" s="1"/>
  <c r="K68" i="26"/>
  <c r="Q28" i="24"/>
  <c r="Q60" i="26"/>
  <c r="F60" i="26"/>
  <c r="F69" i="26"/>
  <c r="F70" i="26" s="1"/>
  <c r="J72" i="12"/>
  <c r="K72" i="12" s="1"/>
  <c r="K62" i="12"/>
  <c r="J68" i="12"/>
  <c r="K68" i="12" s="1"/>
  <c r="O33" i="14"/>
  <c r="F73" i="1" s="1"/>
  <c r="F60" i="9" s="1"/>
  <c r="N29" i="14" a="1"/>
  <c r="N29" i="14" s="1"/>
  <c r="F72" i="1" s="1"/>
  <c r="F54" i="9" s="1"/>
  <c r="F56" i="9" s="1"/>
  <c r="G60" i="26"/>
  <c r="M8" i="24"/>
  <c r="J56" i="1"/>
  <c r="K82" i="12"/>
  <c r="K85" i="12"/>
  <c r="J136" i="12" a="1"/>
  <c r="J136" i="12" s="1"/>
  <c r="J80" i="12"/>
  <c r="J7" i="1"/>
  <c r="L7" i="5" s="1"/>
  <c r="E69" i="26"/>
  <c r="E70" i="26" s="1"/>
  <c r="B56" i="1" s="1"/>
  <c r="E60" i="26"/>
  <c r="B55" i="1" s="1"/>
  <c r="C132" i="12" a="1"/>
  <c r="C132" i="12" s="1"/>
  <c r="F132" i="12" a="1"/>
  <c r="F132" i="12" s="1"/>
  <c r="P8" i="24"/>
  <c r="M56" i="1"/>
  <c r="W33" i="14"/>
  <c r="J73" i="1" s="1"/>
  <c r="J60" i="9" s="1"/>
  <c r="V29" i="14" a="1"/>
  <c r="V29" i="14" s="1"/>
  <c r="J72" i="1" s="1"/>
  <c r="J54" i="9" s="1"/>
  <c r="J56" i="9" s="1"/>
  <c r="L33" i="22"/>
  <c r="K78" i="1"/>
  <c r="M20" i="5" s="1"/>
  <c r="I112" i="19"/>
  <c r="H62" i="19"/>
  <c r="H113" i="19"/>
  <c r="H61" i="19" s="1"/>
  <c r="F125" i="12" a="1"/>
  <c r="F125" i="12" s="1"/>
  <c r="H62" i="26"/>
  <c r="H68" i="24" s="1"/>
  <c r="I29" i="26"/>
  <c r="G69" i="24"/>
  <c r="D107" i="1" s="1"/>
  <c r="D42" i="15" s="1"/>
  <c r="I69" i="27"/>
  <c r="I70" i="27" s="1"/>
  <c r="I60" i="27"/>
  <c r="J26" i="24"/>
  <c r="J57" i="28"/>
  <c r="J58" i="28" s="1"/>
  <c r="I133" i="12" a="1"/>
  <c r="I133" i="12" s="1"/>
  <c r="K92" i="12"/>
  <c r="N27" i="17"/>
  <c r="N5" i="1"/>
  <c r="N30" i="9" s="1"/>
  <c r="N36" i="9" s="1"/>
  <c r="N46" i="9" s="1"/>
  <c r="L53" i="26"/>
  <c r="L60" i="26" s="1"/>
  <c r="L68" i="26"/>
  <c r="L70" i="26" s="1"/>
  <c r="F28" i="24"/>
  <c r="F38" i="24" s="1"/>
  <c r="J6" i="5"/>
  <c r="J6" i="4" s="1"/>
  <c r="AE6" i="4" s="1"/>
  <c r="J7" i="4"/>
  <c r="AE7" i="4" s="1"/>
  <c r="G136" i="12" a="1"/>
  <c r="G136" i="12" s="1"/>
  <c r="L64" i="17"/>
  <c r="F7" i="1"/>
  <c r="H7" i="5" s="1"/>
  <c r="K90" i="12"/>
  <c r="G54" i="21"/>
  <c r="G58" i="21" s="1"/>
  <c r="G60" i="21" s="1"/>
  <c r="G28" i="1" s="1"/>
  <c r="I18" i="5" s="1"/>
  <c r="H47" i="21"/>
  <c r="H52" i="21" s="1"/>
  <c r="K65" i="21"/>
  <c r="L64" i="21"/>
  <c r="I57" i="28"/>
  <c r="I58" i="28" s="1"/>
  <c r="I26" i="24"/>
  <c r="I36" i="24" s="1"/>
  <c r="E117" i="12" a="1"/>
  <c r="E117" i="12" s="1"/>
  <c r="N8" i="24"/>
  <c r="K56" i="1"/>
  <c r="J133" i="12" a="1"/>
  <c r="J133" i="12" s="1"/>
  <c r="K94" i="12"/>
  <c r="K63" i="12"/>
  <c r="J88" i="12"/>
  <c r="D136" i="12" a="1"/>
  <c r="D136" i="12" s="1"/>
  <c r="T24" i="14"/>
  <c r="T23" i="14"/>
  <c r="I71" i="1" s="1"/>
  <c r="K31" i="5" s="1"/>
  <c r="K31" i="4" s="1"/>
  <c r="AF31" i="4" s="1"/>
  <c r="V5" i="14"/>
  <c r="K6" i="5"/>
  <c r="K6" i="4" s="1"/>
  <c r="AF6" i="4" s="1"/>
  <c r="K7" i="4"/>
  <c r="AF7" i="4" s="1"/>
  <c r="D132" i="12" a="1"/>
  <c r="D132" i="12" s="1"/>
  <c r="H96" i="19"/>
  <c r="I96" i="19" s="1"/>
  <c r="G60" i="27"/>
  <c r="Q53" i="28"/>
  <c r="D116" i="12" a="1"/>
  <c r="D116" i="12" s="1"/>
  <c r="J90" i="12"/>
  <c r="H38" i="21"/>
  <c r="H42" i="21" s="1"/>
  <c r="I34" i="21"/>
  <c r="M60" i="26"/>
  <c r="N60" i="26"/>
  <c r="G132" i="19"/>
  <c r="G109" i="19"/>
  <c r="O60" i="26"/>
  <c r="M68" i="21"/>
  <c r="L63" i="21"/>
  <c r="L70" i="21"/>
  <c r="L69" i="21" s="1"/>
  <c r="L57" i="28"/>
  <c r="L58" i="28" s="1"/>
  <c r="L26" i="24"/>
  <c r="L36" i="24" s="1"/>
  <c r="L40" i="24" s="1"/>
  <c r="H133" i="12" a="1"/>
  <c r="H133" i="12" s="1"/>
  <c r="P126" i="19"/>
  <c r="O131" i="19"/>
  <c r="I70" i="26"/>
  <c r="J62" i="17"/>
  <c r="G7" i="1"/>
  <c r="I7" i="5" s="1"/>
  <c r="N11" i="20"/>
  <c r="I50" i="28"/>
  <c r="H62" i="28"/>
  <c r="H67" i="24" s="1"/>
  <c r="G6" i="24"/>
  <c r="D47" i="1"/>
  <c r="K88" i="12"/>
  <c r="H136" i="12" a="1"/>
  <c r="H136" i="12" s="1"/>
  <c r="G61" i="19"/>
  <c r="E103" i="12" a="1"/>
  <c r="E103" i="12" s="1"/>
  <c r="P53" i="28"/>
  <c r="D113" i="12" a="1"/>
  <c r="D113" i="12" s="1"/>
  <c r="W17" i="13"/>
  <c r="F69" i="28"/>
  <c r="F70" i="28" s="1"/>
  <c r="F7" i="24" s="1"/>
  <c r="F60" i="28"/>
  <c r="F87" i="24" s="1"/>
  <c r="O69" i="28"/>
  <c r="O60" i="28"/>
  <c r="O87" i="24" s="1"/>
  <c r="K32" i="27"/>
  <c r="K60" i="27" s="1"/>
  <c r="K68" i="27"/>
  <c r="K70" i="27" s="1"/>
  <c r="G8" i="24"/>
  <c r="D56" i="1"/>
  <c r="G129" i="12" a="1"/>
  <c r="G129" i="12" s="1"/>
  <c r="J71" i="12"/>
  <c r="K71" i="12" s="1"/>
  <c r="D133" i="12" a="1"/>
  <c r="D133" i="12" s="1"/>
  <c r="G4" i="16"/>
  <c r="F8" i="16"/>
  <c r="F75" i="24"/>
  <c r="J11" i="19"/>
  <c r="K11" i="19" s="1"/>
  <c r="L11" i="19" s="1"/>
  <c r="M11" i="19" s="1"/>
  <c r="N11" i="19" s="1"/>
  <c r="M32" i="27"/>
  <c r="M60" i="27" s="1"/>
  <c r="M68" i="27"/>
  <c r="M70" i="27" s="1"/>
  <c r="I136" i="12" a="1"/>
  <c r="I136" i="12" s="1"/>
  <c r="H69" i="27"/>
  <c r="H70" i="27" s="1"/>
  <c r="H60" i="27"/>
  <c r="K83" i="12"/>
  <c r="J6" i="1"/>
  <c r="J38" i="9" s="1"/>
  <c r="J44" i="9" s="1"/>
  <c r="J27" i="17"/>
  <c r="M64" i="17" s="1"/>
  <c r="H13" i="5"/>
  <c r="H13" i="4" s="1"/>
  <c r="AC13" i="4" s="1"/>
  <c r="H14" i="4"/>
  <c r="AC14" i="4" s="1"/>
  <c r="J64" i="12"/>
  <c r="K64" i="12" s="1"/>
  <c r="X20" i="13"/>
  <c r="Y20" i="13" s="1"/>
  <c r="AA20" i="13" s="1"/>
  <c r="AC20" i="13" s="1"/>
  <c r="AE20" i="13" s="1"/>
  <c r="Y13" i="14"/>
  <c r="Z13" i="14"/>
  <c r="AB13" i="14" s="1"/>
  <c r="AD13" i="14" s="1"/>
  <c r="I123" i="19"/>
  <c r="J124" i="19"/>
  <c r="I129" i="19"/>
  <c r="I128" i="19" s="1"/>
  <c r="I132" i="19" s="1"/>
  <c r="Q8" i="24"/>
  <c r="N56" i="1"/>
  <c r="H60" i="26"/>
  <c r="H69" i="26"/>
  <c r="H70" i="26" s="1"/>
  <c r="D104" i="12" a="1"/>
  <c r="D104" i="12" s="1"/>
  <c r="D131" i="12" a="1"/>
  <c r="D131" i="12" s="1"/>
  <c r="H132" i="19"/>
  <c r="H74" i="28"/>
  <c r="G73" i="24"/>
  <c r="D109" i="12" a="1"/>
  <c r="D109" i="12" s="1"/>
  <c r="L23" i="14"/>
  <c r="E71" i="1" s="1"/>
  <c r="G31" i="5" s="1"/>
  <c r="G31" i="4" s="1"/>
  <c r="L24" i="14"/>
  <c r="N5" i="14"/>
  <c r="J8" i="24"/>
  <c r="G56" i="1"/>
  <c r="E12" i="16"/>
  <c r="E10" i="16"/>
  <c r="D50" i="1" s="1"/>
  <c r="F42" i="5" s="1"/>
  <c r="F42" i="4" s="1"/>
  <c r="D49" i="1"/>
  <c r="F24" i="5" s="1"/>
  <c r="H74" i="27"/>
  <c r="G72" i="24"/>
  <c r="L6" i="24"/>
  <c r="I47" i="1"/>
  <c r="H59" i="19"/>
  <c r="G104" i="19"/>
  <c r="G105" i="19" s="1"/>
  <c r="H60" i="19" s="1"/>
  <c r="N27" i="27"/>
  <c r="O28" i="27"/>
  <c r="O7" i="27"/>
  <c r="N25" i="27"/>
  <c r="K29" i="28"/>
  <c r="J68" i="28"/>
  <c r="J89" i="12"/>
  <c r="E32" i="5"/>
  <c r="E32" i="4" s="1"/>
  <c r="E29" i="4"/>
  <c r="K28" i="24"/>
  <c r="J83" i="12"/>
  <c r="G66" i="20"/>
  <c r="G70" i="20" s="1"/>
  <c r="H64" i="20"/>
  <c r="J36" i="24"/>
  <c r="J76" i="12"/>
  <c r="R24" i="14"/>
  <c r="P51" i="19"/>
  <c r="O52" i="19"/>
  <c r="Y16" i="14"/>
  <c r="Z16" i="14"/>
  <c r="AB16" i="14" s="1"/>
  <c r="AD16" i="14" s="1"/>
  <c r="P23" i="14"/>
  <c r="G71" i="1" s="1"/>
  <c r="I31" i="5" s="1"/>
  <c r="I31" i="4" s="1"/>
  <c r="AD31" i="4" s="1"/>
  <c r="O28" i="24"/>
  <c r="O36" i="24" s="1"/>
  <c r="H74" i="26"/>
  <c r="G74" i="24"/>
  <c r="Q57" i="28"/>
  <c r="Q58" i="28" s="1"/>
  <c r="Q69" i="28" s="1"/>
  <c r="Q26" i="24"/>
  <c r="H61" i="12"/>
  <c r="F110" i="12" a="1"/>
  <c r="F110" i="12" s="1"/>
  <c r="L48" i="12"/>
  <c r="M5" i="12"/>
  <c r="L47" i="12"/>
  <c r="D126" i="12" a="1"/>
  <c r="D126" i="12" s="1"/>
  <c r="O54" i="19"/>
  <c r="O57" i="19"/>
  <c r="C102" i="12" a="1"/>
  <c r="C102" i="12" s="1"/>
  <c r="A148" i="12"/>
  <c r="D102" i="12" a="1"/>
  <c r="D102" i="12" s="1"/>
  <c r="D112" i="12" a="1"/>
  <c r="D112" i="12" s="1"/>
  <c r="C131" i="12" a="1"/>
  <c r="C131" i="12" s="1"/>
  <c r="O125" i="19"/>
  <c r="N130" i="19"/>
  <c r="K69" i="12"/>
  <c r="K74" i="12"/>
  <c r="J73" i="12"/>
  <c r="K73" i="12" s="1"/>
  <c r="E123" i="12" a="1"/>
  <c r="E123" i="12" s="1"/>
  <c r="N54" i="19"/>
  <c r="N56" i="19"/>
  <c r="J10" i="19"/>
  <c r="E124" i="12" a="1"/>
  <c r="E124" i="12" s="1"/>
  <c r="K28" i="17"/>
  <c r="L28" i="17" s="1"/>
  <c r="M28" i="17" s="1"/>
  <c r="N28" i="17" s="1"/>
  <c r="H101" i="19"/>
  <c r="C95" i="19"/>
  <c r="C101" i="19" s="1"/>
  <c r="I95" i="19"/>
  <c r="M72" i="27"/>
  <c r="G28" i="24"/>
  <c r="E26" i="11"/>
  <c r="K89" i="12"/>
  <c r="L60" i="27"/>
  <c r="G57" i="28"/>
  <c r="G58" i="28" s="1"/>
  <c r="G26" i="24"/>
  <c r="J77" i="12"/>
  <c r="K77" i="12" s="1"/>
  <c r="K76" i="12"/>
  <c r="R23" i="14"/>
  <c r="H71" i="1" s="1"/>
  <c r="J31" i="5" s="1"/>
  <c r="J31" i="4" s="1"/>
  <c r="AE31" i="4" s="1"/>
  <c r="P24" i="14"/>
  <c r="J11" i="10"/>
  <c r="I93" i="1"/>
  <c r="I49" i="15" s="1"/>
  <c r="K70" i="26"/>
  <c r="G133" i="12" a="1"/>
  <c r="G133" i="12" s="1"/>
  <c r="H57" i="28"/>
  <c r="H58" i="28" s="1"/>
  <c r="H26" i="24"/>
  <c r="N48" i="18"/>
  <c r="M40" i="18"/>
  <c r="M45" i="18" s="1"/>
  <c r="M53" i="18" s="1"/>
  <c r="F6" i="24"/>
  <c r="C47" i="1"/>
  <c r="D138" i="12"/>
  <c r="K80" i="12"/>
  <c r="K45" i="17"/>
  <c r="K60" i="17" s="1"/>
  <c r="K62" i="17" s="1"/>
  <c r="L37" i="17"/>
  <c r="F104" i="19"/>
  <c r="F105" i="19" s="1"/>
  <c r="G60" i="19" s="1"/>
  <c r="G59" i="19"/>
  <c r="I60" i="26"/>
  <c r="O48" i="32"/>
  <c r="O80" i="26" s="1"/>
  <c r="G48" i="32"/>
  <c r="G80" i="26" s="1"/>
  <c r="N48" i="32"/>
  <c r="N80" i="26" s="1"/>
  <c r="F48" i="32"/>
  <c r="F80" i="26" s="1"/>
  <c r="M48" i="32"/>
  <c r="M80" i="26" s="1"/>
  <c r="L48" i="32"/>
  <c r="L80" i="26" s="1"/>
  <c r="P48" i="32"/>
  <c r="P80" i="26" s="1"/>
  <c r="H48" i="32"/>
  <c r="H80" i="26" s="1"/>
  <c r="Q48" i="32"/>
  <c r="Q80" i="26" s="1"/>
  <c r="K48" i="32"/>
  <c r="K80" i="26" s="1"/>
  <c r="J48" i="32"/>
  <c r="J80" i="26" s="1"/>
  <c r="I48" i="32"/>
  <c r="I80" i="26" s="1"/>
  <c r="D122" i="12" a="1"/>
  <c r="D122" i="12" s="1"/>
  <c r="E132" i="12" a="1"/>
  <c r="E132" i="12" s="1"/>
  <c r="F69" i="19"/>
  <c r="F70" i="19" s="1"/>
  <c r="F84" i="19" s="1"/>
  <c r="F82" i="19"/>
  <c r="N57" i="28"/>
  <c r="N58" i="28" s="1"/>
  <c r="N26" i="24"/>
  <c r="J87" i="12"/>
  <c r="K87" i="12" s="1"/>
  <c r="E108" i="12" a="1"/>
  <c r="E108" i="12" s="1"/>
  <c r="K40" i="18"/>
  <c r="K45" i="18" s="1"/>
  <c r="K53" i="18" s="1"/>
  <c r="J33" i="18"/>
  <c r="F65" i="19"/>
  <c r="F68" i="19" s="1"/>
  <c r="F75" i="19" s="1"/>
  <c r="X10" i="14"/>
  <c r="Z10" i="14" s="1"/>
  <c r="AB10" i="14" s="1"/>
  <c r="AD10" i="14" s="1"/>
  <c r="L19" i="5"/>
  <c r="L19" i="4" s="1"/>
  <c r="AG19" i="4" s="1"/>
  <c r="L20" i="4"/>
  <c r="AG20" i="4" s="1"/>
  <c r="K69" i="28"/>
  <c r="K60" i="28"/>
  <c r="K87" i="24" s="1"/>
  <c r="F60" i="27"/>
  <c r="H38" i="24" l="1"/>
  <c r="P36" i="24"/>
  <c r="P40" i="24" s="1"/>
  <c r="P60" i="28"/>
  <c r="P87" i="24" s="1"/>
  <c r="M55" i="1"/>
  <c r="G55" i="1"/>
  <c r="H36" i="24"/>
  <c r="J40" i="24"/>
  <c r="G95" i="1" s="1"/>
  <c r="G16" i="9" s="1"/>
  <c r="Q36" i="24"/>
  <c r="Q40" i="24" s="1"/>
  <c r="Q20" i="24" s="1"/>
  <c r="F36" i="24"/>
  <c r="F40" i="24" s="1"/>
  <c r="G38" i="24"/>
  <c r="L20" i="24"/>
  <c r="I95" i="1"/>
  <c r="I16" i="9" s="1"/>
  <c r="L46" i="24"/>
  <c r="M20" i="24"/>
  <c r="J95" i="1"/>
  <c r="J16" i="9" s="1"/>
  <c r="M46" i="24"/>
  <c r="K6" i="24"/>
  <c r="H47" i="1"/>
  <c r="K97" i="12" a="1"/>
  <c r="K97" i="12" s="1"/>
  <c r="P20" i="24"/>
  <c r="M95" i="1"/>
  <c r="M16" i="9" s="1"/>
  <c r="P46" i="24"/>
  <c r="L8" i="24"/>
  <c r="I56" i="1"/>
  <c r="F85" i="24"/>
  <c r="C46" i="1"/>
  <c r="I33" i="18"/>
  <c r="J40" i="18"/>
  <c r="J45" i="18" s="1"/>
  <c r="J53" i="18" s="1"/>
  <c r="I86" i="24"/>
  <c r="F55" i="1"/>
  <c r="K11" i="10"/>
  <c r="J93" i="1"/>
  <c r="J49" i="15" s="1"/>
  <c r="G69" i="28"/>
  <c r="G70" i="28" s="1"/>
  <c r="G7" i="24" s="1"/>
  <c r="G10" i="24" s="1"/>
  <c r="D58" i="1" s="1"/>
  <c r="D14" i="9" s="1"/>
  <c r="G60" i="28"/>
  <c r="G87" i="24" s="1"/>
  <c r="L49" i="12"/>
  <c r="L45" i="12"/>
  <c r="B62" i="1"/>
  <c r="O73" i="27"/>
  <c r="H86" i="24"/>
  <c r="E55" i="1"/>
  <c r="F12" i="16"/>
  <c r="F10" i="16"/>
  <c r="E50" i="1" s="1"/>
  <c r="G42" i="5" s="1"/>
  <c r="G42" i="4" s="1"/>
  <c r="E49" i="1"/>
  <c r="G24" i="5" s="1"/>
  <c r="I48" i="21"/>
  <c r="K36" i="24"/>
  <c r="K40" i="24" s="1"/>
  <c r="I6" i="24"/>
  <c r="F47" i="1"/>
  <c r="I38" i="24"/>
  <c r="I40" i="24" s="1"/>
  <c r="H105" i="12" a="1"/>
  <c r="H105" i="12" s="1"/>
  <c r="O40" i="24"/>
  <c r="F120" i="12" a="1"/>
  <c r="F120" i="12" s="1"/>
  <c r="K56" i="18"/>
  <c r="K61" i="18" s="1"/>
  <c r="K33" i="1"/>
  <c r="M16" i="5" s="1"/>
  <c r="G71" i="19"/>
  <c r="G65" i="19"/>
  <c r="G68" i="19" s="1"/>
  <c r="G75" i="19" s="1"/>
  <c r="M47" i="12"/>
  <c r="C62" i="1" s="1"/>
  <c r="E36" i="5" s="1"/>
  <c r="M48" i="12"/>
  <c r="N5" i="12"/>
  <c r="I64" i="20"/>
  <c r="H66" i="20"/>
  <c r="H70" i="20" s="1"/>
  <c r="H23" i="1" s="1"/>
  <c r="J14" i="5" s="1"/>
  <c r="N72" i="27"/>
  <c r="F23" i="5"/>
  <c r="F23" i="4" s="1"/>
  <c r="F24" i="4"/>
  <c r="E109" i="12" a="1"/>
  <c r="E109" i="12" s="1"/>
  <c r="M6" i="24"/>
  <c r="J47" i="1"/>
  <c r="H4" i="16"/>
  <c r="G8" i="16"/>
  <c r="K85" i="24"/>
  <c r="H46" i="1"/>
  <c r="F103" i="12" a="1"/>
  <c r="F103" i="12" s="1"/>
  <c r="Q126" i="19"/>
  <c r="Q131" i="19" s="1"/>
  <c r="P131" i="19"/>
  <c r="L69" i="28"/>
  <c r="L60" i="28"/>
  <c r="L87" i="24" s="1"/>
  <c r="N86" i="24"/>
  <c r="K55" i="1"/>
  <c r="Q60" i="28"/>
  <c r="Q87" i="24" s="1"/>
  <c r="B46" i="1"/>
  <c r="B47" i="1"/>
  <c r="H82" i="19"/>
  <c r="K86" i="24"/>
  <c r="H55" i="1"/>
  <c r="I62" i="27"/>
  <c r="I66" i="24" s="1"/>
  <c r="J29" i="27"/>
  <c r="O4" i="13"/>
  <c r="M34" i="13"/>
  <c r="M33" i="13"/>
  <c r="E66" i="1" s="1"/>
  <c r="G29" i="5" s="1"/>
  <c r="H130" i="12" a="1"/>
  <c r="H130" i="12" s="1"/>
  <c r="E122" i="12" a="1"/>
  <c r="E122" i="12" s="1"/>
  <c r="L85" i="24"/>
  <c r="I46" i="1"/>
  <c r="I101" i="19"/>
  <c r="J95" i="19"/>
  <c r="P125" i="19"/>
  <c r="O130" i="19"/>
  <c r="O56" i="19"/>
  <c r="O55" i="19"/>
  <c r="N103" i="19" s="1"/>
  <c r="O91" i="19" s="1"/>
  <c r="O25" i="19" s="1"/>
  <c r="O28" i="19" s="1"/>
  <c r="O6" i="19"/>
  <c r="O8" i="19" s="1"/>
  <c r="P57" i="19"/>
  <c r="Q57" i="19"/>
  <c r="I74" i="26"/>
  <c r="H74" i="24"/>
  <c r="G23" i="1"/>
  <c r="I14" i="5" s="1"/>
  <c r="M85" i="24"/>
  <c r="J46" i="1"/>
  <c r="E133" i="12" a="1"/>
  <c r="E133" i="12" s="1"/>
  <c r="X17" i="13"/>
  <c r="X43" i="13" s="1"/>
  <c r="J68" i="1" s="1"/>
  <c r="J59" i="9" s="1"/>
  <c r="J62" i="9" s="1"/>
  <c r="Y17" i="13"/>
  <c r="AA17" i="13" s="1"/>
  <c r="AC17" i="13" s="1"/>
  <c r="AE17" i="13" s="1"/>
  <c r="M86" i="24"/>
  <c r="J55" i="1"/>
  <c r="G85" i="24"/>
  <c r="D46" i="1"/>
  <c r="O34" i="31"/>
  <c r="O80" i="27" s="1"/>
  <c r="G34" i="31"/>
  <c r="G80" i="27" s="1"/>
  <c r="K34" i="31"/>
  <c r="K80" i="27" s="1"/>
  <c r="J34" i="31"/>
  <c r="J80" i="27" s="1"/>
  <c r="N34" i="31"/>
  <c r="N80" i="27" s="1"/>
  <c r="Q34" i="31"/>
  <c r="Q80" i="27" s="1"/>
  <c r="M34" i="31"/>
  <c r="M80" i="27" s="1"/>
  <c r="I34" i="31"/>
  <c r="I80" i="27" s="1"/>
  <c r="L34" i="31"/>
  <c r="L80" i="27" s="1"/>
  <c r="P34" i="31"/>
  <c r="P80" i="27" s="1"/>
  <c r="F80" i="27"/>
  <c r="H34" i="31"/>
  <c r="H80" i="27" s="1"/>
  <c r="H69" i="24"/>
  <c r="E107" i="1" s="1"/>
  <c r="E42" i="15" s="1"/>
  <c r="F32" i="5"/>
  <c r="F32" i="4" s="1"/>
  <c r="F29" i="4"/>
  <c r="F135" i="12" a="1"/>
  <c r="F135" i="12" s="1"/>
  <c r="F127" i="12" a="1"/>
  <c r="F127" i="12" s="1"/>
  <c r="F114" i="12" a="1"/>
  <c r="F114" i="12" s="1"/>
  <c r="L65" i="21"/>
  <c r="I47" i="21"/>
  <c r="I52" i="21" s="1"/>
  <c r="M64" i="21"/>
  <c r="I38" i="21"/>
  <c r="I42" i="21" s="1"/>
  <c r="J34" i="21"/>
  <c r="J38" i="21" s="1"/>
  <c r="J42" i="21" s="1"/>
  <c r="J96" i="19"/>
  <c r="K96" i="19" s="1"/>
  <c r="L96" i="19" s="1"/>
  <c r="M96" i="19" s="1"/>
  <c r="N96" i="19" s="1"/>
  <c r="V24" i="14"/>
  <c r="V23" i="14"/>
  <c r="J71" i="1" s="1"/>
  <c r="L31" i="5" s="1"/>
  <c r="L31" i="4" s="1"/>
  <c r="AG31" i="4" s="1"/>
  <c r="X5" i="14"/>
  <c r="H6" i="5"/>
  <c r="H6" i="4" s="1"/>
  <c r="AC6" i="4" s="1"/>
  <c r="H7" i="4"/>
  <c r="AC7" i="4" s="1"/>
  <c r="I62" i="26"/>
  <c r="I68" i="24" s="1"/>
  <c r="J29" i="26"/>
  <c r="J112" i="19"/>
  <c r="I62" i="19"/>
  <c r="I113" i="19"/>
  <c r="I61" i="19" s="1"/>
  <c r="L6" i="5"/>
  <c r="L6" i="4" s="1"/>
  <c r="AG6" i="4" s="1"/>
  <c r="L7" i="4"/>
  <c r="AG7" i="4" s="1"/>
  <c r="G131" i="12" a="1"/>
  <c r="G131" i="12" s="1"/>
  <c r="Y33" i="14"/>
  <c r="K73" i="1" s="1"/>
  <c r="K60" i="9" s="1"/>
  <c r="K62" i="9" s="1"/>
  <c r="X29" i="14" a="1"/>
  <c r="X29" i="14" s="1"/>
  <c r="K72" i="1" s="1"/>
  <c r="K54" i="9" s="1"/>
  <c r="K56" i="9" s="1"/>
  <c r="K64" i="9" s="1"/>
  <c r="H119" i="12" a="1"/>
  <c r="H119" i="12" s="1"/>
  <c r="K61" i="17"/>
  <c r="K7" i="1"/>
  <c r="M7" i="5" s="1"/>
  <c r="N47" i="18"/>
  <c r="N51" i="18"/>
  <c r="N53" i="18" s="1"/>
  <c r="K8" i="24"/>
  <c r="H56" i="1"/>
  <c r="I59" i="19"/>
  <c r="H104" i="19"/>
  <c r="H105" i="19" s="1"/>
  <c r="I60" i="19" s="1"/>
  <c r="D139" i="12" a="1"/>
  <c r="D139" i="12" s="1"/>
  <c r="E126" i="12" a="1"/>
  <c r="E126" i="12" s="1"/>
  <c r="L29" i="28"/>
  <c r="K68" i="28"/>
  <c r="K70" i="28" s="1"/>
  <c r="K7" i="24" s="1"/>
  <c r="K124" i="19"/>
  <c r="J123" i="19"/>
  <c r="J109" i="19" s="1"/>
  <c r="J129" i="19"/>
  <c r="J128" i="19" s="1"/>
  <c r="H129" i="12" a="1"/>
  <c r="H129" i="12" s="1"/>
  <c r="M63" i="21"/>
  <c r="M70" i="21"/>
  <c r="M69" i="21" s="1"/>
  <c r="N68" i="21"/>
  <c r="H54" i="21"/>
  <c r="H58" i="21" s="1"/>
  <c r="H60" i="21" s="1"/>
  <c r="H28" i="1" s="1"/>
  <c r="J18" i="5" s="1"/>
  <c r="H79" i="19"/>
  <c r="F117" i="12" a="1"/>
  <c r="F117" i="12" s="1"/>
  <c r="M19" i="5"/>
  <c r="M19" i="4" s="1"/>
  <c r="AH19" i="4" s="1"/>
  <c r="M20" i="4"/>
  <c r="AH20" i="4" s="1"/>
  <c r="J61" i="17"/>
  <c r="F8" i="24"/>
  <c r="F10" i="24" s="1"/>
  <c r="C58" i="1" s="1"/>
  <c r="C14" i="9" s="1"/>
  <c r="C56" i="1"/>
  <c r="N15" i="5"/>
  <c r="N15" i="4" s="1"/>
  <c r="AI15" i="4" s="1"/>
  <c r="N16" i="4"/>
  <c r="AI16" i="4" s="1"/>
  <c r="G106" i="12" a="1"/>
  <c r="G106" i="12" s="1"/>
  <c r="F111" i="12" a="1"/>
  <c r="F111" i="12" s="1"/>
  <c r="F121" i="12" a="1"/>
  <c r="F121" i="12" s="1"/>
  <c r="F108" i="12" a="1"/>
  <c r="F108" i="12" s="1"/>
  <c r="L45" i="17"/>
  <c r="L60" i="17" s="1"/>
  <c r="M37" i="17"/>
  <c r="M56" i="18"/>
  <c r="M61" i="18" s="1"/>
  <c r="M62" i="18" s="1"/>
  <c r="M33" i="1"/>
  <c r="O16" i="5" s="1"/>
  <c r="E112" i="12" a="1"/>
  <c r="E112" i="12" s="1"/>
  <c r="I109" i="19"/>
  <c r="H85" i="24"/>
  <c r="E46" i="1"/>
  <c r="G69" i="19"/>
  <c r="G70" i="19" s="1"/>
  <c r="G84" i="19" s="1"/>
  <c r="G82" i="19"/>
  <c r="J50" i="28"/>
  <c r="I62" i="28"/>
  <c r="I67" i="24" s="1"/>
  <c r="O86" i="24"/>
  <c r="L55" i="1"/>
  <c r="I17" i="5"/>
  <c r="I17" i="4" s="1"/>
  <c r="AD17" i="4" s="1"/>
  <c r="I18" i="4"/>
  <c r="AD18" i="4" s="1"/>
  <c r="J69" i="28"/>
  <c r="J70" i="28" s="1"/>
  <c r="J7" i="24" s="1"/>
  <c r="J10" i="24" s="1"/>
  <c r="G58" i="1" s="1"/>
  <c r="G14" i="9" s="1"/>
  <c r="J60" i="28"/>
  <c r="J87" i="24" s="1"/>
  <c r="J88" i="24" s="1"/>
  <c r="G59" i="1" s="1"/>
  <c r="G5" i="9" s="1"/>
  <c r="G11" i="9" s="1"/>
  <c r="M33" i="22"/>
  <c r="M78" i="1" s="1"/>
  <c r="O20" i="5" s="1"/>
  <c r="L78" i="1"/>
  <c r="N20" i="5" s="1"/>
  <c r="G132" i="12" a="1"/>
  <c r="G132" i="12" s="1"/>
  <c r="G86" i="24"/>
  <c r="D55" i="1"/>
  <c r="F86" i="24"/>
  <c r="C55" i="1"/>
  <c r="L62" i="18"/>
  <c r="G79" i="19"/>
  <c r="G110" i="12" a="1"/>
  <c r="G110" i="12" s="1"/>
  <c r="I74" i="28"/>
  <c r="H73" i="24"/>
  <c r="F76" i="19"/>
  <c r="C17" i="1" s="1"/>
  <c r="E41" i="5" s="1"/>
  <c r="E41" i="4" s="1"/>
  <c r="C12" i="1"/>
  <c r="E9" i="5" s="1"/>
  <c r="F26" i="11"/>
  <c r="N31" i="27"/>
  <c r="G75" i="24"/>
  <c r="N23" i="14"/>
  <c r="F71" i="1" s="1"/>
  <c r="H31" i="5" s="1"/>
  <c r="H31" i="4" s="1"/>
  <c r="AC31" i="4" s="1"/>
  <c r="N24" i="14"/>
  <c r="H6" i="24"/>
  <c r="E47" i="1"/>
  <c r="I8" i="24"/>
  <c r="F56" i="1"/>
  <c r="E136" i="12" a="1"/>
  <c r="E136" i="12" s="1"/>
  <c r="J64" i="9"/>
  <c r="K136" i="12" a="1"/>
  <c r="K136" i="12" s="1"/>
  <c r="Q86" i="24"/>
  <c r="N55" i="1"/>
  <c r="N36" i="24"/>
  <c r="N40" i="24" s="1"/>
  <c r="H107" i="12" a="1"/>
  <c r="H107" i="12" s="1"/>
  <c r="G36" i="24"/>
  <c r="G118" i="12" a="1"/>
  <c r="G118" i="12" s="1"/>
  <c r="F134" i="12" a="1"/>
  <c r="F134" i="12" s="1"/>
  <c r="Q51" i="19"/>
  <c r="Q52" i="19" s="1"/>
  <c r="P52" i="19"/>
  <c r="H71" i="19"/>
  <c r="H80" i="19" s="1"/>
  <c r="H65" i="19"/>
  <c r="H68" i="19" s="1"/>
  <c r="H75" i="19" s="1"/>
  <c r="E113" i="12" a="1"/>
  <c r="E113" i="12" s="1"/>
  <c r="F123" i="12" a="1"/>
  <c r="F123" i="12" s="1"/>
  <c r="N69" i="28"/>
  <c r="N60" i="28"/>
  <c r="N87" i="24" s="1"/>
  <c r="F124" i="12" a="1"/>
  <c r="F124" i="12" s="1"/>
  <c r="E102" i="12" a="1"/>
  <c r="E102" i="12" s="1"/>
  <c r="E139" i="12" s="1" a="1"/>
  <c r="E139" i="12" s="1"/>
  <c r="E104" i="12" a="1"/>
  <c r="E104" i="12" s="1"/>
  <c r="E116" i="12" a="1"/>
  <c r="E116" i="12" s="1"/>
  <c r="G125" i="12" a="1"/>
  <c r="G125" i="12" s="1"/>
  <c r="F71" i="19"/>
  <c r="F80" i="19" s="1"/>
  <c r="F85" i="19" s="1"/>
  <c r="C15" i="1" s="1"/>
  <c r="F83" i="19"/>
  <c r="C14" i="1" s="1"/>
  <c r="E10" i="5" s="1"/>
  <c r="E10" i="4" s="1"/>
  <c r="H69" i="28"/>
  <c r="H70" i="28" s="1"/>
  <c r="H7" i="24" s="1"/>
  <c r="H60" i="28"/>
  <c r="H87" i="24" s="1"/>
  <c r="C139" i="12" a="1"/>
  <c r="C139" i="12" s="1"/>
  <c r="O25" i="27"/>
  <c r="O31" i="27" s="1"/>
  <c r="O68" i="27" s="1"/>
  <c r="O70" i="27" s="1"/>
  <c r="O27" i="27"/>
  <c r="P28" i="27"/>
  <c r="P7" i="27"/>
  <c r="I74" i="27"/>
  <c r="H72" i="24"/>
  <c r="H8" i="24"/>
  <c r="E56" i="1"/>
  <c r="F12" i="25"/>
  <c r="C108" i="1"/>
  <c r="C44" i="15" s="1"/>
  <c r="C47" i="15" s="1"/>
  <c r="C51" i="15" s="1"/>
  <c r="I7" i="4"/>
  <c r="AD7" i="4" s="1"/>
  <c r="I6" i="5"/>
  <c r="I6" i="4" s="1"/>
  <c r="AD6" i="4" s="1"/>
  <c r="K133" i="12" a="1"/>
  <c r="K133" i="12" s="1"/>
  <c r="I69" i="28"/>
  <c r="I70" i="28" s="1"/>
  <c r="I7" i="24" s="1"/>
  <c r="I60" i="28"/>
  <c r="I87" i="24" s="1"/>
  <c r="L86" i="24"/>
  <c r="I55" i="1"/>
  <c r="I85" i="24"/>
  <c r="F46" i="1"/>
  <c r="F115" i="12" a="1"/>
  <c r="F115" i="12" s="1"/>
  <c r="H75" i="24" l="1"/>
  <c r="H40" i="24"/>
  <c r="H20" i="24" s="1"/>
  <c r="G40" i="24"/>
  <c r="G20" i="24" s="1"/>
  <c r="G22" i="24" s="1"/>
  <c r="J46" i="24"/>
  <c r="J20" i="24"/>
  <c r="J22" i="24" s="1"/>
  <c r="M88" i="24"/>
  <c r="J59" i="1" s="1"/>
  <c r="J5" i="9" s="1"/>
  <c r="J11" i="9" s="1"/>
  <c r="H46" i="24"/>
  <c r="E95" i="1"/>
  <c r="E16" i="9" s="1"/>
  <c r="G18" i="9"/>
  <c r="G20" i="9" s="1"/>
  <c r="Q46" i="24"/>
  <c r="N95" i="1"/>
  <c r="N16" i="9" s="1"/>
  <c r="E50" i="11"/>
  <c r="D95" i="1"/>
  <c r="D16" i="9" s="1"/>
  <c r="D18" i="9" s="1"/>
  <c r="G46" i="24"/>
  <c r="K20" i="24"/>
  <c r="H95" i="1"/>
  <c r="H16" i="9" s="1"/>
  <c r="K46" i="24"/>
  <c r="N20" i="24"/>
  <c r="K95" i="1"/>
  <c r="K16" i="9" s="1"/>
  <c r="N46" i="24"/>
  <c r="L136" i="12" a="1"/>
  <c r="L136" i="12" s="1"/>
  <c r="O6" i="24"/>
  <c r="L47" i="1"/>
  <c r="H76" i="19"/>
  <c r="E17" i="1" s="1"/>
  <c r="G41" i="5" s="1"/>
  <c r="G41" i="4" s="1"/>
  <c r="E12" i="1"/>
  <c r="G9" i="5" s="1"/>
  <c r="G26" i="11"/>
  <c r="P35" i="22"/>
  <c r="L61" i="17"/>
  <c r="L7" i="1"/>
  <c r="N7" i="5" s="1"/>
  <c r="L62" i="17"/>
  <c r="N64" i="21"/>
  <c r="J47" i="21"/>
  <c r="M29" i="28"/>
  <c r="L68" i="28"/>
  <c r="X24" i="14"/>
  <c r="X23" i="14"/>
  <c r="K71" i="1" s="1"/>
  <c r="M31" i="5" s="1"/>
  <c r="M31" i="4" s="1"/>
  <c r="AH31" i="4" s="1"/>
  <c r="Z5" i="14"/>
  <c r="G135" i="12" a="1"/>
  <c r="G135" i="12" s="1"/>
  <c r="F133" i="12" a="1"/>
  <c r="F133" i="12" s="1"/>
  <c r="O33" i="13"/>
  <c r="F66" i="1" s="1"/>
  <c r="H29" i="5" s="1"/>
  <c r="O34" i="13"/>
  <c r="P4" i="13"/>
  <c r="P43" i="13" s="1"/>
  <c r="F68" i="1" s="1"/>
  <c r="F59" i="9" s="1"/>
  <c r="F62" i="9" s="1"/>
  <c r="F64" i="9" s="1"/>
  <c r="Q4" i="13"/>
  <c r="J14" i="4"/>
  <c r="AE14" i="4" s="1"/>
  <c r="J13" i="5"/>
  <c r="J13" i="4" s="1"/>
  <c r="AE13" i="4" s="1"/>
  <c r="M15" i="5"/>
  <c r="M15" i="4" s="1"/>
  <c r="AH15" i="4" s="1"/>
  <c r="M16" i="4"/>
  <c r="AH16" i="4" s="1"/>
  <c r="G108" i="12" a="1"/>
  <c r="G108" i="12" s="1"/>
  <c r="I129" i="12" a="1"/>
  <c r="I129" i="12" s="1"/>
  <c r="F126" i="12" a="1"/>
  <c r="F126" i="12" s="1"/>
  <c r="K112" i="19"/>
  <c r="J62" i="19"/>
  <c r="J113" i="19"/>
  <c r="J61" i="19" s="1"/>
  <c r="J62" i="27"/>
  <c r="J66" i="24" s="1"/>
  <c r="K29" i="27"/>
  <c r="I66" i="20"/>
  <c r="I70" i="20" s="1"/>
  <c r="I23" i="1" s="1"/>
  <c r="K14" i="5" s="1"/>
  <c r="J64" i="20"/>
  <c r="I10" i="24"/>
  <c r="F58" i="1" s="1"/>
  <c r="F14" i="9" s="1"/>
  <c r="E9" i="4"/>
  <c r="L133" i="12" a="1"/>
  <c r="L133" i="12" s="1"/>
  <c r="G123" i="12" a="1"/>
  <c r="G123" i="12" s="1"/>
  <c r="I107" i="12" a="1"/>
  <c r="I107" i="12" s="1"/>
  <c r="H10" i="24"/>
  <c r="E58" i="1" s="1"/>
  <c r="E14" i="9" s="1"/>
  <c r="K50" i="28"/>
  <c r="J62" i="28"/>
  <c r="J67" i="24" s="1"/>
  <c r="F112" i="12" a="1"/>
  <c r="F112" i="12" s="1"/>
  <c r="G117" i="12" a="1"/>
  <c r="G117" i="12" s="1"/>
  <c r="N56" i="18"/>
  <c r="N61" i="18" s="1"/>
  <c r="N62" i="18" s="1"/>
  <c r="N33" i="1"/>
  <c r="P16" i="5" s="1"/>
  <c r="J62" i="26"/>
  <c r="J68" i="24" s="1"/>
  <c r="K29" i="26"/>
  <c r="F122" i="12" a="1"/>
  <c r="F122" i="12" s="1"/>
  <c r="I69" i="24"/>
  <c r="F107" i="1" s="1"/>
  <c r="F42" i="15" s="1"/>
  <c r="G103" i="12" a="1"/>
  <c r="G103" i="12" s="1"/>
  <c r="F109" i="12" a="1"/>
  <c r="F109" i="12" s="1"/>
  <c r="N48" i="12"/>
  <c r="O5" i="12"/>
  <c r="N47" i="12"/>
  <c r="D62" i="1" s="1"/>
  <c r="F36" i="5" s="1"/>
  <c r="G120" i="12" a="1"/>
  <c r="G120" i="12" s="1"/>
  <c r="C16" i="1"/>
  <c r="E40" i="5" s="1"/>
  <c r="E40" i="4" s="1"/>
  <c r="F104" i="12" a="1"/>
  <c r="F104" i="12" s="1"/>
  <c r="G83" i="19"/>
  <c r="D14" i="1" s="1"/>
  <c r="F10" i="5" s="1"/>
  <c r="F10" i="4" s="1"/>
  <c r="G121" i="12" a="1"/>
  <c r="G121" i="12" s="1"/>
  <c r="J132" i="19"/>
  <c r="D50" i="11"/>
  <c r="H131" i="12" a="1"/>
  <c r="H131" i="12" s="1"/>
  <c r="G88" i="24"/>
  <c r="D59" i="1" s="1"/>
  <c r="D5" i="9" s="1"/>
  <c r="D11" i="9" s="1"/>
  <c r="J74" i="26"/>
  <c r="I74" i="24"/>
  <c r="Q125" i="19"/>
  <c r="Q130" i="19" s="1"/>
  <c r="P130" i="19"/>
  <c r="K10" i="24"/>
  <c r="H58" i="1" s="1"/>
  <c r="H14" i="9" s="1"/>
  <c r="J74" i="28"/>
  <c r="I73" i="24"/>
  <c r="M6" i="5"/>
  <c r="M6" i="4" s="1"/>
  <c r="AH6" i="4" s="1"/>
  <c r="M7" i="4"/>
  <c r="AH7" i="4" s="1"/>
  <c r="G114" i="12" a="1"/>
  <c r="G114" i="12" s="1"/>
  <c r="I13" i="5"/>
  <c r="I13" i="4" s="1"/>
  <c r="AD13" i="4" s="1"/>
  <c r="I14" i="4"/>
  <c r="AD14" i="4" s="1"/>
  <c r="Q56" i="19"/>
  <c r="Q6" i="19"/>
  <c r="Q8" i="19" s="1"/>
  <c r="J101" i="19"/>
  <c r="K95" i="19"/>
  <c r="I130" i="12" a="1"/>
  <c r="I130" i="12" s="1"/>
  <c r="E49" i="5"/>
  <c r="E46" i="5"/>
  <c r="E46" i="4" s="1"/>
  <c r="E36" i="4"/>
  <c r="O20" i="24"/>
  <c r="L95" i="1"/>
  <c r="L16" i="9" s="1"/>
  <c r="O46" i="24"/>
  <c r="O32" i="27"/>
  <c r="O60" i="27" s="1"/>
  <c r="J56" i="18"/>
  <c r="J61" i="18" s="1"/>
  <c r="J33" i="1"/>
  <c r="L16" i="5" s="1"/>
  <c r="C142" i="12"/>
  <c r="C50" i="11"/>
  <c r="O19" i="5"/>
  <c r="O19" i="4" s="1"/>
  <c r="AJ19" i="4" s="1"/>
  <c r="O20" i="4"/>
  <c r="AJ20" i="4" s="1"/>
  <c r="J74" i="27"/>
  <c r="I72" i="24"/>
  <c r="I88" i="24"/>
  <c r="F59" i="1" s="1"/>
  <c r="F5" i="9" s="1"/>
  <c r="F11" i="9" s="1"/>
  <c r="F102" i="12" a="1"/>
  <c r="F102" i="12" s="1"/>
  <c r="G134" i="12" a="1"/>
  <c r="G134" i="12" s="1"/>
  <c r="F136" i="12" a="1"/>
  <c r="F136" i="12" s="1"/>
  <c r="G12" i="25"/>
  <c r="D108" i="1"/>
  <c r="D44" i="15" s="1"/>
  <c r="D47" i="15" s="1"/>
  <c r="D51" i="15" s="1"/>
  <c r="H110" i="12" a="1"/>
  <c r="H110" i="12" s="1"/>
  <c r="H132" i="12" a="1"/>
  <c r="H132" i="12" s="1"/>
  <c r="O15" i="5"/>
  <c r="O15" i="4" s="1"/>
  <c r="AJ15" i="4" s="1"/>
  <c r="O16" i="4"/>
  <c r="AJ16" i="4" s="1"/>
  <c r="G111" i="12" a="1"/>
  <c r="G111" i="12" s="1"/>
  <c r="F22" i="24"/>
  <c r="C95" i="1"/>
  <c r="C16" i="9" s="1"/>
  <c r="C18" i="9" s="1"/>
  <c r="F46" i="24"/>
  <c r="J18" i="4"/>
  <c r="AE18" i="4" s="1"/>
  <c r="J17" i="5"/>
  <c r="J17" i="4" s="1"/>
  <c r="AE17" i="4" s="1"/>
  <c r="L124" i="19"/>
  <c r="K123" i="19"/>
  <c r="K129" i="19"/>
  <c r="K128" i="19" s="1"/>
  <c r="K132" i="19" s="1"/>
  <c r="P56" i="19"/>
  <c r="P6" i="19"/>
  <c r="P8" i="19" s="1"/>
  <c r="J59" i="19"/>
  <c r="I104" i="19"/>
  <c r="I105" i="19" s="1"/>
  <c r="K88" i="24"/>
  <c r="H59" i="1" s="1"/>
  <c r="H5" i="9" s="1"/>
  <c r="H11" i="9" s="1"/>
  <c r="G76" i="19"/>
  <c r="D17" i="1" s="1"/>
  <c r="F41" i="5" s="1"/>
  <c r="F41" i="4" s="1"/>
  <c r="D12" i="1"/>
  <c r="F9" i="5" s="1"/>
  <c r="I105" i="12" a="1"/>
  <c r="I105" i="12" s="1"/>
  <c r="G23" i="5"/>
  <c r="G23" i="4" s="1"/>
  <c r="G24" i="4"/>
  <c r="H33" i="18"/>
  <c r="I40" i="18"/>
  <c r="I45" i="18" s="1"/>
  <c r="I53" i="18" s="1"/>
  <c r="G115" i="12" a="1"/>
  <c r="G115" i="12" s="1"/>
  <c r="H12" i="25"/>
  <c r="E108" i="1"/>
  <c r="E44" i="15" s="1"/>
  <c r="E47" i="15" s="1"/>
  <c r="E51" i="15" s="1"/>
  <c r="P27" i="27"/>
  <c r="Q7" i="27"/>
  <c r="Q25" i="27" s="1"/>
  <c r="Q31" i="27" s="1"/>
  <c r="P25" i="27"/>
  <c r="F113" i="12" a="1"/>
  <c r="F113" i="12" s="1"/>
  <c r="P73" i="27"/>
  <c r="F78" i="19"/>
  <c r="C13" i="1"/>
  <c r="E11" i="5" s="1"/>
  <c r="E11" i="4" s="1"/>
  <c r="G124" i="12" a="1"/>
  <c r="G124" i="12" s="1"/>
  <c r="N68" i="27"/>
  <c r="N70" i="27" s="1"/>
  <c r="N32" i="27"/>
  <c r="N60" i="27" s="1"/>
  <c r="H88" i="24"/>
  <c r="E59" i="1" s="1"/>
  <c r="E5" i="9" s="1"/>
  <c r="E11" i="9" s="1"/>
  <c r="N70" i="21"/>
  <c r="N69" i="21" s="1"/>
  <c r="O68" i="21"/>
  <c r="N63" i="21"/>
  <c r="O64" i="21" s="1"/>
  <c r="I54" i="21"/>
  <c r="I58" i="21" s="1"/>
  <c r="I60" i="21" s="1"/>
  <c r="I28" i="1" s="1"/>
  <c r="K18" i="5" s="1"/>
  <c r="G127" i="12" a="1"/>
  <c r="G127" i="12" s="1"/>
  <c r="O10" i="19"/>
  <c r="O11" i="19" s="1"/>
  <c r="O9" i="19"/>
  <c r="G32" i="5"/>
  <c r="G32" i="4" s="1"/>
  <c r="G29" i="4"/>
  <c r="H69" i="19"/>
  <c r="H70" i="19" s="1"/>
  <c r="H84" i="19" s="1"/>
  <c r="G10" i="16"/>
  <c r="F50" i="1" s="1"/>
  <c r="H42" i="5" s="1"/>
  <c r="H42" i="4" s="1"/>
  <c r="AC42" i="4" s="1"/>
  <c r="F49" i="1"/>
  <c r="H24" i="5" s="1"/>
  <c r="G80" i="19"/>
  <c r="L11" i="10"/>
  <c r="K93" i="1"/>
  <c r="K49" i="15" s="1"/>
  <c r="F116" i="12" a="1"/>
  <c r="F116" i="12" s="1"/>
  <c r="H78" i="19"/>
  <c r="E13" i="1"/>
  <c r="G11" i="5" s="1"/>
  <c r="G11" i="4" s="1"/>
  <c r="O72" i="27"/>
  <c r="H125" i="12" a="1"/>
  <c r="H125" i="12" s="1"/>
  <c r="H118" i="12" a="1"/>
  <c r="H118" i="12" s="1"/>
  <c r="N19" i="5"/>
  <c r="N19" i="4" s="1"/>
  <c r="AI19" i="4" s="1"/>
  <c r="N20" i="4"/>
  <c r="AI20" i="4" s="1"/>
  <c r="M45" i="17"/>
  <c r="M60" i="17" s="1"/>
  <c r="N37" i="17"/>
  <c r="N45" i="17" s="1"/>
  <c r="N60" i="17" s="1"/>
  <c r="H106" i="12" a="1"/>
  <c r="H106" i="12" s="1"/>
  <c r="I65" i="19"/>
  <c r="I68" i="19" s="1"/>
  <c r="I75" i="19" s="1"/>
  <c r="I119" i="12" a="1"/>
  <c r="I119" i="12" s="1"/>
  <c r="I82" i="19"/>
  <c r="J48" i="21"/>
  <c r="O30" i="19"/>
  <c r="L11" i="1"/>
  <c r="L39" i="9" s="1"/>
  <c r="L44" i="9" s="1"/>
  <c r="L88" i="24"/>
  <c r="I59" i="1" s="1"/>
  <c r="I5" i="9" s="1"/>
  <c r="I11" i="9" s="1"/>
  <c r="L70" i="28"/>
  <c r="L7" i="24" s="1"/>
  <c r="L10" i="24" s="1"/>
  <c r="I58" i="1" s="1"/>
  <c r="I14" i="9" s="1"/>
  <c r="I18" i="9" s="1"/>
  <c r="H8" i="16"/>
  <c r="I4" i="16"/>
  <c r="I20" i="24"/>
  <c r="I22" i="24" s="1"/>
  <c r="F95" i="1"/>
  <c r="F16" i="9" s="1"/>
  <c r="I46" i="24"/>
  <c r="D140" i="12"/>
  <c r="E140" i="12" s="1"/>
  <c r="F88" i="24"/>
  <c r="C59" i="1" s="1"/>
  <c r="C5" i="9" s="1"/>
  <c r="C11" i="9" s="1"/>
  <c r="J48" i="24" l="1"/>
  <c r="J49" i="24" s="1"/>
  <c r="E18" i="9"/>
  <c r="D20" i="9"/>
  <c r="H22" i="24"/>
  <c r="H48" i="24" s="1"/>
  <c r="H49" i="24" s="1"/>
  <c r="E20" i="9"/>
  <c r="H18" i="9"/>
  <c r="H20" i="9" s="1"/>
  <c r="F48" i="24"/>
  <c r="F49" i="24" s="1"/>
  <c r="E142" i="12"/>
  <c r="F140" i="12"/>
  <c r="G78" i="19"/>
  <c r="G16" i="19" s="1"/>
  <c r="G19" i="19" s="1"/>
  <c r="D13" i="1"/>
  <c r="F11" i="5" s="1"/>
  <c r="F11" i="4" s="1"/>
  <c r="N85" i="24"/>
  <c r="N88" i="24" s="1"/>
  <c r="K59" i="1" s="1"/>
  <c r="K5" i="9" s="1"/>
  <c r="K11" i="9" s="1"/>
  <c r="K46" i="1"/>
  <c r="G113" i="12" a="1"/>
  <c r="G113" i="12" s="1"/>
  <c r="C186" i="12"/>
  <c r="C52" i="11"/>
  <c r="D27" i="11"/>
  <c r="L22" i="24"/>
  <c r="L48" i="24" s="1"/>
  <c r="G109" i="12" a="1"/>
  <c r="G109" i="12" s="1"/>
  <c r="L50" i="28"/>
  <c r="K62" i="28"/>
  <c r="K67" i="24" s="1"/>
  <c r="J69" i="24"/>
  <c r="G107" i="1" s="1"/>
  <c r="G42" i="15" s="1"/>
  <c r="H108" i="12" a="1"/>
  <c r="H108" i="12" s="1"/>
  <c r="M136" i="12" a="1"/>
  <c r="M136" i="12" s="1"/>
  <c r="K22" i="24"/>
  <c r="K48" i="24" s="1"/>
  <c r="C20" i="9"/>
  <c r="I20" i="9"/>
  <c r="F12" i="1"/>
  <c r="H9" i="5" s="1"/>
  <c r="H24" i="4"/>
  <c r="AC24" i="4" s="1"/>
  <c r="H23" i="5"/>
  <c r="H23" i="4" s="1"/>
  <c r="AC23" i="4" s="1"/>
  <c r="H127" i="12" a="1"/>
  <c r="H127" i="12" s="1"/>
  <c r="N6" i="24"/>
  <c r="K47" i="1"/>
  <c r="I56" i="18"/>
  <c r="I61" i="18" s="1"/>
  <c r="I33" i="1"/>
  <c r="K16" i="5" s="1"/>
  <c r="H111" i="12" a="1"/>
  <c r="H111" i="12" s="1"/>
  <c r="D16" i="1"/>
  <c r="F40" i="5" s="1"/>
  <c r="F40" i="4" s="1"/>
  <c r="D142" i="12"/>
  <c r="P15" i="5"/>
  <c r="P15" i="4" s="1"/>
  <c r="AK15" i="4" s="1"/>
  <c r="P16" i="4"/>
  <c r="AK16" i="4" s="1"/>
  <c r="E8" i="5"/>
  <c r="E8" i="4" s="1"/>
  <c r="J82" i="19"/>
  <c r="H29" i="4"/>
  <c r="AC29" i="4" s="1"/>
  <c r="H32" i="5"/>
  <c r="H32" i="4" s="1"/>
  <c r="AC32" i="4" s="1"/>
  <c r="P36" i="22"/>
  <c r="L23" i="22" s="1"/>
  <c r="L24" i="22" s="1"/>
  <c r="P34" i="22"/>
  <c r="N33" i="22"/>
  <c r="N78" i="1" s="1"/>
  <c r="P20" i="5" s="1"/>
  <c r="J7" i="25"/>
  <c r="J61" i="24"/>
  <c r="I118" i="12" a="1"/>
  <c r="I118" i="12" s="1"/>
  <c r="I71" i="19"/>
  <c r="I80" i="19" s="1"/>
  <c r="G116" i="12" a="1"/>
  <c r="G116" i="12" s="1"/>
  <c r="G12" i="16"/>
  <c r="H124" i="12" a="1"/>
  <c r="H124" i="12" s="1"/>
  <c r="P31" i="27"/>
  <c r="H40" i="18"/>
  <c r="H45" i="18" s="1"/>
  <c r="H53" i="18" s="1"/>
  <c r="G33" i="18"/>
  <c r="H83" i="19"/>
  <c r="E14" i="1" s="1"/>
  <c r="G10" i="5" s="1"/>
  <c r="G10" i="4" s="1"/>
  <c r="K109" i="19"/>
  <c r="I75" i="24"/>
  <c r="L15" i="5"/>
  <c r="L15" i="4" s="1"/>
  <c r="AG15" i="4" s="1"/>
  <c r="L16" i="4"/>
  <c r="AG16" i="4" s="1"/>
  <c r="E49" i="4"/>
  <c r="G85" i="19"/>
  <c r="D15" i="1" s="1"/>
  <c r="K74" i="26"/>
  <c r="J74" i="24"/>
  <c r="H103" i="12" a="1"/>
  <c r="H103" i="12" s="1"/>
  <c r="J107" i="12" a="1"/>
  <c r="J107" i="12" s="1"/>
  <c r="F18" i="9"/>
  <c r="F20" i="9" s="1"/>
  <c r="I106" i="12" a="1"/>
  <c r="I106" i="12" s="1"/>
  <c r="I125" i="12" a="1"/>
  <c r="I125" i="12" s="1"/>
  <c r="K18" i="4"/>
  <c r="AF18" i="4" s="1"/>
  <c r="K17" i="5"/>
  <c r="K17" i="4" s="1"/>
  <c r="AF17" i="4" s="1"/>
  <c r="J60" i="19"/>
  <c r="I102" i="19"/>
  <c r="M124" i="19"/>
  <c r="L123" i="19"/>
  <c r="L129" i="19"/>
  <c r="L128" i="19" s="1"/>
  <c r="L132" i="19" s="1"/>
  <c r="K74" i="27"/>
  <c r="J72" i="24"/>
  <c r="J75" i="24" s="1"/>
  <c r="J130" i="12" a="1"/>
  <c r="J130" i="12" s="1"/>
  <c r="H121" i="12" a="1"/>
  <c r="H121" i="12" s="1"/>
  <c r="H120" i="12" a="1"/>
  <c r="H120" i="12" s="1"/>
  <c r="H117" i="12" a="1"/>
  <c r="H117" i="12" s="1"/>
  <c r="K62" i="18"/>
  <c r="L112" i="19"/>
  <c r="K62" i="19"/>
  <c r="K113" i="19"/>
  <c r="K61" i="19" s="1"/>
  <c r="N29" i="28"/>
  <c r="M68" i="28"/>
  <c r="M70" i="28" s="1"/>
  <c r="M7" i="24" s="1"/>
  <c r="M10" i="24" s="1"/>
  <c r="H26" i="11"/>
  <c r="P72" i="27"/>
  <c r="J71" i="19"/>
  <c r="J80" i="19" s="1"/>
  <c r="J65" i="19"/>
  <c r="J68" i="19" s="1"/>
  <c r="J75" i="19" s="1"/>
  <c r="O85" i="24"/>
  <c r="O88" i="24" s="1"/>
  <c r="L59" i="1" s="1"/>
  <c r="L5" i="9" s="1"/>
  <c r="L11" i="9" s="1"/>
  <c r="L46" i="1"/>
  <c r="K74" i="28"/>
  <c r="J73" i="24"/>
  <c r="H123" i="12" a="1"/>
  <c r="H123" i="12" s="1"/>
  <c r="J66" i="20"/>
  <c r="J70" i="20" s="1"/>
  <c r="K64" i="20"/>
  <c r="G126" i="12" a="1"/>
  <c r="G126" i="12" s="1"/>
  <c r="H135" i="12" a="1"/>
  <c r="H135" i="12" s="1"/>
  <c r="O47" i="21"/>
  <c r="J14" i="21" s="1"/>
  <c r="J17" i="21" s="1"/>
  <c r="J52" i="21"/>
  <c r="J54" i="21" s="1"/>
  <c r="J58" i="21" s="1"/>
  <c r="G8" i="5"/>
  <c r="G8" i="4" s="1"/>
  <c r="G9" i="4"/>
  <c r="G48" i="24"/>
  <c r="J105" i="12" a="1"/>
  <c r="J105" i="12" s="1"/>
  <c r="P10" i="19"/>
  <c r="P11" i="19" s="1"/>
  <c r="Q11" i="19" s="1"/>
  <c r="P9" i="19"/>
  <c r="I132" i="12" a="1"/>
  <c r="I132" i="12" s="1"/>
  <c r="H134" i="12" a="1"/>
  <c r="H134" i="12" s="1"/>
  <c r="L95" i="19"/>
  <c r="K101" i="19"/>
  <c r="H114" i="12" a="1"/>
  <c r="H114" i="12" s="1"/>
  <c r="I131" i="12" a="1"/>
  <c r="I131" i="12" s="1"/>
  <c r="F46" i="5"/>
  <c r="F46" i="4" s="1"/>
  <c r="F49" i="5"/>
  <c r="F36" i="4"/>
  <c r="G122" i="12" a="1"/>
  <c r="G122" i="12" s="1"/>
  <c r="G112" i="12" a="1"/>
  <c r="G112" i="12" s="1"/>
  <c r="K14" i="4"/>
  <c r="AF14" i="4" s="1"/>
  <c r="K13" i="5"/>
  <c r="K13" i="4" s="1"/>
  <c r="AF13" i="4" s="1"/>
  <c r="H85" i="19"/>
  <c r="E15" i="1" s="1"/>
  <c r="E16" i="1"/>
  <c r="G40" i="5" s="1"/>
  <c r="G40" i="4" s="1"/>
  <c r="I48" i="24"/>
  <c r="N61" i="17"/>
  <c r="N7" i="1"/>
  <c r="P7" i="5" s="1"/>
  <c r="N62" i="17"/>
  <c r="Q64" i="17"/>
  <c r="K64" i="17" s="1"/>
  <c r="O70" i="21"/>
  <c r="O69" i="21" s="1"/>
  <c r="O63" i="21"/>
  <c r="P64" i="21" s="1"/>
  <c r="P68" i="21"/>
  <c r="I8" i="16"/>
  <c r="J4" i="16"/>
  <c r="I69" i="19"/>
  <c r="M61" i="17"/>
  <c r="M7" i="1"/>
  <c r="O7" i="5" s="1"/>
  <c r="M62" i="17"/>
  <c r="J104" i="19"/>
  <c r="J105" i="19" s="1"/>
  <c r="K60" i="19" s="1"/>
  <c r="K59" i="19"/>
  <c r="G104" i="12" a="1"/>
  <c r="G104" i="12" s="1"/>
  <c r="O47" i="12"/>
  <c r="E62" i="1" s="1"/>
  <c r="G36" i="5" s="1"/>
  <c r="O48" i="12"/>
  <c r="P5" i="12"/>
  <c r="M133" i="12" a="1"/>
  <c r="M133" i="12" s="1"/>
  <c r="J129" i="12" a="1"/>
  <c r="J129" i="12" s="1"/>
  <c r="R4" i="13"/>
  <c r="R43" i="13" s="1"/>
  <c r="G68" i="1" s="1"/>
  <c r="G59" i="9" s="1"/>
  <c r="G62" i="9" s="1"/>
  <c r="G64" i="9" s="1"/>
  <c r="S4" i="13"/>
  <c r="Q34" i="13"/>
  <c r="Z24" i="14"/>
  <c r="Z23" i="14"/>
  <c r="L71" i="1" s="1"/>
  <c r="N31" i="5" s="1"/>
  <c r="N31" i="4" s="1"/>
  <c r="AI31" i="4" s="1"/>
  <c r="AB5" i="14"/>
  <c r="E27" i="11"/>
  <c r="H10" i="16"/>
  <c r="G50" i="1" s="1"/>
  <c r="I42" i="5" s="1"/>
  <c r="I42" i="4" s="1"/>
  <c r="AD42" i="4" s="1"/>
  <c r="G49" i="1"/>
  <c r="I24" i="5" s="1"/>
  <c r="J119" i="12" a="1"/>
  <c r="J119" i="12" s="1"/>
  <c r="L93" i="1"/>
  <c r="L49" i="15" s="1"/>
  <c r="M11" i="10"/>
  <c r="H115" i="12" a="1"/>
  <c r="H115" i="12" s="1"/>
  <c r="F8" i="5"/>
  <c r="F8" i="4" s="1"/>
  <c r="F9" i="4"/>
  <c r="I110" i="12" a="1"/>
  <c r="I110" i="12" s="1"/>
  <c r="F139" i="12" a="1"/>
  <c r="F139" i="12" s="1"/>
  <c r="G102" i="12" a="1"/>
  <c r="G102" i="12" s="1"/>
  <c r="C27" i="11"/>
  <c r="C28" i="11" s="1"/>
  <c r="D51" i="11"/>
  <c r="E51" i="11" s="1"/>
  <c r="F51" i="11" s="1"/>
  <c r="Q9" i="19"/>
  <c r="Q10" i="19" s="1"/>
  <c r="K62" i="26"/>
  <c r="K68" i="24" s="1"/>
  <c r="L29" i="26"/>
  <c r="K62" i="27"/>
  <c r="K66" i="24" s="1"/>
  <c r="L29" i="27"/>
  <c r="N6" i="5"/>
  <c r="N6" i="4" s="1"/>
  <c r="AI6" i="4" s="1"/>
  <c r="N7" i="4"/>
  <c r="AI7" i="4" s="1"/>
  <c r="K69" i="24" l="1"/>
  <c r="H107" i="1" s="1"/>
  <c r="H42" i="15" s="1"/>
  <c r="H7" i="25"/>
  <c r="H61" i="24"/>
  <c r="F61" i="24"/>
  <c r="F63" i="24" s="1"/>
  <c r="F8" i="25" s="1"/>
  <c r="F7" i="25"/>
  <c r="G139" i="12" a="1"/>
  <c r="G139" i="12" s="1"/>
  <c r="H102" i="12" a="1"/>
  <c r="H102" i="12" s="1"/>
  <c r="M95" i="19"/>
  <c r="L101" i="19"/>
  <c r="L62" i="19"/>
  <c r="M112" i="19"/>
  <c r="L113" i="19"/>
  <c r="L61" i="19" s="1"/>
  <c r="K130" i="12" a="1"/>
  <c r="K130" i="12" s="1"/>
  <c r="M129" i="19"/>
  <c r="M128" i="19" s="1"/>
  <c r="M132" i="19" s="1"/>
  <c r="M123" i="19"/>
  <c r="N124" i="19"/>
  <c r="J106" i="12" a="1"/>
  <c r="J106" i="12" s="1"/>
  <c r="H116" i="12" a="1"/>
  <c r="H116" i="12" s="1"/>
  <c r="P19" i="5"/>
  <c r="P19" i="4" s="1"/>
  <c r="AK19" i="4" s="1"/>
  <c r="P20" i="4"/>
  <c r="AK20" i="4" s="1"/>
  <c r="I108" i="12" a="1"/>
  <c r="I108" i="12" s="1"/>
  <c r="L62" i="26"/>
  <c r="L68" i="24" s="1"/>
  <c r="M29" i="26"/>
  <c r="F142" i="12"/>
  <c r="F50" i="11"/>
  <c r="G140" i="12"/>
  <c r="P47" i="12"/>
  <c r="F62" i="1" s="1"/>
  <c r="H36" i="5" s="1"/>
  <c r="P48" i="12"/>
  <c r="Q5" i="12"/>
  <c r="O6" i="5"/>
  <c r="O6" i="4" s="1"/>
  <c r="AJ6" i="4" s="1"/>
  <c r="O7" i="4"/>
  <c r="AJ7" i="4" s="1"/>
  <c r="F49" i="4"/>
  <c r="I134" i="12" a="1"/>
  <c r="I134" i="12" s="1"/>
  <c r="G61" i="24"/>
  <c r="G49" i="24"/>
  <c r="G7" i="25"/>
  <c r="H126" i="12" a="1"/>
  <c r="H126" i="12" s="1"/>
  <c r="K74" i="24"/>
  <c r="L74" i="26"/>
  <c r="K15" i="5"/>
  <c r="K15" i="4" s="1"/>
  <c r="AF15" i="4" s="1"/>
  <c r="K16" i="4"/>
  <c r="AF16" i="4" s="1"/>
  <c r="H9" i="4"/>
  <c r="AC9" i="4" s="1"/>
  <c r="L74" i="28"/>
  <c r="K73" i="24"/>
  <c r="I26" i="11"/>
  <c r="I117" i="12" a="1"/>
  <c r="I117" i="12" s="1"/>
  <c r="G40" i="18"/>
  <c r="G45" i="18" s="1"/>
  <c r="G53" i="18" s="1"/>
  <c r="F33" i="18"/>
  <c r="I78" i="19"/>
  <c r="I16" i="19" s="1"/>
  <c r="I19" i="19" s="1"/>
  <c r="F13" i="1"/>
  <c r="H11" i="5" s="1"/>
  <c r="H11" i="4" s="1"/>
  <c r="AC11" i="4" s="1"/>
  <c r="L26" i="22"/>
  <c r="L36" i="1"/>
  <c r="L34" i="9" s="1"/>
  <c r="L36" i="9" s="1"/>
  <c r="L46" i="9" s="1"/>
  <c r="D186" i="12"/>
  <c r="D52" i="11"/>
  <c r="J110" i="12" a="1"/>
  <c r="J110" i="12" s="1"/>
  <c r="J131" i="12" a="1"/>
  <c r="J131" i="12" s="1"/>
  <c r="J132" i="12" a="1"/>
  <c r="J132" i="12" s="1"/>
  <c r="L64" i="20"/>
  <c r="K66" i="20"/>
  <c r="K70" i="20" s="1"/>
  <c r="J58" i="1"/>
  <c r="J14" i="9" s="1"/>
  <c r="J18" i="9" s="1"/>
  <c r="J20" i="9" s="1"/>
  <c r="M22" i="24"/>
  <c r="M48" i="24" s="1"/>
  <c r="J12" i="25"/>
  <c r="G108" i="1"/>
  <c r="G44" i="15" s="1"/>
  <c r="G47" i="15" s="1"/>
  <c r="G51" i="15" s="1"/>
  <c r="H56" i="18"/>
  <c r="H61" i="18" s="1"/>
  <c r="H33" i="1"/>
  <c r="J16" i="5" s="1"/>
  <c r="J118" i="12" a="1"/>
  <c r="J118" i="12" s="1"/>
  <c r="H104" i="12" a="1"/>
  <c r="H104" i="12" s="1"/>
  <c r="H112" i="12" a="1"/>
  <c r="H112" i="12" s="1"/>
  <c r="J71" i="20"/>
  <c r="J23" i="1"/>
  <c r="L14" i="5" s="1"/>
  <c r="J72" i="20"/>
  <c r="I120" i="12" a="1"/>
  <c r="I120" i="12" s="1"/>
  <c r="L74" i="27"/>
  <c r="K72" i="24"/>
  <c r="K107" i="12" a="1"/>
  <c r="K107" i="12" s="1"/>
  <c r="P68" i="27"/>
  <c r="P70" i="27" s="1"/>
  <c r="P32" i="27"/>
  <c r="P60" i="27" s="1"/>
  <c r="M50" i="28"/>
  <c r="L62" i="28"/>
  <c r="L67" i="24" s="1"/>
  <c r="N11" i="10"/>
  <c r="N93" i="1" s="1"/>
  <c r="N49" i="15" s="1"/>
  <c r="M93" i="1"/>
  <c r="M49" i="15" s="1"/>
  <c r="G46" i="5"/>
  <c r="G46" i="4" s="1"/>
  <c r="G49" i="5"/>
  <c r="G36" i="4"/>
  <c r="K119" i="12" a="1"/>
  <c r="K119" i="12" s="1"/>
  <c r="Q33" i="13"/>
  <c r="G66" i="1" s="1"/>
  <c r="I29" i="5" s="1"/>
  <c r="K4" i="16"/>
  <c r="J8" i="16"/>
  <c r="P6" i="5"/>
  <c r="P6" i="4" s="1"/>
  <c r="AK6" i="4" s="1"/>
  <c r="P7" i="4"/>
  <c r="AK7" i="4" s="1"/>
  <c r="K129" i="12" a="1"/>
  <c r="K129" i="12" s="1"/>
  <c r="I10" i="16"/>
  <c r="H50" i="1" s="1"/>
  <c r="J42" i="5" s="1"/>
  <c r="J42" i="4" s="1"/>
  <c r="AE42" i="4" s="1"/>
  <c r="H49" i="1"/>
  <c r="J24" i="5" s="1"/>
  <c r="I114" i="12" a="1"/>
  <c r="I114" i="12" s="1"/>
  <c r="I123" i="12" a="1"/>
  <c r="I123" i="12" s="1"/>
  <c r="G12" i="1"/>
  <c r="I9" i="5" s="1"/>
  <c r="O29" i="28"/>
  <c r="N68" i="28"/>
  <c r="N70" i="28" s="1"/>
  <c r="N7" i="24" s="1"/>
  <c r="N10" i="24" s="1"/>
  <c r="I124" i="12" a="1"/>
  <c r="I124" i="12" s="1"/>
  <c r="I127" i="12" a="1"/>
  <c r="I127" i="12" s="1"/>
  <c r="K7" i="25"/>
  <c r="K49" i="24"/>
  <c r="K61" i="24"/>
  <c r="H109" i="12" a="1"/>
  <c r="H109" i="12" s="1"/>
  <c r="G30" i="19"/>
  <c r="D10" i="1"/>
  <c r="D31" i="9" s="1"/>
  <c r="D36" i="9" s="1"/>
  <c r="D46" i="9" s="1"/>
  <c r="I24" i="4"/>
  <c r="AD24" i="4" s="1"/>
  <c r="I23" i="5"/>
  <c r="I23" i="4" s="1"/>
  <c r="AD23" i="4" s="1"/>
  <c r="AB23" i="14"/>
  <c r="M71" i="1" s="1"/>
  <c r="O31" i="5" s="1"/>
  <c r="O31" i="4" s="1"/>
  <c r="AJ31" i="4" s="1"/>
  <c r="AB24" i="14"/>
  <c r="AD5" i="14"/>
  <c r="K65" i="19"/>
  <c r="K68" i="19" s="1"/>
  <c r="K75" i="19" s="1"/>
  <c r="I83" i="19"/>
  <c r="F14" i="1" s="1"/>
  <c r="H10" i="5" s="1"/>
  <c r="H10" i="4" s="1"/>
  <c r="AC10" i="4" s="1"/>
  <c r="H122" i="12" a="1"/>
  <c r="H122" i="12" s="1"/>
  <c r="J26" i="21"/>
  <c r="J26" i="1"/>
  <c r="J33" i="9" s="1"/>
  <c r="J78" i="19"/>
  <c r="J16" i="19" s="1"/>
  <c r="J19" i="19" s="1"/>
  <c r="G13" i="1"/>
  <c r="I11" i="5" s="1"/>
  <c r="I11" i="4" s="1"/>
  <c r="AD11" i="4" s="1"/>
  <c r="K82" i="19"/>
  <c r="I121" i="12" a="1"/>
  <c r="I121" i="12" s="1"/>
  <c r="J125" i="12" a="1"/>
  <c r="J125" i="12" s="1"/>
  <c r="I103" i="12" a="1"/>
  <c r="I103" i="12" s="1"/>
  <c r="J69" i="19"/>
  <c r="I111" i="12" a="1"/>
  <c r="I111" i="12" s="1"/>
  <c r="N136" i="12" a="1"/>
  <c r="N136" i="12" s="1"/>
  <c r="S33" i="13"/>
  <c r="H66" i="1" s="1"/>
  <c r="J29" i="5" s="1"/>
  <c r="S34" i="13"/>
  <c r="U4" i="13"/>
  <c r="L62" i="27"/>
  <c r="L66" i="24" s="1"/>
  <c r="M29" i="27"/>
  <c r="D28" i="11"/>
  <c r="C29" i="11"/>
  <c r="C40" i="11" s="1"/>
  <c r="C47" i="11" s="1"/>
  <c r="C53" i="11" s="1"/>
  <c r="I115" i="12" a="1"/>
  <c r="I115" i="12" s="1"/>
  <c r="H12" i="16"/>
  <c r="N133" i="12" a="1"/>
  <c r="N133" i="12" s="1"/>
  <c r="P70" i="21"/>
  <c r="P69" i="21" s="1"/>
  <c r="Q68" i="21"/>
  <c r="P63" i="21"/>
  <c r="Q64" i="21" s="1"/>
  <c r="I7" i="25"/>
  <c r="I49" i="24"/>
  <c r="I61" i="24"/>
  <c r="K104" i="19"/>
  <c r="K105" i="19" s="1"/>
  <c r="L60" i="19" s="1"/>
  <c r="L59" i="19"/>
  <c r="K105" i="12" a="1"/>
  <c r="K105" i="12" s="1"/>
  <c r="I135" i="12" a="1"/>
  <c r="I135" i="12" s="1"/>
  <c r="L109" i="19"/>
  <c r="I12" i="25"/>
  <c r="F108" i="1"/>
  <c r="F44" i="15" s="1"/>
  <c r="F47" i="15" s="1"/>
  <c r="F51" i="15" s="1"/>
  <c r="L7" i="25"/>
  <c r="L61" i="24"/>
  <c r="L49" i="24"/>
  <c r="H113" i="12" a="1"/>
  <c r="H113" i="12" s="1"/>
  <c r="E186" i="12"/>
  <c r="E52" i="11"/>
  <c r="K75" i="24" l="1"/>
  <c r="G63" i="24"/>
  <c r="H63" i="24" s="1"/>
  <c r="H16" i="25" s="1"/>
  <c r="C106" i="1"/>
  <c r="C43" i="15" s="1"/>
  <c r="F16" i="25"/>
  <c r="F11" i="25"/>
  <c r="F13" i="25" s="1"/>
  <c r="K58" i="1"/>
  <c r="K14" i="9" s="1"/>
  <c r="K18" i="9" s="1"/>
  <c r="K20" i="9" s="1"/>
  <c r="N22" i="24"/>
  <c r="N48" i="24" s="1"/>
  <c r="G6" i="25"/>
  <c r="J111" i="12" a="1"/>
  <c r="J111" i="12" s="1"/>
  <c r="J127" i="12" a="1"/>
  <c r="J127" i="12" s="1"/>
  <c r="I9" i="4"/>
  <c r="AD9" i="4" s="1"/>
  <c r="L119" i="12" a="1"/>
  <c r="L119" i="12" s="1"/>
  <c r="P6" i="24"/>
  <c r="M47" i="1"/>
  <c r="K118" i="12" a="1"/>
  <c r="K118" i="12" s="1"/>
  <c r="K71" i="20"/>
  <c r="K23" i="1"/>
  <c r="M14" i="5" s="1"/>
  <c r="K72" i="20"/>
  <c r="F40" i="18"/>
  <c r="F45" i="18" s="1"/>
  <c r="F53" i="18" s="1"/>
  <c r="E33" i="18"/>
  <c r="H8" i="5"/>
  <c r="H8" i="4" s="1"/>
  <c r="AC8" i="4" s="1"/>
  <c r="J115" i="12" a="1"/>
  <c r="J115" i="12" s="1"/>
  <c r="L129" i="12" a="1"/>
  <c r="L129" i="12" s="1"/>
  <c r="L107" i="12" a="1"/>
  <c r="L107" i="12" s="1"/>
  <c r="L14" i="4"/>
  <c r="AG14" i="4" s="1"/>
  <c r="L13" i="5"/>
  <c r="L13" i="4" s="1"/>
  <c r="AG13" i="4" s="1"/>
  <c r="L66" i="20"/>
  <c r="L70" i="20" s="1"/>
  <c r="M64" i="20"/>
  <c r="G56" i="18"/>
  <c r="G61" i="18" s="1"/>
  <c r="G33" i="1"/>
  <c r="I16" i="5" s="1"/>
  <c r="Q47" i="12"/>
  <c r="G62" i="1" s="1"/>
  <c r="I36" i="5" s="1"/>
  <c r="Q48" i="12"/>
  <c r="R5" i="12"/>
  <c r="J108" i="12" a="1"/>
  <c r="J108" i="12" s="1"/>
  <c r="N123" i="19"/>
  <c r="N109" i="19" s="1"/>
  <c r="O124" i="19"/>
  <c r="N129" i="19"/>
  <c r="N128" i="19" s="1"/>
  <c r="L104" i="19"/>
  <c r="L105" i="19" s="1"/>
  <c r="M60" i="19" s="1"/>
  <c r="M59" i="19"/>
  <c r="J32" i="5"/>
  <c r="J32" i="4" s="1"/>
  <c r="AE32" i="4" s="1"/>
  <c r="J29" i="4"/>
  <c r="AE29" i="4" s="1"/>
  <c r="I113" i="12" a="1"/>
  <c r="I113" i="12" s="1"/>
  <c r="J135" i="12" a="1"/>
  <c r="J135" i="12" s="1"/>
  <c r="C53" i="15"/>
  <c r="C23" i="15"/>
  <c r="C24" i="15" s="1"/>
  <c r="C26" i="15" s="1"/>
  <c r="C101" i="1" s="1"/>
  <c r="C68" i="9" s="1"/>
  <c r="C70" i="9" s="1"/>
  <c r="C73" i="9" s="1"/>
  <c r="C45" i="15"/>
  <c r="C77" i="1" s="1"/>
  <c r="E26" i="5" s="1"/>
  <c r="C52" i="15"/>
  <c r="K69" i="19"/>
  <c r="K71" i="19"/>
  <c r="K80" i="19" s="1"/>
  <c r="J83" i="19"/>
  <c r="G14" i="1" s="1"/>
  <c r="I10" i="5" s="1"/>
  <c r="I10" i="4" s="1"/>
  <c r="AD10" i="4" s="1"/>
  <c r="J123" i="12" a="1"/>
  <c r="J123" i="12" s="1"/>
  <c r="J15" i="5"/>
  <c r="J15" i="4" s="1"/>
  <c r="AE15" i="4" s="1"/>
  <c r="J16" i="4"/>
  <c r="AE16" i="4" s="1"/>
  <c r="K132" i="12" a="1"/>
  <c r="K132" i="12" s="1"/>
  <c r="J117" i="12" a="1"/>
  <c r="J117" i="12" s="1"/>
  <c r="M109" i="19"/>
  <c r="N95" i="19"/>
  <c r="M101" i="19"/>
  <c r="H12" i="1"/>
  <c r="J9" i="5" s="1"/>
  <c r="J124" i="12" a="1"/>
  <c r="J124" i="12" s="1"/>
  <c r="K12" i="25"/>
  <c r="H108" i="1"/>
  <c r="H44" i="15" s="1"/>
  <c r="H47" i="15" s="1"/>
  <c r="H51" i="15" s="1"/>
  <c r="I112" i="12" a="1"/>
  <c r="I112" i="12" s="1"/>
  <c r="J134" i="12" a="1"/>
  <c r="J134" i="12" s="1"/>
  <c r="H46" i="5"/>
  <c r="H46" i="4" s="1"/>
  <c r="AC46" i="4" s="1"/>
  <c r="H36" i="4"/>
  <c r="AC36" i="4" s="1"/>
  <c r="H139" i="12" a="1"/>
  <c r="H139" i="12" s="1"/>
  <c r="I102" i="12" a="1"/>
  <c r="I102" i="12" s="1"/>
  <c r="U34" i="13"/>
  <c r="U33" i="13"/>
  <c r="I66" i="1" s="1"/>
  <c r="K29" i="5" s="1"/>
  <c r="W4" i="13"/>
  <c r="AD23" i="14"/>
  <c r="N71" i="1" s="1"/>
  <c r="P31" i="5" s="1"/>
  <c r="P31" i="4" s="1"/>
  <c r="AK31" i="4" s="1"/>
  <c r="AD24" i="14"/>
  <c r="K131" i="12" a="1"/>
  <c r="K131" i="12" s="1"/>
  <c r="J26" i="11"/>
  <c r="L74" i="24"/>
  <c r="M74" i="26"/>
  <c r="L130" i="12" a="1"/>
  <c r="L130" i="12" s="1"/>
  <c r="G142" i="12"/>
  <c r="G50" i="11"/>
  <c r="H140" i="12"/>
  <c r="G49" i="4"/>
  <c r="M74" i="27"/>
  <c r="L72" i="24"/>
  <c r="M62" i="27"/>
  <c r="M66" i="24" s="1"/>
  <c r="N29" i="27"/>
  <c r="K125" i="12" a="1"/>
  <c r="K125" i="12" s="1"/>
  <c r="J10" i="16"/>
  <c r="I50" i="1" s="1"/>
  <c r="K42" i="5" s="1"/>
  <c r="K42" i="4" s="1"/>
  <c r="AF42" i="4" s="1"/>
  <c r="I49" i="1"/>
  <c r="K24" i="5" s="1"/>
  <c r="J120" i="12" a="1"/>
  <c r="J120" i="12" s="1"/>
  <c r="I104" i="12" a="1"/>
  <c r="I104" i="12" s="1"/>
  <c r="G51" i="11"/>
  <c r="F27" i="11"/>
  <c r="I116" i="12" a="1"/>
  <c r="I116" i="12" s="1"/>
  <c r="J103" i="12" a="1"/>
  <c r="J103" i="12" s="1"/>
  <c r="I109" i="12" a="1"/>
  <c r="I109" i="12" s="1"/>
  <c r="L105" i="12" a="1"/>
  <c r="L105" i="12" s="1"/>
  <c r="Q70" i="21"/>
  <c r="Q69" i="21" s="1"/>
  <c r="Q63" i="21"/>
  <c r="E28" i="11"/>
  <c r="D29" i="11"/>
  <c r="D40" i="11" s="1"/>
  <c r="D47" i="11" s="1"/>
  <c r="D53" i="11" s="1"/>
  <c r="J30" i="19"/>
  <c r="G10" i="1"/>
  <c r="G31" i="9" s="1"/>
  <c r="G36" i="9" s="1"/>
  <c r="G46" i="9" s="1"/>
  <c r="J114" i="12" a="1"/>
  <c r="J114" i="12" s="1"/>
  <c r="N50" i="28"/>
  <c r="M62" i="28"/>
  <c r="M67" i="24" s="1"/>
  <c r="L65" i="19"/>
  <c r="L68" i="19" s="1"/>
  <c r="L75" i="19" s="1"/>
  <c r="L69" i="24"/>
  <c r="I107" i="1" s="1"/>
  <c r="I42" i="15" s="1"/>
  <c r="J23" i="5"/>
  <c r="J23" i="4" s="1"/>
  <c r="AE23" i="4" s="1"/>
  <c r="J24" i="4"/>
  <c r="AE24" i="4" s="1"/>
  <c r="L4" i="16"/>
  <c r="K8" i="16"/>
  <c r="M61" i="24"/>
  <c r="M7" i="25"/>
  <c r="M49" i="24"/>
  <c r="K110" i="12" a="1"/>
  <c r="K110" i="12" s="1"/>
  <c r="I126" i="12" a="1"/>
  <c r="I126" i="12" s="1"/>
  <c r="F186" i="12"/>
  <c r="F52" i="11"/>
  <c r="L82" i="19"/>
  <c r="L69" i="19"/>
  <c r="J121" i="12" a="1"/>
  <c r="J121" i="12" s="1"/>
  <c r="I122" i="12" a="1"/>
  <c r="I122" i="12" s="1"/>
  <c r="P29" i="28"/>
  <c r="O68" i="28"/>
  <c r="O70" i="28" s="1"/>
  <c r="O7" i="24" s="1"/>
  <c r="O10" i="24" s="1"/>
  <c r="I12" i="16"/>
  <c r="I32" i="5"/>
  <c r="I32" i="4" s="1"/>
  <c r="AD32" i="4" s="1"/>
  <c r="I29" i="4"/>
  <c r="AD29" i="4" s="1"/>
  <c r="P85" i="24"/>
  <c r="P88" i="24" s="1"/>
  <c r="M59" i="1" s="1"/>
  <c r="M5" i="9" s="1"/>
  <c r="M11" i="9" s="1"/>
  <c r="M46" i="1"/>
  <c r="I30" i="19"/>
  <c r="F10" i="1"/>
  <c r="F31" i="9" s="1"/>
  <c r="F36" i="9" s="1"/>
  <c r="F46" i="9" s="1"/>
  <c r="M74" i="28"/>
  <c r="L73" i="24"/>
  <c r="M62" i="26"/>
  <c r="M68" i="24" s="1"/>
  <c r="N29" i="26"/>
  <c r="K106" i="12" a="1"/>
  <c r="K106" i="12" s="1"/>
  <c r="M62" i="19"/>
  <c r="N112" i="19"/>
  <c r="M113" i="19"/>
  <c r="M61" i="19" s="1"/>
  <c r="L75" i="24" l="1"/>
  <c r="G8" i="25"/>
  <c r="G16" i="25"/>
  <c r="E106" i="1"/>
  <c r="E43" i="15" s="1"/>
  <c r="E52" i="15" s="1"/>
  <c r="H8" i="25"/>
  <c r="I63" i="24"/>
  <c r="I16" i="25" s="1"/>
  <c r="D106" i="1"/>
  <c r="D43" i="15" s="1"/>
  <c r="D23" i="15" s="1"/>
  <c r="D24" i="15" s="1"/>
  <c r="D26" i="15" s="1"/>
  <c r="D101" i="1" s="1"/>
  <c r="D68" i="9" s="1"/>
  <c r="D70" i="9" s="1"/>
  <c r="D73" i="9" s="1"/>
  <c r="J63" i="24"/>
  <c r="K63" i="24" s="1"/>
  <c r="L63" i="24" s="1"/>
  <c r="L16" i="25" s="1"/>
  <c r="F18" i="25"/>
  <c r="K114" i="12" a="1"/>
  <c r="K114" i="12" s="1"/>
  <c r="L110" i="12" a="1"/>
  <c r="L110" i="12" s="1"/>
  <c r="J116" i="12" a="1"/>
  <c r="J116" i="12" s="1"/>
  <c r="K23" i="5"/>
  <c r="K23" i="4" s="1"/>
  <c r="AF23" i="4" s="1"/>
  <c r="K24" i="4"/>
  <c r="AF24" i="4" s="1"/>
  <c r="L8" i="16"/>
  <c r="M4" i="16"/>
  <c r="O50" i="28"/>
  <c r="N62" i="28"/>
  <c r="N67" i="24" s="1"/>
  <c r="J12" i="16"/>
  <c r="G186" i="12"/>
  <c r="G52" i="11"/>
  <c r="H142" i="12"/>
  <c r="H50" i="11"/>
  <c r="I140" i="12"/>
  <c r="M104" i="19"/>
  <c r="M105" i="19" s="1"/>
  <c r="N60" i="19" s="1"/>
  <c r="N59" i="19"/>
  <c r="L132" i="12" a="1"/>
  <c r="L132" i="12" s="1"/>
  <c r="K78" i="19"/>
  <c r="K16" i="19" s="1"/>
  <c r="K19" i="19" s="1"/>
  <c r="H13" i="1"/>
  <c r="J11" i="5" s="1"/>
  <c r="J11" i="4" s="1"/>
  <c r="AE11" i="4" s="1"/>
  <c r="O123" i="19"/>
  <c r="O109" i="19" s="1"/>
  <c r="P124" i="19"/>
  <c r="O129" i="19"/>
  <c r="O128" i="19" s="1"/>
  <c r="L63" i="18"/>
  <c r="K63" i="18"/>
  <c r="J63" i="18"/>
  <c r="M63" i="18"/>
  <c r="N63" i="18"/>
  <c r="J62" i="18"/>
  <c r="F56" i="18"/>
  <c r="F61" i="18" s="1"/>
  <c r="F33" i="1"/>
  <c r="H16" i="5" s="1"/>
  <c r="M119" i="12" a="1"/>
  <c r="M119" i="12" s="1"/>
  <c r="L12" i="25"/>
  <c r="I108" i="1"/>
  <c r="I44" i="15" s="1"/>
  <c r="I47" i="15" s="1"/>
  <c r="I51" i="15" s="1"/>
  <c r="M130" i="12" a="1"/>
  <c r="M130" i="12" s="1"/>
  <c r="O95" i="19"/>
  <c r="N101" i="19"/>
  <c r="J113" i="12" a="1"/>
  <c r="J113" i="12" s="1"/>
  <c r="M66" i="20"/>
  <c r="M70" i="20" s="1"/>
  <c r="N64" i="20"/>
  <c r="N66" i="20" s="1"/>
  <c r="N70" i="20" s="1"/>
  <c r="K111" i="12" a="1"/>
  <c r="K111" i="12" s="1"/>
  <c r="N74" i="28"/>
  <c r="M73" i="24"/>
  <c r="N62" i="19"/>
  <c r="O112" i="19"/>
  <c r="N113" i="19"/>
  <c r="N61" i="19" s="1"/>
  <c r="L58" i="1"/>
  <c r="L14" i="9" s="1"/>
  <c r="L18" i="9" s="1"/>
  <c r="L20" i="9" s="1"/>
  <c r="O22" i="24"/>
  <c r="O48" i="24" s="1"/>
  <c r="L83" i="19"/>
  <c r="I14" i="1" s="1"/>
  <c r="K10" i="5" s="1"/>
  <c r="K10" i="4" s="1"/>
  <c r="AF10" i="4" s="1"/>
  <c r="N74" i="27"/>
  <c r="M72" i="24"/>
  <c r="H49" i="5"/>
  <c r="K108" i="12" a="1"/>
  <c r="K108" i="12" s="1"/>
  <c r="L71" i="20"/>
  <c r="L23" i="1"/>
  <c r="N14" i="5" s="1"/>
  <c r="L72" i="20"/>
  <c r="K83" i="19"/>
  <c r="H14" i="1" s="1"/>
  <c r="J10" i="5" s="1"/>
  <c r="J10" i="4" s="1"/>
  <c r="AE10" i="4" s="1"/>
  <c r="M13" i="5"/>
  <c r="M13" i="4" s="1"/>
  <c r="AH13" i="4" s="1"/>
  <c r="M14" i="4"/>
  <c r="AH14" i="4" s="1"/>
  <c r="I8" i="5"/>
  <c r="I8" i="4" s="1"/>
  <c r="AD8" i="4" s="1"/>
  <c r="J109" i="12" a="1"/>
  <c r="J109" i="12" s="1"/>
  <c r="J104" i="12" a="1"/>
  <c r="J104" i="12" s="1"/>
  <c r="L125" i="12" a="1"/>
  <c r="L125" i="12" s="1"/>
  <c r="M74" i="24"/>
  <c r="N74" i="26"/>
  <c r="K124" i="12" a="1"/>
  <c r="K124" i="12" s="1"/>
  <c r="D53" i="15"/>
  <c r="M105" i="12" a="1"/>
  <c r="M105" i="12" s="1"/>
  <c r="W34" i="13"/>
  <c r="W33" i="13"/>
  <c r="J66" i="1" s="1"/>
  <c r="L29" i="5" s="1"/>
  <c r="Y4" i="13"/>
  <c r="E25" i="5"/>
  <c r="E25" i="4" s="1"/>
  <c r="E26" i="4"/>
  <c r="R48" i="12"/>
  <c r="R47" i="12"/>
  <c r="H62" i="1" s="1"/>
  <c r="J36" i="5" s="1"/>
  <c r="S5" i="12"/>
  <c r="K115" i="12" a="1"/>
  <c r="K115" i="12" s="1"/>
  <c r="L118" i="12" a="1"/>
  <c r="L118" i="12" s="1"/>
  <c r="K127" i="12" a="1"/>
  <c r="K127" i="12" s="1"/>
  <c r="G11" i="25"/>
  <c r="J122" i="12" a="1"/>
  <c r="J122" i="12" s="1"/>
  <c r="K103" i="12" a="1"/>
  <c r="K103" i="12" s="1"/>
  <c r="K32" i="5"/>
  <c r="K32" i="4" s="1"/>
  <c r="AF32" i="4" s="1"/>
  <c r="K29" i="4"/>
  <c r="AF29" i="4" s="1"/>
  <c r="K134" i="12" a="1"/>
  <c r="K134" i="12" s="1"/>
  <c r="J8" i="5"/>
  <c r="J8" i="4" s="1"/>
  <c r="AE8" i="4" s="1"/>
  <c r="J9" i="4"/>
  <c r="AE9" i="4" s="1"/>
  <c r="K123" i="12" a="1"/>
  <c r="K123" i="12" s="1"/>
  <c r="C82" i="1"/>
  <c r="E5" i="5" s="1"/>
  <c r="M71" i="19"/>
  <c r="M80" i="19" s="1"/>
  <c r="M65" i="19"/>
  <c r="M68" i="19" s="1"/>
  <c r="M75" i="19" s="1"/>
  <c r="M107" i="12" a="1"/>
  <c r="M107" i="12" s="1"/>
  <c r="L106" i="12" a="1"/>
  <c r="L106" i="12" s="1"/>
  <c r="Q29" i="28"/>
  <c r="P68" i="28"/>
  <c r="P70" i="28" s="1"/>
  <c r="P7" i="24" s="1"/>
  <c r="P10" i="24" s="1"/>
  <c r="J126" i="12" a="1"/>
  <c r="J126" i="12" s="1"/>
  <c r="I12" i="1"/>
  <c r="K9" i="5" s="1"/>
  <c r="K120" i="12" a="1"/>
  <c r="K120" i="12" s="1"/>
  <c r="K26" i="11"/>
  <c r="N62" i="26"/>
  <c r="N68" i="24" s="1"/>
  <c r="O29" i="26"/>
  <c r="L71" i="19"/>
  <c r="L80" i="19" s="1"/>
  <c r="F28" i="11"/>
  <c r="E29" i="11"/>
  <c r="E40" i="11" s="1"/>
  <c r="E47" i="11" s="1"/>
  <c r="E53" i="11" s="1"/>
  <c r="N62" i="27"/>
  <c r="N66" i="24" s="1"/>
  <c r="O29" i="27"/>
  <c r="K117" i="12" a="1"/>
  <c r="K117" i="12" s="1"/>
  <c r="I46" i="5"/>
  <c r="I46" i="4" s="1"/>
  <c r="AD46" i="4" s="1"/>
  <c r="I36" i="4"/>
  <c r="AD36" i="4" s="1"/>
  <c r="N61" i="24"/>
  <c r="N49" i="24"/>
  <c r="N7" i="25"/>
  <c r="M69" i="19"/>
  <c r="M82" i="19"/>
  <c r="K121" i="12" a="1"/>
  <c r="K121" i="12" s="1"/>
  <c r="K12" i="16"/>
  <c r="K10" i="16"/>
  <c r="J50" i="1" s="1"/>
  <c r="L42" i="5" s="1"/>
  <c r="L42" i="4" s="1"/>
  <c r="AG42" i="4" s="1"/>
  <c r="J49" i="1"/>
  <c r="L24" i="5" s="1"/>
  <c r="M69" i="24"/>
  <c r="J107" i="1" s="1"/>
  <c r="J42" i="15" s="1"/>
  <c r="G27" i="11"/>
  <c r="H51" i="11"/>
  <c r="L131" i="12" a="1"/>
  <c r="L131" i="12" s="1"/>
  <c r="I139" i="12" a="1"/>
  <c r="I139" i="12" s="1"/>
  <c r="J102" i="12" a="1"/>
  <c r="J102" i="12" s="1"/>
  <c r="J112" i="12" a="1"/>
  <c r="J112" i="12" s="1"/>
  <c r="K135" i="12" a="1"/>
  <c r="K135" i="12" s="1"/>
  <c r="N132" i="19"/>
  <c r="I16" i="4"/>
  <c r="AD16" i="4" s="1"/>
  <c r="I15" i="5"/>
  <c r="I15" i="4" s="1"/>
  <c r="AD15" i="4" s="1"/>
  <c r="M129" i="12" a="1"/>
  <c r="M129" i="12" s="1"/>
  <c r="D33" i="18"/>
  <c r="E40" i="18"/>
  <c r="E45" i="18" s="1"/>
  <c r="E53" i="18" s="1"/>
  <c r="K8" i="25" l="1"/>
  <c r="K16" i="25"/>
  <c r="E45" i="15"/>
  <c r="E77" i="1" s="1"/>
  <c r="G26" i="5" s="1"/>
  <c r="G26" i="4" s="1"/>
  <c r="D52" i="15"/>
  <c r="E23" i="15"/>
  <c r="E24" i="15" s="1"/>
  <c r="E26" i="15" s="1"/>
  <c r="E101" i="1" s="1"/>
  <c r="E68" i="9" s="1"/>
  <c r="E70" i="9" s="1"/>
  <c r="E73" i="9" s="1"/>
  <c r="D45" i="15"/>
  <c r="D77" i="1" s="1"/>
  <c r="F26" i="5" s="1"/>
  <c r="F26" i="4" s="1"/>
  <c r="E53" i="15"/>
  <c r="M63" i="24"/>
  <c r="G106" i="1"/>
  <c r="G43" i="15" s="1"/>
  <c r="G53" i="15" s="1"/>
  <c r="I8" i="25"/>
  <c r="J16" i="25"/>
  <c r="J8" i="25"/>
  <c r="I106" i="1"/>
  <c r="I43" i="15" s="1"/>
  <c r="I45" i="15" s="1"/>
  <c r="I77" i="1" s="1"/>
  <c r="K26" i="5" s="1"/>
  <c r="K25" i="5" s="1"/>
  <c r="K25" i="4" s="1"/>
  <c r="AF25" i="4" s="1"/>
  <c r="L8" i="25"/>
  <c r="F106" i="1"/>
  <c r="F43" i="15" s="1"/>
  <c r="F52" i="15" s="1"/>
  <c r="H106" i="1"/>
  <c r="H43" i="15" s="1"/>
  <c r="H52" i="15" s="1"/>
  <c r="C33" i="18"/>
  <c r="C40" i="18" s="1"/>
  <c r="C45" i="18" s="1"/>
  <c r="C53" i="18" s="1"/>
  <c r="D40" i="18"/>
  <c r="D45" i="18" s="1"/>
  <c r="D53" i="18" s="1"/>
  <c r="L117" i="12" a="1"/>
  <c r="L117" i="12" s="1"/>
  <c r="K9" i="4"/>
  <c r="AF9" i="4" s="1"/>
  <c r="N63" i="24"/>
  <c r="E5" i="4"/>
  <c r="H6" i="25"/>
  <c r="H11" i="25" s="1"/>
  <c r="G13" i="25"/>
  <c r="G18" i="25" s="1"/>
  <c r="J46" i="5"/>
  <c r="J46" i="4" s="1"/>
  <c r="AE46" i="4" s="1"/>
  <c r="J36" i="4"/>
  <c r="AE36" i="4" s="1"/>
  <c r="N105" i="12" a="1"/>
  <c r="N105" i="12" s="1"/>
  <c r="N13" i="5"/>
  <c r="N13" i="4" s="1"/>
  <c r="AI13" i="4" s="1"/>
  <c r="N14" i="4"/>
  <c r="AI14" i="4" s="1"/>
  <c r="M75" i="24"/>
  <c r="H15" i="5"/>
  <c r="H15" i="4" s="1"/>
  <c r="AC15" i="4" s="1"/>
  <c r="H16" i="4"/>
  <c r="AC16" i="4" s="1"/>
  <c r="O132" i="19"/>
  <c r="P50" i="28"/>
  <c r="O62" i="28"/>
  <c r="O67" i="24" s="1"/>
  <c r="M110" i="12" a="1"/>
  <c r="M110" i="12" s="1"/>
  <c r="J139" i="12" a="1"/>
  <c r="J139" i="12" s="1"/>
  <c r="K102" i="12" a="1"/>
  <c r="K102" i="12" s="1"/>
  <c r="I142" i="12"/>
  <c r="I50" i="11"/>
  <c r="J140" i="12"/>
  <c r="P29" i="26"/>
  <c r="O62" i="26"/>
  <c r="O68" i="24" s="1"/>
  <c r="K126" i="12" a="1"/>
  <c r="K126" i="12" s="1"/>
  <c r="Q68" i="28"/>
  <c r="Q70" i="28" s="1"/>
  <c r="Q7" i="24" s="1"/>
  <c r="D82" i="1"/>
  <c r="F5" i="5" s="1"/>
  <c r="L127" i="12" a="1"/>
  <c r="L127" i="12" s="1"/>
  <c r="O74" i="26"/>
  <c r="N74" i="24"/>
  <c r="O74" i="27"/>
  <c r="N72" i="24"/>
  <c r="N82" i="19"/>
  <c r="N71" i="20"/>
  <c r="N23" i="1"/>
  <c r="P14" i="5" s="1"/>
  <c r="N72" i="20"/>
  <c r="N130" i="12" a="1"/>
  <c r="N130" i="12" s="1"/>
  <c r="P123" i="19"/>
  <c r="Q124" i="19"/>
  <c r="P129" i="19"/>
  <c r="P128" i="19" s="1"/>
  <c r="P132" i="19" s="1"/>
  <c r="M8" i="16"/>
  <c r="N4" i="16"/>
  <c r="M131" i="12" a="1"/>
  <c r="M131" i="12" s="1"/>
  <c r="O62" i="27"/>
  <c r="O66" i="24" s="1"/>
  <c r="P29" i="27"/>
  <c r="M106" i="12" a="1"/>
  <c r="M106" i="12" s="1"/>
  <c r="L123" i="12" a="1"/>
  <c r="L123" i="12" s="1"/>
  <c r="L108" i="12" a="1"/>
  <c r="L108" i="12" s="1"/>
  <c r="P112" i="19"/>
  <c r="O62" i="19"/>
  <c r="O113" i="19"/>
  <c r="O61" i="19" s="1"/>
  <c r="M71" i="20"/>
  <c r="M23" i="1"/>
  <c r="O14" i="5" s="1"/>
  <c r="M72" i="20"/>
  <c r="H27" i="11"/>
  <c r="I51" i="11"/>
  <c r="L12" i="16"/>
  <c r="L10" i="16"/>
  <c r="K50" i="1" s="1"/>
  <c r="M42" i="5" s="1"/>
  <c r="M42" i="4" s="1"/>
  <c r="AH42" i="4" s="1"/>
  <c r="K49" i="1"/>
  <c r="M24" i="5" s="1"/>
  <c r="L114" i="12" a="1"/>
  <c r="L114" i="12" s="1"/>
  <c r="L135" i="12" a="1"/>
  <c r="L135" i="12" s="1"/>
  <c r="N69" i="24"/>
  <c r="K107" i="1" s="1"/>
  <c r="K42" i="15" s="1"/>
  <c r="L26" i="11"/>
  <c r="M118" i="12" a="1"/>
  <c r="M118" i="12" s="1"/>
  <c r="M125" i="12" a="1"/>
  <c r="M125" i="12" s="1"/>
  <c r="K113" i="12" a="1"/>
  <c r="K113" i="12" s="1"/>
  <c r="H186" i="12"/>
  <c r="H52" i="11"/>
  <c r="K112" i="12" a="1"/>
  <c r="K112" i="12" s="1"/>
  <c r="L121" i="12" a="1"/>
  <c r="L121" i="12" s="1"/>
  <c r="M58" i="1"/>
  <c r="M14" i="9" s="1"/>
  <c r="M18" i="9" s="1"/>
  <c r="M20" i="9" s="1"/>
  <c r="P22" i="24"/>
  <c r="P48" i="24" s="1"/>
  <c r="L103" i="12" a="1"/>
  <c r="L103" i="12" s="1"/>
  <c r="E56" i="18"/>
  <c r="E61" i="18" s="1"/>
  <c r="E33" i="1"/>
  <c r="G16" i="5" s="1"/>
  <c r="M83" i="19"/>
  <c r="J14" i="1" s="1"/>
  <c r="L10" i="5" s="1"/>
  <c r="L10" i="4" s="1"/>
  <c r="AG10" i="4" s="1"/>
  <c r="I49" i="5"/>
  <c r="N107" i="12" a="1"/>
  <c r="N107" i="12" s="1"/>
  <c r="G23" i="15"/>
  <c r="G24" i="15" s="1"/>
  <c r="G26" i="15" s="1"/>
  <c r="G101" i="1" s="1"/>
  <c r="G68" i="9" s="1"/>
  <c r="G70" i="9" s="1"/>
  <c r="G45" i="15"/>
  <c r="G77" i="1" s="1"/>
  <c r="I26" i="5" s="1"/>
  <c r="G52" i="15"/>
  <c r="K30" i="19"/>
  <c r="H10" i="1"/>
  <c r="H31" i="9" s="1"/>
  <c r="H36" i="9" s="1"/>
  <c r="H46" i="9" s="1"/>
  <c r="G28" i="11"/>
  <c r="F29" i="11"/>
  <c r="F40" i="11" s="1"/>
  <c r="F47" i="11" s="1"/>
  <c r="F53" i="11" s="1"/>
  <c r="L120" i="12" a="1"/>
  <c r="L120" i="12" s="1"/>
  <c r="K122" i="12" a="1"/>
  <c r="K122" i="12" s="1"/>
  <c r="L115" i="12" a="1"/>
  <c r="L115" i="12" s="1"/>
  <c r="Y34" i="13"/>
  <c r="Y33" i="13"/>
  <c r="K66" i="1" s="1"/>
  <c r="M29" i="5" s="1"/>
  <c r="AA4" i="13"/>
  <c r="K104" i="12" a="1"/>
  <c r="K104" i="12" s="1"/>
  <c r="M132" i="12" a="1"/>
  <c r="M132" i="12" s="1"/>
  <c r="L78" i="19"/>
  <c r="L16" i="19" s="1"/>
  <c r="L19" i="19" s="1"/>
  <c r="I13" i="1"/>
  <c r="K11" i="5" s="1"/>
  <c r="K11" i="4" s="1"/>
  <c r="AF11" i="4" s="1"/>
  <c r="J12" i="1"/>
  <c r="L9" i="5" s="1"/>
  <c r="L32" i="5"/>
  <c r="L32" i="4" s="1"/>
  <c r="AG32" i="4" s="1"/>
  <c r="L29" i="4"/>
  <c r="AG29" i="4" s="1"/>
  <c r="O61" i="24"/>
  <c r="O49" i="24"/>
  <c r="O7" i="25"/>
  <c r="O74" i="28"/>
  <c r="N73" i="24"/>
  <c r="N102" i="19"/>
  <c r="N104" i="19"/>
  <c r="O59" i="19"/>
  <c r="N119" i="12" a="1"/>
  <c r="N119" i="12" s="1"/>
  <c r="K116" i="12" a="1"/>
  <c r="K116" i="12" s="1"/>
  <c r="N129" i="12" a="1"/>
  <c r="N129" i="12" s="1"/>
  <c r="L23" i="5"/>
  <c r="L23" i="4" s="1"/>
  <c r="AG23" i="4" s="1"/>
  <c r="L24" i="4"/>
  <c r="AG24" i="4" s="1"/>
  <c r="M78" i="19"/>
  <c r="M16" i="19" s="1"/>
  <c r="M19" i="19" s="1"/>
  <c r="J13" i="1"/>
  <c r="L11" i="5" s="1"/>
  <c r="L11" i="4" s="1"/>
  <c r="AG11" i="4" s="1"/>
  <c r="L134" i="12" a="1"/>
  <c r="L134" i="12" s="1"/>
  <c r="M16" i="25"/>
  <c r="M8" i="25"/>
  <c r="J106" i="1"/>
  <c r="J43" i="15" s="1"/>
  <c r="S47" i="12"/>
  <c r="I62" i="1" s="1"/>
  <c r="K36" i="5" s="1"/>
  <c r="S48" i="12"/>
  <c r="T5" i="12"/>
  <c r="L124" i="12" a="1"/>
  <c r="L124" i="12" s="1"/>
  <c r="K109" i="12" a="1"/>
  <c r="K109" i="12" s="1"/>
  <c r="H49" i="4"/>
  <c r="AC49" i="4" s="1"/>
  <c r="L111" i="12" a="1"/>
  <c r="L111" i="12" s="1"/>
  <c r="P95" i="19"/>
  <c r="P101" i="19" s="1"/>
  <c r="Q59" i="19" s="1"/>
  <c r="O101" i="19"/>
  <c r="P59" i="19" s="1"/>
  <c r="N65" i="19"/>
  <c r="N68" i="19" s="1"/>
  <c r="N75" i="19" s="1"/>
  <c r="F25" i="5" l="1"/>
  <c r="F25" i="4" s="1"/>
  <c r="G25" i="5"/>
  <c r="G25" i="4" s="1"/>
  <c r="K26" i="4"/>
  <c r="AF26" i="4" s="1"/>
  <c r="I53" i="15"/>
  <c r="I23" i="15"/>
  <c r="I24" i="15" s="1"/>
  <c r="I26" i="15" s="1"/>
  <c r="I101" i="1" s="1"/>
  <c r="I68" i="9" s="1"/>
  <c r="O69" i="24"/>
  <c r="L107" i="1" s="1"/>
  <c r="L42" i="15" s="1"/>
  <c r="F53" i="15"/>
  <c r="F23" i="15"/>
  <c r="F24" i="15" s="1"/>
  <c r="F26" i="15" s="1"/>
  <c r="F101" i="1" s="1"/>
  <c r="F68" i="9" s="1"/>
  <c r="F70" i="9" s="1"/>
  <c r="H45" i="15"/>
  <c r="H77" i="1" s="1"/>
  <c r="J26" i="5" s="1"/>
  <c r="J25" i="5" s="1"/>
  <c r="J25" i="4" s="1"/>
  <c r="AE25" i="4" s="1"/>
  <c r="H23" i="15"/>
  <c r="H24" i="15" s="1"/>
  <c r="H26" i="15" s="1"/>
  <c r="H101" i="1" s="1"/>
  <c r="H68" i="9" s="1"/>
  <c r="H70" i="9" s="1"/>
  <c r="I52" i="15"/>
  <c r="H53" i="15"/>
  <c r="F45" i="15"/>
  <c r="F77" i="1" s="1"/>
  <c r="H26" i="5" s="1"/>
  <c r="H26" i="4" s="1"/>
  <c r="AC26" i="4" s="1"/>
  <c r="O63" i="24"/>
  <c r="O16" i="25" s="1"/>
  <c r="L30" i="19"/>
  <c r="I10" i="1"/>
  <c r="I31" i="9" s="1"/>
  <c r="I36" i="9" s="1"/>
  <c r="I46" i="9" s="1"/>
  <c r="I70" i="9" s="1"/>
  <c r="M120" i="12" a="1"/>
  <c r="M120" i="12" s="1"/>
  <c r="M26" i="11"/>
  <c r="Q112" i="19"/>
  <c r="P62" i="19"/>
  <c r="P113" i="19"/>
  <c r="P61" i="19" s="1"/>
  <c r="P74" i="26"/>
  <c r="O74" i="24"/>
  <c r="K139" i="12" a="1"/>
  <c r="K139" i="12" s="1"/>
  <c r="L102" i="12" a="1"/>
  <c r="L102" i="12" s="1"/>
  <c r="AA34" i="13"/>
  <c r="AA33" i="13"/>
  <c r="L66" i="1" s="1"/>
  <c r="N29" i="5" s="1"/>
  <c r="AC4" i="13"/>
  <c r="I26" i="4"/>
  <c r="AD26" i="4" s="1"/>
  <c r="I25" i="5"/>
  <c r="I25" i="4" s="1"/>
  <c r="AD25" i="4" s="1"/>
  <c r="P49" i="24"/>
  <c r="P61" i="24"/>
  <c r="P7" i="25"/>
  <c r="L113" i="12" a="1"/>
  <c r="L113" i="12" s="1"/>
  <c r="M123" i="12" a="1"/>
  <c r="M123" i="12" s="1"/>
  <c r="O4" i="16"/>
  <c r="O8" i="16" s="1"/>
  <c r="N8" i="16"/>
  <c r="P13" i="5"/>
  <c r="P13" i="4" s="1"/>
  <c r="AK13" i="4" s="1"/>
  <c r="P14" i="4"/>
  <c r="AK14" i="4" s="1"/>
  <c r="M127" i="12" a="1"/>
  <c r="M127" i="12" s="1"/>
  <c r="J49" i="5"/>
  <c r="K8" i="5"/>
  <c r="K8" i="4" s="1"/>
  <c r="AF8" i="4" s="1"/>
  <c r="K49" i="5"/>
  <c r="K46" i="5"/>
  <c r="K46" i="4" s="1"/>
  <c r="AF46" i="4" s="1"/>
  <c r="K36" i="4"/>
  <c r="AF36" i="4" s="1"/>
  <c r="M32" i="5"/>
  <c r="M32" i="4" s="1"/>
  <c r="AH32" i="4" s="1"/>
  <c r="M29" i="4"/>
  <c r="AH29" i="4" s="1"/>
  <c r="M135" i="12" a="1"/>
  <c r="M135" i="12" s="1"/>
  <c r="M10" i="16"/>
  <c r="L50" i="1" s="1"/>
  <c r="N42" i="5" s="1"/>
  <c r="N42" i="4" s="1"/>
  <c r="AI42" i="4" s="1"/>
  <c r="L49" i="1"/>
  <c r="N24" i="5" s="1"/>
  <c r="P62" i="26"/>
  <c r="P68" i="24" s="1"/>
  <c r="Q29" i="26"/>
  <c r="Q62" i="26" s="1"/>
  <c r="Q68" i="24" s="1"/>
  <c r="J142" i="12"/>
  <c r="J50" i="11"/>
  <c r="K140" i="12"/>
  <c r="M12" i="25"/>
  <c r="J108" i="1"/>
  <c r="J44" i="15" s="1"/>
  <c r="J47" i="15" s="1"/>
  <c r="J51" i="15" s="1"/>
  <c r="J52" i="15" s="1"/>
  <c r="M117" i="12" a="1"/>
  <c r="M117" i="12" s="1"/>
  <c r="N132" i="12" a="1"/>
  <c r="N132" i="12" s="1"/>
  <c r="H28" i="11"/>
  <c r="G29" i="11"/>
  <c r="G40" i="11" s="1"/>
  <c r="G47" i="11" s="1"/>
  <c r="G53" i="11" s="1"/>
  <c r="I49" i="4"/>
  <c r="AD49" i="4" s="1"/>
  <c r="M121" i="12" a="1"/>
  <c r="M121" i="12" s="1"/>
  <c r="N125" i="12" a="1"/>
  <c r="N125" i="12" s="1"/>
  <c r="N106" i="12" a="1"/>
  <c r="N106" i="12" s="1"/>
  <c r="F5" i="4"/>
  <c r="N110" i="12" a="1"/>
  <c r="N110" i="12" s="1"/>
  <c r="H13" i="25"/>
  <c r="H18" i="25" s="1"/>
  <c r="I6" i="25"/>
  <c r="I11" i="25" s="1"/>
  <c r="J23" i="15"/>
  <c r="J24" i="15" s="1"/>
  <c r="J26" i="15" s="1"/>
  <c r="J101" i="1" s="1"/>
  <c r="J68" i="9" s="1"/>
  <c r="L109" i="12" a="1"/>
  <c r="L109" i="12" s="1"/>
  <c r="O104" i="19"/>
  <c r="N105" i="19"/>
  <c r="O60" i="19" s="1"/>
  <c r="M114" i="12" a="1"/>
  <c r="M114" i="12" s="1"/>
  <c r="O13" i="5"/>
  <c r="O13" i="4" s="1"/>
  <c r="AJ13" i="4" s="1"/>
  <c r="O14" i="4"/>
  <c r="AJ14" i="4" s="1"/>
  <c r="M108" i="12" a="1"/>
  <c r="M108" i="12" s="1"/>
  <c r="Q123" i="19"/>
  <c r="Q129" i="19"/>
  <c r="Q128" i="19" s="1"/>
  <c r="Q132" i="19" s="1"/>
  <c r="N69" i="19"/>
  <c r="F73" i="9"/>
  <c r="E82" i="1"/>
  <c r="G5" i="5" s="1"/>
  <c r="D56" i="18"/>
  <c r="D61" i="18" s="1"/>
  <c r="D33" i="1"/>
  <c r="F16" i="5" s="1"/>
  <c r="M115" i="12" a="1"/>
  <c r="M115" i="12" s="1"/>
  <c r="L8" i="5"/>
  <c r="L8" i="4" s="1"/>
  <c r="AG8" i="4" s="1"/>
  <c r="L9" i="4"/>
  <c r="AG9" i="4" s="1"/>
  <c r="G15" i="5"/>
  <c r="G15" i="4" s="1"/>
  <c r="G16" i="4"/>
  <c r="L112" i="12" a="1"/>
  <c r="L112" i="12" s="1"/>
  <c r="N118" i="12" a="1"/>
  <c r="N118" i="12" s="1"/>
  <c r="Q29" i="27"/>
  <c r="Q62" i="27" s="1"/>
  <c r="Q66" i="24" s="1"/>
  <c r="P62" i="27"/>
  <c r="P66" i="24" s="1"/>
  <c r="Q28" i="27"/>
  <c r="P109" i="19"/>
  <c r="N75" i="24"/>
  <c r="C56" i="18"/>
  <c r="C61" i="18" s="1"/>
  <c r="C33" i="1"/>
  <c r="E16" i="5" s="1"/>
  <c r="T48" i="12"/>
  <c r="T47" i="12"/>
  <c r="J62" i="1" s="1"/>
  <c r="L36" i="5" s="1"/>
  <c r="U5" i="12"/>
  <c r="K12" i="1"/>
  <c r="M9" i="5" s="1"/>
  <c r="N71" i="19"/>
  <c r="N80" i="19" s="1"/>
  <c r="M124" i="12" a="1"/>
  <c r="M124" i="12" s="1"/>
  <c r="M134" i="12" a="1"/>
  <c r="M134" i="12" s="1"/>
  <c r="L122" i="12" a="1"/>
  <c r="L122" i="12" s="1"/>
  <c r="M23" i="5"/>
  <c r="M23" i="4" s="1"/>
  <c r="AH23" i="4" s="1"/>
  <c r="M24" i="4"/>
  <c r="AH24" i="4" s="1"/>
  <c r="O82" i="19"/>
  <c r="P74" i="27"/>
  <c r="O72" i="24"/>
  <c r="I27" i="11"/>
  <c r="J51" i="11"/>
  <c r="Q50" i="28"/>
  <c r="Q62" i="28" s="1"/>
  <c r="Q67" i="24" s="1"/>
  <c r="P62" i="28"/>
  <c r="P67" i="24" s="1"/>
  <c r="M30" i="19"/>
  <c r="J10" i="1"/>
  <c r="J31" i="9" s="1"/>
  <c r="J36" i="9" s="1"/>
  <c r="J46" i="9" s="1"/>
  <c r="M111" i="12" a="1"/>
  <c r="M111" i="12" s="1"/>
  <c r="L116" i="12" a="1"/>
  <c r="L116" i="12" s="1"/>
  <c r="P74" i="28"/>
  <c r="O73" i="24"/>
  <c r="L104" i="12" a="1"/>
  <c r="L104" i="12" s="1"/>
  <c r="M103" i="12" a="1"/>
  <c r="M103" i="12" s="1"/>
  <c r="N131" i="12" a="1"/>
  <c r="N131" i="12" s="1"/>
  <c r="L126" i="12" a="1"/>
  <c r="L126" i="12" s="1"/>
  <c r="I186" i="12"/>
  <c r="I52" i="11"/>
  <c r="N8" i="25"/>
  <c r="N16" i="25"/>
  <c r="K106" i="1"/>
  <c r="K43" i="15" s="1"/>
  <c r="O75" i="24" l="1"/>
  <c r="J26" i="4"/>
  <c r="AE26" i="4" s="1"/>
  <c r="H25" i="5"/>
  <c r="H25" i="4" s="1"/>
  <c r="AC25" i="4" s="1"/>
  <c r="L106" i="1"/>
  <c r="L43" i="15" s="1"/>
  <c r="L23" i="15" s="1"/>
  <c r="L24" i="15" s="1"/>
  <c r="L26" i="15" s="1"/>
  <c r="L101" i="1" s="1"/>
  <c r="L68" i="9" s="1"/>
  <c r="L70" i="9" s="1"/>
  <c r="O8" i="25"/>
  <c r="P63" i="24"/>
  <c r="P16" i="25" s="1"/>
  <c r="J70" i="9"/>
  <c r="J186" i="12"/>
  <c r="J52" i="11"/>
  <c r="N12" i="16"/>
  <c r="N10" i="16"/>
  <c r="M50" i="1" s="1"/>
  <c r="O42" i="5" s="1"/>
  <c r="O42" i="4" s="1"/>
  <c r="AJ42" i="4" s="1"/>
  <c r="M49" i="1"/>
  <c r="O24" i="5" s="1"/>
  <c r="N111" i="12" a="1"/>
  <c r="N111" i="12" s="1"/>
  <c r="G27" i="5"/>
  <c r="G5" i="4"/>
  <c r="K49" i="4"/>
  <c r="AF49" i="4" s="1"/>
  <c r="O10" i="16"/>
  <c r="N50" i="1" s="1"/>
  <c r="P42" i="5" s="1"/>
  <c r="P42" i="4" s="1"/>
  <c r="AK42" i="4" s="1"/>
  <c r="N49" i="1"/>
  <c r="P24" i="5" s="1"/>
  <c r="Q62" i="19"/>
  <c r="Q113" i="19"/>
  <c r="Q61" i="19" s="1"/>
  <c r="M112" i="12" a="1"/>
  <c r="M112" i="12" s="1"/>
  <c r="G72" i="9"/>
  <c r="G73" i="9" s="1"/>
  <c r="F82" i="1"/>
  <c r="H5" i="5" s="1"/>
  <c r="N114" i="12" a="1"/>
  <c r="N114" i="12" s="1"/>
  <c r="N121" i="12" a="1"/>
  <c r="N121" i="12" s="1"/>
  <c r="N117" i="12" a="1"/>
  <c r="N117" i="12" s="1"/>
  <c r="N123" i="12" a="1"/>
  <c r="N123" i="12" s="1"/>
  <c r="L139" i="12" a="1"/>
  <c r="L139" i="12" s="1"/>
  <c r="M102" i="12" a="1"/>
  <c r="M102" i="12" s="1"/>
  <c r="M104" i="12" a="1"/>
  <c r="M104" i="12" s="1"/>
  <c r="O12" i="25"/>
  <c r="L108" i="1"/>
  <c r="L44" i="15" s="1"/>
  <c r="M122" i="12" a="1"/>
  <c r="M122" i="12" s="1"/>
  <c r="M9" i="4"/>
  <c r="AH9" i="4" s="1"/>
  <c r="N12" i="25"/>
  <c r="K108" i="1"/>
  <c r="K44" i="15" s="1"/>
  <c r="K47" i="15" s="1"/>
  <c r="K51" i="15" s="1"/>
  <c r="K52" i="15" s="1"/>
  <c r="O65" i="19"/>
  <c r="O68" i="19" s="1"/>
  <c r="N24" i="4"/>
  <c r="AI24" i="4" s="1"/>
  <c r="N23" i="5"/>
  <c r="N23" i="4" s="1"/>
  <c r="AI23" i="4" s="1"/>
  <c r="J49" i="4"/>
  <c r="AE49" i="4" s="1"/>
  <c r="N26" i="11"/>
  <c r="M126" i="12" a="1"/>
  <c r="M126" i="12" s="1"/>
  <c r="P72" i="24"/>
  <c r="N127" i="12" a="1"/>
  <c r="N127" i="12" s="1"/>
  <c r="K50" i="11"/>
  <c r="K142" i="12"/>
  <c r="L140" i="12"/>
  <c r="N120" i="12" a="1"/>
  <c r="N120" i="12" s="1"/>
  <c r="N124" i="12" a="1"/>
  <c r="N124" i="12" s="1"/>
  <c r="N78" i="19"/>
  <c r="N16" i="19" s="1"/>
  <c r="N19" i="19" s="1"/>
  <c r="K13" i="1"/>
  <c r="M11" i="5" s="1"/>
  <c r="M11" i="4" s="1"/>
  <c r="AH11" i="4" s="1"/>
  <c r="U47" i="12"/>
  <c r="K62" i="1" s="1"/>
  <c r="M36" i="5" s="1"/>
  <c r="V5" i="12"/>
  <c r="U48" i="12"/>
  <c r="Q32" i="27"/>
  <c r="Q60" i="27" s="1"/>
  <c r="Q73" i="27"/>
  <c r="Q74" i="27" s="1"/>
  <c r="Q72" i="24" s="1"/>
  <c r="Q68" i="27"/>
  <c r="Q70" i="27" s="1"/>
  <c r="N115" i="12" a="1"/>
  <c r="N115" i="12" s="1"/>
  <c r="Q109" i="19"/>
  <c r="P104" i="19"/>
  <c r="P105" i="19" s="1"/>
  <c r="Q60" i="19" s="1"/>
  <c r="O105" i="19"/>
  <c r="P60" i="19" s="1"/>
  <c r="N83" i="19"/>
  <c r="K14" i="1" s="1"/>
  <c r="M10" i="5" s="1"/>
  <c r="M10" i="4" s="1"/>
  <c r="AH10" i="4" s="1"/>
  <c r="M12" i="16"/>
  <c r="Q74" i="28"/>
  <c r="Q73" i="24" s="1"/>
  <c r="P73" i="24"/>
  <c r="N134" i="12" a="1"/>
  <c r="N134" i="12" s="1"/>
  <c r="L46" i="5"/>
  <c r="L46" i="4" s="1"/>
  <c r="AG46" i="4" s="1"/>
  <c r="L36" i="4"/>
  <c r="AG36" i="4" s="1"/>
  <c r="P69" i="24"/>
  <c r="M107" i="1" s="1"/>
  <c r="M42" i="15" s="1"/>
  <c r="N108" i="12" a="1"/>
  <c r="N108" i="12" s="1"/>
  <c r="J45" i="15"/>
  <c r="J77" i="1" s="1"/>
  <c r="L26" i="5" s="1"/>
  <c r="J53" i="15"/>
  <c r="N135" i="12" a="1"/>
  <c r="N135" i="12" s="1"/>
  <c r="AC34" i="13"/>
  <c r="AE4" i="13"/>
  <c r="AC33" i="13"/>
  <c r="M66" i="1" s="1"/>
  <c r="O29" i="5" s="1"/>
  <c r="Q74" i="26"/>
  <c r="Q74" i="24" s="1"/>
  <c r="P74" i="24"/>
  <c r="N103" i="12" a="1"/>
  <c r="N103" i="12" s="1"/>
  <c r="E15" i="5"/>
  <c r="E16" i="4"/>
  <c r="K23" i="15"/>
  <c r="K24" i="15" s="1"/>
  <c r="K26" i="15" s="1"/>
  <c r="K101" i="1" s="1"/>
  <c r="K68" i="9" s="1"/>
  <c r="M116" i="12" a="1"/>
  <c r="M116" i="12" s="1"/>
  <c r="Q69" i="24"/>
  <c r="N107" i="1" s="1"/>
  <c r="N42" i="15" s="1"/>
  <c r="F15" i="5"/>
  <c r="F16" i="4"/>
  <c r="M109" i="12" a="1"/>
  <c r="M109" i="12" s="1"/>
  <c r="I13" i="25"/>
  <c r="I18" i="25" s="1"/>
  <c r="J6" i="25"/>
  <c r="J11" i="25" s="1"/>
  <c r="I28" i="11"/>
  <c r="H29" i="11"/>
  <c r="H40" i="11" s="1"/>
  <c r="H47" i="11" s="1"/>
  <c r="H53" i="11" s="1"/>
  <c r="J27" i="11"/>
  <c r="K51" i="11"/>
  <c r="M113" i="12" a="1"/>
  <c r="M113" i="12" s="1"/>
  <c r="N32" i="5"/>
  <c r="N32" i="4" s="1"/>
  <c r="AI32" i="4" s="1"/>
  <c r="N29" i="4"/>
  <c r="AI29" i="4" s="1"/>
  <c r="P82" i="19"/>
  <c r="Q75" i="24" l="1"/>
  <c r="K53" i="15"/>
  <c r="M106" i="1"/>
  <c r="M43" i="15" s="1"/>
  <c r="M23" i="15" s="1"/>
  <c r="M24" i="15" s="1"/>
  <c r="M26" i="15" s="1"/>
  <c r="M101" i="1" s="1"/>
  <c r="M68" i="9" s="1"/>
  <c r="M70" i="9" s="1"/>
  <c r="P8" i="25"/>
  <c r="Q12" i="25"/>
  <c r="N108" i="1"/>
  <c r="N44" i="15" s="1"/>
  <c r="N47" i="15" s="1"/>
  <c r="N51" i="15" s="1"/>
  <c r="H72" i="9"/>
  <c r="H73" i="9" s="1"/>
  <c r="G82" i="1"/>
  <c r="I5" i="5" s="1"/>
  <c r="F15" i="4"/>
  <c r="F27" i="5"/>
  <c r="N30" i="19"/>
  <c r="K10" i="1"/>
  <c r="K31" i="9" s="1"/>
  <c r="K36" i="9" s="1"/>
  <c r="K46" i="9" s="1"/>
  <c r="K70" i="9" s="1"/>
  <c r="M8" i="5"/>
  <c r="M8" i="4" s="1"/>
  <c r="AH8" i="4" s="1"/>
  <c r="L142" i="12"/>
  <c r="L50" i="11"/>
  <c r="M140" i="12"/>
  <c r="N112" i="12" a="1"/>
  <c r="N112" i="12" s="1"/>
  <c r="Q6" i="24"/>
  <c r="Q10" i="24" s="1"/>
  <c r="N47" i="1"/>
  <c r="N122" i="12" a="1"/>
  <c r="N122" i="12" s="1"/>
  <c r="Q69" i="19"/>
  <c r="Q82" i="19"/>
  <c r="Q83" i="19" s="1"/>
  <c r="N14" i="1" s="1"/>
  <c r="P10" i="5" s="1"/>
  <c r="P10" i="4" s="1"/>
  <c r="AK10" i="4" s="1"/>
  <c r="J28" i="11"/>
  <c r="I29" i="11"/>
  <c r="I40" i="11" s="1"/>
  <c r="I47" i="11" s="1"/>
  <c r="I53" i="11" s="1"/>
  <c r="L47" i="15"/>
  <c r="L51" i="15" s="1"/>
  <c r="L45" i="15"/>
  <c r="L77" i="1" s="1"/>
  <c r="N26" i="5" s="1"/>
  <c r="G33" i="5"/>
  <c r="G27" i="4"/>
  <c r="L49" i="5"/>
  <c r="P75" i="24"/>
  <c r="P24" i="4"/>
  <c r="AK24" i="4" s="1"/>
  <c r="P23" i="5"/>
  <c r="P23" i="4" s="1"/>
  <c r="AK23" i="4" s="1"/>
  <c r="N116" i="12" a="1"/>
  <c r="N116" i="12" s="1"/>
  <c r="Q65" i="19"/>
  <c r="Q68" i="19" s="1"/>
  <c r="Q75" i="19" s="1"/>
  <c r="W5" i="12"/>
  <c r="V48" i="12"/>
  <c r="V47" i="12"/>
  <c r="L62" i="1" s="1"/>
  <c r="N36" i="5" s="1"/>
  <c r="N104" i="12" a="1"/>
  <c r="N104" i="12" s="1"/>
  <c r="H5" i="4"/>
  <c r="AC5" i="4" s="1"/>
  <c r="H27" i="5"/>
  <c r="O12" i="16"/>
  <c r="N113" i="12" a="1"/>
  <c r="N113" i="12" s="1"/>
  <c r="N109" i="12" a="1"/>
  <c r="N109" i="12" s="1"/>
  <c r="O32" i="5"/>
  <c r="O32" i="4" s="1"/>
  <c r="AJ32" i="4" s="1"/>
  <c r="O29" i="4"/>
  <c r="AJ29" i="4" s="1"/>
  <c r="L25" i="5"/>
  <c r="L25" i="4" s="1"/>
  <c r="AG25" i="4" s="1"/>
  <c r="L26" i="4"/>
  <c r="AG26" i="4" s="1"/>
  <c r="M36" i="4"/>
  <c r="AH36" i="4" s="1"/>
  <c r="M46" i="5"/>
  <c r="M46" i="4" s="1"/>
  <c r="AH46" i="4" s="1"/>
  <c r="K52" i="11"/>
  <c r="K186" i="12"/>
  <c r="N126" i="12" a="1"/>
  <c r="N126" i="12" s="1"/>
  <c r="O23" i="5"/>
  <c r="O23" i="4" s="1"/>
  <c r="AJ23" i="4" s="1"/>
  <c r="O24" i="4"/>
  <c r="AJ24" i="4" s="1"/>
  <c r="K45" i="15"/>
  <c r="K77" i="1" s="1"/>
  <c r="M26" i="5" s="1"/>
  <c r="E15" i="4"/>
  <c r="E27" i="5"/>
  <c r="Q85" i="24"/>
  <c r="Q88" i="24" s="1"/>
  <c r="N59" i="1" s="1"/>
  <c r="N5" i="9" s="1"/>
  <c r="N11" i="9" s="1"/>
  <c r="N46" i="1"/>
  <c r="J13" i="25"/>
  <c r="J18" i="25" s="1"/>
  <c r="K6" i="25"/>
  <c r="K11" i="25" s="1"/>
  <c r="P71" i="19"/>
  <c r="P80" i="19" s="1"/>
  <c r="P65" i="19"/>
  <c r="P68" i="19" s="1"/>
  <c r="AE33" i="13"/>
  <c r="N66" i="1" s="1"/>
  <c r="P29" i="5" s="1"/>
  <c r="AE34" i="13"/>
  <c r="K27" i="11"/>
  <c r="L51" i="11"/>
  <c r="O75" i="19"/>
  <c r="O69" i="19"/>
  <c r="M139" i="12" a="1"/>
  <c r="M139" i="12" s="1"/>
  <c r="N102" i="12" a="1"/>
  <c r="N102" i="12" s="1"/>
  <c r="O71" i="19"/>
  <c r="O80" i="19" s="1"/>
  <c r="P12" i="25" l="1"/>
  <c r="M108" i="1"/>
  <c r="M44" i="15" s="1"/>
  <c r="E33" i="5"/>
  <c r="E27" i="4"/>
  <c r="L49" i="4"/>
  <c r="AG49" i="4" s="1"/>
  <c r="K28" i="11"/>
  <c r="J29" i="11"/>
  <c r="J40" i="11" s="1"/>
  <c r="J47" i="11" s="1"/>
  <c r="J53" i="11" s="1"/>
  <c r="F33" i="5"/>
  <c r="F27" i="4"/>
  <c r="O83" i="19"/>
  <c r="L14" i="1" s="1"/>
  <c r="N10" i="5" s="1"/>
  <c r="N10" i="4" s="1"/>
  <c r="AI10" i="4" s="1"/>
  <c r="P75" i="19"/>
  <c r="P69" i="19"/>
  <c r="O70" i="19" s="1"/>
  <c r="O84" i="19" s="1"/>
  <c r="N46" i="5"/>
  <c r="N46" i="4" s="1"/>
  <c r="AI46" i="4" s="1"/>
  <c r="N36" i="4"/>
  <c r="AI36" i="4" s="1"/>
  <c r="E185" i="12"/>
  <c r="E187" i="12" s="1"/>
  <c r="E174" i="12"/>
  <c r="E4" i="8"/>
  <c r="E10" i="8" s="1"/>
  <c r="E11" i="8" s="1"/>
  <c r="E86" i="1" s="1"/>
  <c r="G35" i="5" s="1"/>
  <c r="G38" i="5" s="1"/>
  <c r="G33" i="4"/>
  <c r="E175" i="12"/>
  <c r="E164" i="12"/>
  <c r="E171" i="12"/>
  <c r="E151" i="12"/>
  <c r="E153" i="12"/>
  <c r="E152" i="12"/>
  <c r="E156" i="12"/>
  <c r="E165" i="12"/>
  <c r="E176" i="12"/>
  <c r="E177" i="12"/>
  <c r="E178" i="12"/>
  <c r="E173" i="12"/>
  <c r="E170" i="12"/>
  <c r="E157" i="12"/>
  <c r="E180" i="12"/>
  <c r="E160" i="12"/>
  <c r="E161" i="12"/>
  <c r="E167" i="12"/>
  <c r="E166" i="12"/>
  <c r="E149" i="12"/>
  <c r="E163" i="12"/>
  <c r="E169" i="12"/>
  <c r="E154" i="12"/>
  <c r="E181" i="12"/>
  <c r="E150" i="12"/>
  <c r="E158" i="12"/>
  <c r="E168" i="12"/>
  <c r="E172" i="12"/>
  <c r="E182" i="12"/>
  <c r="E179" i="12"/>
  <c r="E162" i="12"/>
  <c r="E155" i="12"/>
  <c r="E159" i="12"/>
  <c r="E148" i="12"/>
  <c r="Q70" i="19"/>
  <c r="Q84" i="19" s="1"/>
  <c r="J70" i="19"/>
  <c r="J84" i="19" s="1"/>
  <c r="M51" i="11"/>
  <c r="L27" i="11"/>
  <c r="I5" i="4"/>
  <c r="AD5" i="4" s="1"/>
  <c r="I27" i="5"/>
  <c r="M25" i="5"/>
  <c r="M25" i="4" s="1"/>
  <c r="AH25" i="4" s="1"/>
  <c r="M26" i="4"/>
  <c r="AH26" i="4" s="1"/>
  <c r="L6" i="25"/>
  <c r="L11" i="25" s="1"/>
  <c r="K13" i="25"/>
  <c r="K18" i="25" s="1"/>
  <c r="M49" i="5"/>
  <c r="L186" i="12"/>
  <c r="L52" i="11"/>
  <c r="I72" i="9"/>
  <c r="I73" i="9" s="1"/>
  <c r="H82" i="1"/>
  <c r="J5" i="5" s="1"/>
  <c r="W48" i="12"/>
  <c r="W47" i="12"/>
  <c r="M62" i="1" s="1"/>
  <c r="O36" i="5" s="1"/>
  <c r="X5" i="12"/>
  <c r="N25" i="5"/>
  <c r="N25" i="4" s="1"/>
  <c r="AI25" i="4" s="1"/>
  <c r="N26" i="4"/>
  <c r="AI26" i="4" s="1"/>
  <c r="M142" i="12"/>
  <c r="M50" i="11"/>
  <c r="N140" i="12"/>
  <c r="P32" i="5"/>
  <c r="P32" i="4" s="1"/>
  <c r="AK32" i="4" s="1"/>
  <c r="P29" i="4"/>
  <c r="AK29" i="4" s="1"/>
  <c r="O76" i="19"/>
  <c r="L17" i="1" s="1"/>
  <c r="N41" i="5" s="1"/>
  <c r="N41" i="4" s="1"/>
  <c r="AI41" i="4" s="1"/>
  <c r="L12" i="1"/>
  <c r="N9" i="5" s="1"/>
  <c r="L76" i="19"/>
  <c r="I17" i="1" s="1"/>
  <c r="K41" i="5" s="1"/>
  <c r="K41" i="4" s="1"/>
  <c r="AF41" i="4" s="1"/>
  <c r="M76" i="19"/>
  <c r="J17" i="1" s="1"/>
  <c r="L41" i="5" s="1"/>
  <c r="L41" i="4" s="1"/>
  <c r="AG41" i="4" s="1"/>
  <c r="N76" i="19"/>
  <c r="K17" i="1" s="1"/>
  <c r="M41" i="5" s="1"/>
  <c r="M41" i="4" s="1"/>
  <c r="AH41" i="4" s="1"/>
  <c r="P78" i="19"/>
  <c r="M13" i="1"/>
  <c r="O11" i="5" s="1"/>
  <c r="O11" i="4" s="1"/>
  <c r="AJ11" i="4" s="1"/>
  <c r="O78" i="19"/>
  <c r="L13" i="1"/>
  <c r="N11" i="5" s="1"/>
  <c r="N11" i="4" s="1"/>
  <c r="AI11" i="4" s="1"/>
  <c r="H33" i="5"/>
  <c r="H27" i="4"/>
  <c r="AC27" i="4" s="1"/>
  <c r="Q76" i="19"/>
  <c r="N17" i="1" s="1"/>
  <c r="P41" i="5" s="1"/>
  <c r="P41" i="4" s="1"/>
  <c r="AK41" i="4" s="1"/>
  <c r="N12" i="1"/>
  <c r="P9" i="5" s="1"/>
  <c r="J76" i="19"/>
  <c r="G17" i="1" s="1"/>
  <c r="I41" i="5" s="1"/>
  <c r="I41" i="4" s="1"/>
  <c r="AD41" i="4" s="1"/>
  <c r="I76" i="19"/>
  <c r="F17" i="1" s="1"/>
  <c r="H41" i="5" s="1"/>
  <c r="H41" i="4" s="1"/>
  <c r="AC41" i="4" s="1"/>
  <c r="K76" i="19"/>
  <c r="H17" i="1" s="1"/>
  <c r="J41" i="5" s="1"/>
  <c r="J41" i="4" s="1"/>
  <c r="AE41" i="4" s="1"/>
  <c r="L52" i="15"/>
  <c r="L53" i="15"/>
  <c r="N58" i="1"/>
  <c r="N14" i="9" s="1"/>
  <c r="N18" i="9" s="1"/>
  <c r="N20" i="9" s="1"/>
  <c r="Q22" i="24"/>
  <c r="Q48" i="24" s="1"/>
  <c r="N139" i="12" a="1"/>
  <c r="N139" i="12" s="1"/>
  <c r="Q71" i="19"/>
  <c r="Q80" i="19" s="1"/>
  <c r="O85" i="19" l="1"/>
  <c r="L16" i="1"/>
  <c r="N40" i="5" s="1"/>
  <c r="N40" i="4" s="1"/>
  <c r="AI40" i="4" s="1"/>
  <c r="J72" i="9"/>
  <c r="J73" i="9" s="1"/>
  <c r="I82" i="1"/>
  <c r="K5" i="5" s="1"/>
  <c r="Q7" i="25"/>
  <c r="Q49" i="24"/>
  <c r="Q61" i="24"/>
  <c r="Q63" i="24" s="1"/>
  <c r="N70" i="19"/>
  <c r="N84" i="19" s="1"/>
  <c r="N142" i="12"/>
  <c r="N50" i="11"/>
  <c r="N27" i="11" s="1"/>
  <c r="J85" i="19"/>
  <c r="G16" i="1"/>
  <c r="I40" i="5" s="1"/>
  <c r="I40" i="4" s="1"/>
  <c r="AD40" i="4" s="1"/>
  <c r="F185" i="12"/>
  <c r="F187" i="12" s="1"/>
  <c r="F174" i="12"/>
  <c r="F4" i="8"/>
  <c r="F10" i="8" s="1"/>
  <c r="F11" i="8" s="1"/>
  <c r="F86" i="1" s="1"/>
  <c r="H35" i="5" s="1"/>
  <c r="H38" i="5" s="1"/>
  <c r="H33" i="4"/>
  <c r="AC33" i="4" s="1"/>
  <c r="F153" i="12"/>
  <c r="F175" i="12"/>
  <c r="F165" i="12"/>
  <c r="F176" i="12"/>
  <c r="F151" i="12"/>
  <c r="F178" i="12"/>
  <c r="F156" i="12"/>
  <c r="F177" i="12"/>
  <c r="F152" i="12"/>
  <c r="F164" i="12"/>
  <c r="F171" i="12"/>
  <c r="F160" i="12"/>
  <c r="F180" i="12"/>
  <c r="F181" i="12"/>
  <c r="F169" i="12"/>
  <c r="F163" i="12"/>
  <c r="F166" i="12"/>
  <c r="F167" i="12"/>
  <c r="F149" i="12"/>
  <c r="F170" i="12"/>
  <c r="F157" i="12"/>
  <c r="F173" i="12"/>
  <c r="F154" i="12"/>
  <c r="F161" i="12"/>
  <c r="F168" i="12"/>
  <c r="F155" i="12"/>
  <c r="F182" i="12"/>
  <c r="F158" i="12"/>
  <c r="F150" i="12"/>
  <c r="F148" i="12"/>
  <c r="F179" i="12"/>
  <c r="F172" i="12"/>
  <c r="F162" i="12"/>
  <c r="F159" i="12"/>
  <c r="Q78" i="19"/>
  <c r="N13" i="1"/>
  <c r="P11" i="5" s="1"/>
  <c r="P11" i="4" s="1"/>
  <c r="AK11" i="4" s="1"/>
  <c r="N9" i="4"/>
  <c r="AI9" i="4" s="1"/>
  <c r="N8" i="5"/>
  <c r="N8" i="4" s="1"/>
  <c r="AI8" i="4" s="1"/>
  <c r="X48" i="12"/>
  <c r="X47" i="12"/>
  <c r="N62" i="1" s="1"/>
  <c r="P36" i="5" s="1"/>
  <c r="M49" i="4"/>
  <c r="AH49" i="4" s="1"/>
  <c r="G35" i="4"/>
  <c r="G39" i="5"/>
  <c r="G38" i="4"/>
  <c r="P70" i="19"/>
  <c r="P84" i="19" s="1"/>
  <c r="P83" i="19"/>
  <c r="M14" i="1" s="1"/>
  <c r="O10" i="5" s="1"/>
  <c r="O10" i="4" s="1"/>
  <c r="AJ10" i="4" s="1"/>
  <c r="L13" i="25"/>
  <c r="L18" i="25" s="1"/>
  <c r="M6" i="25"/>
  <c r="M11" i="25" s="1"/>
  <c r="P76" i="19"/>
  <c r="M17" i="1" s="1"/>
  <c r="O41" i="5" s="1"/>
  <c r="O41" i="4" s="1"/>
  <c r="AJ41" i="4" s="1"/>
  <c r="M12" i="1"/>
  <c r="O9" i="5" s="1"/>
  <c r="C185" i="12"/>
  <c r="C187" i="12" s="1"/>
  <c r="C4" i="8"/>
  <c r="C10" i="8" s="1"/>
  <c r="C11" i="8" s="1"/>
  <c r="C86" i="1" s="1"/>
  <c r="E35" i="5" s="1"/>
  <c r="E38" i="5" s="1"/>
  <c r="E33" i="4"/>
  <c r="C175" i="12"/>
  <c r="C171" i="12"/>
  <c r="C154" i="12"/>
  <c r="C182" i="12"/>
  <c r="C155" i="12"/>
  <c r="C181" i="12"/>
  <c r="C164" i="12"/>
  <c r="C180" i="12"/>
  <c r="C153" i="12"/>
  <c r="C167" i="12"/>
  <c r="C165" i="12"/>
  <c r="C157" i="12"/>
  <c r="C172" i="12"/>
  <c r="C156" i="12"/>
  <c r="C160" i="12"/>
  <c r="C158" i="12"/>
  <c r="C176" i="12"/>
  <c r="C169" i="12"/>
  <c r="C166" i="12"/>
  <c r="C151" i="12"/>
  <c r="C152" i="12"/>
  <c r="C149" i="12"/>
  <c r="C174" i="12"/>
  <c r="C179" i="12"/>
  <c r="C168" i="12"/>
  <c r="C173" i="12"/>
  <c r="C170" i="12"/>
  <c r="C163" i="12"/>
  <c r="C159" i="12"/>
  <c r="C150" i="12"/>
  <c r="C162" i="12"/>
  <c r="C161" i="12"/>
  <c r="C177" i="12"/>
  <c r="C178" i="12"/>
  <c r="C148" i="12"/>
  <c r="L70" i="19"/>
  <c r="L84" i="19" s="1"/>
  <c r="P9" i="4"/>
  <c r="AK9" i="4" s="1"/>
  <c r="I70" i="19"/>
  <c r="I84" i="19" s="1"/>
  <c r="M70" i="19"/>
  <c r="M84" i="19" s="1"/>
  <c r="D185" i="12"/>
  <c r="D187" i="12" s="1"/>
  <c r="D4" i="8"/>
  <c r="D10" i="8" s="1"/>
  <c r="D11" i="8" s="1"/>
  <c r="D86" i="1" s="1"/>
  <c r="F35" i="5" s="1"/>
  <c r="F33" i="4"/>
  <c r="D171" i="12"/>
  <c r="D175" i="12"/>
  <c r="D180" i="12"/>
  <c r="D149" i="12"/>
  <c r="D153" i="12"/>
  <c r="D174" i="12"/>
  <c r="D165" i="12"/>
  <c r="D156" i="12"/>
  <c r="D164" i="12"/>
  <c r="D167" i="12"/>
  <c r="D157" i="12"/>
  <c r="D163" i="12"/>
  <c r="D169" i="12"/>
  <c r="D154" i="12"/>
  <c r="D151" i="12"/>
  <c r="D152" i="12"/>
  <c r="D176" i="12"/>
  <c r="D160" i="12"/>
  <c r="D173" i="12"/>
  <c r="D181" i="12"/>
  <c r="D170" i="12"/>
  <c r="D166" i="12"/>
  <c r="D161" i="12"/>
  <c r="D178" i="12"/>
  <c r="D182" i="12"/>
  <c r="D159" i="12"/>
  <c r="D148" i="12"/>
  <c r="D150" i="12"/>
  <c r="D155" i="12"/>
  <c r="D168" i="12"/>
  <c r="D158" i="12"/>
  <c r="D172" i="12"/>
  <c r="D162" i="12"/>
  <c r="D179" i="12"/>
  <c r="D177" i="12"/>
  <c r="O46" i="5"/>
  <c r="O46" i="4" s="1"/>
  <c r="AJ46" i="4" s="1"/>
  <c r="O49" i="5"/>
  <c r="O36" i="4"/>
  <c r="AJ36" i="4" s="1"/>
  <c r="Q85" i="19"/>
  <c r="N16" i="1"/>
  <c r="P40" i="5" s="1"/>
  <c r="P40" i="4" s="1"/>
  <c r="AK40" i="4" s="1"/>
  <c r="N49" i="5"/>
  <c r="K70" i="19"/>
  <c r="K84" i="19" s="1"/>
  <c r="M47" i="15"/>
  <c r="M51" i="15" s="1"/>
  <c r="M45" i="15"/>
  <c r="M77" i="1" s="1"/>
  <c r="O26" i="5" s="1"/>
  <c r="M27" i="11"/>
  <c r="N51" i="11"/>
  <c r="J27" i="5"/>
  <c r="J5" i="4"/>
  <c r="AE5" i="4" s="1"/>
  <c r="M186" i="12"/>
  <c r="M52" i="11"/>
  <c r="I33" i="5"/>
  <c r="I27" i="4"/>
  <c r="AD27" i="4" s="1"/>
  <c r="E184" i="12"/>
  <c r="G47" i="5" s="1"/>
  <c r="G47" i="4" s="1"/>
  <c r="L28" i="11"/>
  <c r="K29" i="11"/>
  <c r="K40" i="11" s="1"/>
  <c r="K47" i="11" s="1"/>
  <c r="K53" i="11" s="1"/>
  <c r="C184" i="12" l="1"/>
  <c r="E47" i="5" s="1"/>
  <c r="E47" i="4" s="1"/>
  <c r="E38" i="4"/>
  <c r="J33" i="5"/>
  <c r="J27" i="4"/>
  <c r="AE27" i="4" s="1"/>
  <c r="N49" i="4"/>
  <c r="AI49" i="4" s="1"/>
  <c r="F184" i="12"/>
  <c r="H47" i="5" s="1"/>
  <c r="H47" i="4" s="1"/>
  <c r="AC47" i="4" s="1"/>
  <c r="H38" i="4"/>
  <c r="AC38" i="4" s="1"/>
  <c r="Q16" i="25"/>
  <c r="Q8" i="25"/>
  <c r="N106" i="1"/>
  <c r="N43" i="15" s="1"/>
  <c r="M28" i="11"/>
  <c r="L29" i="11"/>
  <c r="L40" i="11" s="1"/>
  <c r="L47" i="11" s="1"/>
  <c r="L53" i="11" s="1"/>
  <c r="L85" i="19"/>
  <c r="I15" i="1" s="1"/>
  <c r="I16" i="1"/>
  <c r="K40" i="5" s="1"/>
  <c r="K40" i="4" s="1"/>
  <c r="AF40" i="4" s="1"/>
  <c r="O9" i="4"/>
  <c r="AJ9" i="4" s="1"/>
  <c r="O8" i="5"/>
  <c r="O8" i="4" s="1"/>
  <c r="AJ8" i="4" s="1"/>
  <c r="G44" i="5"/>
  <c r="G39" i="4"/>
  <c r="N6" i="25"/>
  <c r="N11" i="25" s="1"/>
  <c r="M13" i="25"/>
  <c r="M18" i="25" s="1"/>
  <c r="K72" i="9"/>
  <c r="K73" i="9" s="1"/>
  <c r="J82" i="1"/>
  <c r="L5" i="5" s="1"/>
  <c r="F35" i="4"/>
  <c r="Q87" i="19"/>
  <c r="O87" i="19"/>
  <c r="G15" i="1"/>
  <c r="K27" i="5"/>
  <c r="K5" i="4"/>
  <c r="AF5" i="4" s="1"/>
  <c r="O49" i="4"/>
  <c r="AJ49" i="4" s="1"/>
  <c r="O25" i="5"/>
  <c r="O25" i="4" s="1"/>
  <c r="AJ25" i="4" s="1"/>
  <c r="O26" i="4"/>
  <c r="AJ26" i="4" s="1"/>
  <c r="M85" i="19"/>
  <c r="J16" i="1"/>
  <c r="L40" i="5" s="1"/>
  <c r="L40" i="4" s="1"/>
  <c r="AG40" i="4" s="1"/>
  <c r="N15" i="1"/>
  <c r="M52" i="15"/>
  <c r="M53" i="15"/>
  <c r="D184" i="12"/>
  <c r="F47" i="5" s="1"/>
  <c r="F47" i="4" s="1"/>
  <c r="I85" i="19"/>
  <c r="F15" i="1" s="1"/>
  <c r="F16" i="1"/>
  <c r="H40" i="5" s="1"/>
  <c r="H40" i="4" s="1"/>
  <c r="AC40" i="4" s="1"/>
  <c r="P85" i="19"/>
  <c r="Q86" i="19" s="1"/>
  <c r="M16" i="1"/>
  <c r="O40" i="5" s="1"/>
  <c r="O40" i="4" s="1"/>
  <c r="AJ40" i="4" s="1"/>
  <c r="P46" i="5"/>
  <c r="P46" i="4" s="1"/>
  <c r="AK46" i="4" s="1"/>
  <c r="P36" i="4"/>
  <c r="AK36" i="4" s="1"/>
  <c r="P49" i="5"/>
  <c r="N186" i="12"/>
  <c r="N52" i="11"/>
  <c r="F38" i="5"/>
  <c r="F39" i="5" s="1"/>
  <c r="G185" i="12"/>
  <c r="G187" i="12" s="1"/>
  <c r="G174" i="12"/>
  <c r="G4" i="8"/>
  <c r="G10" i="8" s="1"/>
  <c r="G11" i="8" s="1"/>
  <c r="G86" i="1" s="1"/>
  <c r="I35" i="5" s="1"/>
  <c r="I38" i="5" s="1"/>
  <c r="I33" i="4"/>
  <c r="AD33" i="4" s="1"/>
  <c r="G151" i="12"/>
  <c r="G176" i="12"/>
  <c r="G153" i="12"/>
  <c r="G175" i="12"/>
  <c r="G182" i="12"/>
  <c r="G179" i="12"/>
  <c r="G165" i="12"/>
  <c r="G171" i="12"/>
  <c r="G177" i="12"/>
  <c r="G178" i="12"/>
  <c r="G152" i="12"/>
  <c r="G164" i="12"/>
  <c r="G156" i="12"/>
  <c r="G157" i="12"/>
  <c r="G149" i="12"/>
  <c r="G167" i="12"/>
  <c r="G173" i="12"/>
  <c r="G170" i="12"/>
  <c r="G169" i="12"/>
  <c r="G160" i="12"/>
  <c r="G166" i="12"/>
  <c r="G163" i="12"/>
  <c r="G180" i="12"/>
  <c r="G154" i="12"/>
  <c r="G161" i="12"/>
  <c r="G181" i="12"/>
  <c r="G172" i="12"/>
  <c r="G162" i="12"/>
  <c r="G150" i="12"/>
  <c r="G159" i="12"/>
  <c r="G148" i="12"/>
  <c r="G158" i="12"/>
  <c r="G155" i="12"/>
  <c r="G168" i="12"/>
  <c r="K85" i="19"/>
  <c r="H15" i="1" s="1"/>
  <c r="H16" i="1"/>
  <c r="J40" i="5" s="1"/>
  <c r="J40" i="4" s="1"/>
  <c r="AE40" i="4" s="1"/>
  <c r="P8" i="5"/>
  <c r="P8" i="4" s="1"/>
  <c r="AK8" i="4" s="1"/>
  <c r="E39" i="5"/>
  <c r="E35" i="4"/>
  <c r="H39" i="5"/>
  <c r="H35" i="4"/>
  <c r="AC35" i="4" s="1"/>
  <c r="N85" i="19"/>
  <c r="N87" i="19" s="1"/>
  <c r="K16" i="1"/>
  <c r="M40" i="5" s="1"/>
  <c r="M40" i="4" s="1"/>
  <c r="AH40" i="4" s="1"/>
  <c r="O86" i="19"/>
  <c r="L15" i="1"/>
  <c r="F44" i="5" l="1"/>
  <c r="F39" i="4"/>
  <c r="G184" i="12"/>
  <c r="I47" i="5" s="1"/>
  <c r="I47" i="4" s="1"/>
  <c r="AD47" i="4" s="1"/>
  <c r="L72" i="9"/>
  <c r="L73" i="9" s="1"/>
  <c r="K82" i="1"/>
  <c r="M5" i="5" s="1"/>
  <c r="H44" i="5"/>
  <c r="H39" i="4"/>
  <c r="AC39" i="4" s="1"/>
  <c r="P49" i="4"/>
  <c r="AK49" i="4" s="1"/>
  <c r="P87" i="19"/>
  <c r="I38" i="4"/>
  <c r="AD38" i="4" s="1"/>
  <c r="O6" i="25"/>
  <c r="O11" i="25" s="1"/>
  <c r="N13" i="25"/>
  <c r="N18" i="25" s="1"/>
  <c r="N28" i="11"/>
  <c r="N29" i="11" s="1"/>
  <c r="N40" i="11" s="1"/>
  <c r="N47" i="11" s="1"/>
  <c r="N53" i="11" s="1"/>
  <c r="M29" i="11"/>
  <c r="M40" i="11" s="1"/>
  <c r="M47" i="11" s="1"/>
  <c r="M53" i="11" s="1"/>
  <c r="I39" i="5"/>
  <c r="I35" i="4"/>
  <c r="AD35" i="4" s="1"/>
  <c r="N23" i="15"/>
  <c r="N24" i="15" s="1"/>
  <c r="N26" i="15" s="1"/>
  <c r="N101" i="1" s="1"/>
  <c r="N68" i="9" s="1"/>
  <c r="N70" i="9" s="1"/>
  <c r="N53" i="15"/>
  <c r="N45" i="15"/>
  <c r="N77" i="1" s="1"/>
  <c r="P26" i="5" s="1"/>
  <c r="N52" i="15"/>
  <c r="K33" i="5"/>
  <c r="K27" i="4"/>
  <c r="AF27" i="4" s="1"/>
  <c r="E5" i="8"/>
  <c r="E15" i="8" s="1"/>
  <c r="E87" i="1" s="1"/>
  <c r="G45" i="5" s="1"/>
  <c r="G44" i="4"/>
  <c r="H185" i="12"/>
  <c r="H187" i="12" s="1"/>
  <c r="H174" i="12"/>
  <c r="H4" i="8"/>
  <c r="H10" i="8" s="1"/>
  <c r="H11" i="8" s="1"/>
  <c r="H86" i="1" s="1"/>
  <c r="J35" i="5" s="1"/>
  <c r="J38" i="5" s="1"/>
  <c r="J33" i="4"/>
  <c r="AE33" i="4" s="1"/>
  <c r="H182" i="12"/>
  <c r="H179" i="12"/>
  <c r="H175" i="12"/>
  <c r="H151" i="12"/>
  <c r="H176" i="12"/>
  <c r="H153" i="12"/>
  <c r="H165" i="12"/>
  <c r="H171" i="12"/>
  <c r="H164" i="12"/>
  <c r="H178" i="12"/>
  <c r="H177" i="12"/>
  <c r="H156" i="12"/>
  <c r="H152" i="12"/>
  <c r="H166" i="12"/>
  <c r="H149" i="12"/>
  <c r="H160" i="12"/>
  <c r="H180" i="12"/>
  <c r="H170" i="12"/>
  <c r="H181" i="12"/>
  <c r="H163" i="12"/>
  <c r="H169" i="12"/>
  <c r="H154" i="12"/>
  <c r="H161" i="12"/>
  <c r="H173" i="12"/>
  <c r="H167" i="12"/>
  <c r="H157" i="12"/>
  <c r="H172" i="12"/>
  <c r="H168" i="12"/>
  <c r="H150" i="12"/>
  <c r="H155" i="12"/>
  <c r="H159" i="12"/>
  <c r="H148" i="12"/>
  <c r="H158" i="12"/>
  <c r="H162" i="12"/>
  <c r="E44" i="5"/>
  <c r="E39" i="4"/>
  <c r="N86" i="19"/>
  <c r="K15" i="1"/>
  <c r="P86" i="19"/>
  <c r="M15" i="1"/>
  <c r="F38" i="4"/>
  <c r="M86" i="19"/>
  <c r="J15" i="1"/>
  <c r="M87" i="19"/>
  <c r="L27" i="5"/>
  <c r="L5" i="4"/>
  <c r="AG5" i="4" s="1"/>
  <c r="J38" i="4" l="1"/>
  <c r="AE38" i="4" s="1"/>
  <c r="M72" i="9"/>
  <c r="M73" i="9" s="1"/>
  <c r="L82" i="1"/>
  <c r="N5" i="5" s="1"/>
  <c r="L27" i="4"/>
  <c r="AG27" i="4" s="1"/>
  <c r="L33" i="5"/>
  <c r="J39" i="5"/>
  <c r="J35" i="4"/>
  <c r="AE35" i="4" s="1"/>
  <c r="P25" i="5"/>
  <c r="P25" i="4" s="1"/>
  <c r="AK25" i="4" s="1"/>
  <c r="P26" i="4"/>
  <c r="AK26" i="4" s="1"/>
  <c r="F21" i="9"/>
  <c r="H44" i="4"/>
  <c r="AC44" i="4" s="1"/>
  <c r="F5" i="8"/>
  <c r="F15" i="8" s="1"/>
  <c r="F87" i="1" s="1"/>
  <c r="H45" i="5" s="1"/>
  <c r="P6" i="25"/>
  <c r="P11" i="25" s="1"/>
  <c r="O13" i="25"/>
  <c r="O18" i="25" s="1"/>
  <c r="M27" i="5"/>
  <c r="M5" i="4"/>
  <c r="AH5" i="4" s="1"/>
  <c r="C5" i="8"/>
  <c r="C15" i="8" s="1"/>
  <c r="C87" i="1" s="1"/>
  <c r="E45" i="5" s="1"/>
  <c r="E44" i="4"/>
  <c r="I39" i="4"/>
  <c r="AD39" i="4" s="1"/>
  <c r="I44" i="5"/>
  <c r="G45" i="4"/>
  <c r="G51" i="5"/>
  <c r="G51" i="4" s="1"/>
  <c r="G50" i="5"/>
  <c r="H184" i="12"/>
  <c r="J47" i="5" s="1"/>
  <c r="J47" i="4" s="1"/>
  <c r="AE47" i="4" s="1"/>
  <c r="I185" i="12"/>
  <c r="I187" i="12" s="1"/>
  <c r="I174" i="12"/>
  <c r="K33" i="4"/>
  <c r="AF33" i="4" s="1"/>
  <c r="I4" i="8"/>
  <c r="I10" i="8" s="1"/>
  <c r="I11" i="8" s="1"/>
  <c r="I86" i="1" s="1"/>
  <c r="K35" i="5" s="1"/>
  <c r="I179" i="12"/>
  <c r="I182" i="12"/>
  <c r="I175" i="12"/>
  <c r="I153" i="12"/>
  <c r="I165" i="12"/>
  <c r="I176" i="12"/>
  <c r="I151" i="12"/>
  <c r="I156" i="12"/>
  <c r="I171" i="12"/>
  <c r="I177" i="12"/>
  <c r="I178" i="12"/>
  <c r="I164" i="12"/>
  <c r="I152" i="12"/>
  <c r="I163" i="12"/>
  <c r="I169" i="12"/>
  <c r="I180" i="12"/>
  <c r="I166" i="12"/>
  <c r="I149" i="12"/>
  <c r="I173" i="12"/>
  <c r="I161" i="12"/>
  <c r="I170" i="12"/>
  <c r="I154" i="12"/>
  <c r="I157" i="12"/>
  <c r="I160" i="12"/>
  <c r="I181" i="12"/>
  <c r="I167" i="12"/>
  <c r="I162" i="12"/>
  <c r="I158" i="12"/>
  <c r="I150" i="12"/>
  <c r="I168" i="12"/>
  <c r="I159" i="12"/>
  <c r="I172" i="12"/>
  <c r="I155" i="12"/>
  <c r="I148" i="12"/>
  <c r="D5" i="8"/>
  <c r="D15" i="8" s="1"/>
  <c r="D87" i="1" s="1"/>
  <c r="F45" i="5" s="1"/>
  <c r="F44" i="4"/>
  <c r="N72" i="9" l="1"/>
  <c r="N73" i="9" s="1"/>
  <c r="N82" i="1" s="1"/>
  <c r="P5" i="5" s="1"/>
  <c r="M82" i="1"/>
  <c r="O5" i="5" s="1"/>
  <c r="P13" i="25"/>
  <c r="P18" i="25" s="1"/>
  <c r="Q6" i="25"/>
  <c r="Q11" i="25" s="1"/>
  <c r="Q13" i="25" s="1"/>
  <c r="Q18" i="25" s="1"/>
  <c r="J39" i="4"/>
  <c r="AE39" i="4" s="1"/>
  <c r="J44" i="5"/>
  <c r="K35" i="4"/>
  <c r="AF35" i="4" s="1"/>
  <c r="I44" i="4"/>
  <c r="AD44" i="4" s="1"/>
  <c r="G5" i="8"/>
  <c r="G15" i="8" s="1"/>
  <c r="G87" i="1" s="1"/>
  <c r="I45" i="5" s="1"/>
  <c r="H45" i="4"/>
  <c r="AC45" i="4" s="1"/>
  <c r="H51" i="5"/>
  <c r="H51" i="4" s="1"/>
  <c r="AC51" i="4" s="1"/>
  <c r="H50" i="5"/>
  <c r="J185" i="12"/>
  <c r="J187" i="12" s="1"/>
  <c r="J174" i="12"/>
  <c r="J4" i="8"/>
  <c r="J10" i="8" s="1"/>
  <c r="J11" i="8" s="1"/>
  <c r="J86" i="1" s="1"/>
  <c r="L35" i="5" s="1"/>
  <c r="L38" i="5" s="1"/>
  <c r="L33" i="4"/>
  <c r="AG33" i="4" s="1"/>
  <c r="J182" i="12"/>
  <c r="J179" i="12"/>
  <c r="J176" i="12"/>
  <c r="J151" i="12"/>
  <c r="J153" i="12"/>
  <c r="J175" i="12"/>
  <c r="J165" i="12"/>
  <c r="J164" i="12"/>
  <c r="J152" i="12"/>
  <c r="J171" i="12"/>
  <c r="J178" i="12"/>
  <c r="J177" i="12"/>
  <c r="J156" i="12"/>
  <c r="J161" i="12"/>
  <c r="J166" i="12"/>
  <c r="J149" i="12"/>
  <c r="J181" i="12"/>
  <c r="J160" i="12"/>
  <c r="J154" i="12"/>
  <c r="J169" i="12"/>
  <c r="J167" i="12"/>
  <c r="J173" i="12"/>
  <c r="J157" i="12"/>
  <c r="J170" i="12"/>
  <c r="J180" i="12"/>
  <c r="J163" i="12"/>
  <c r="J168" i="12"/>
  <c r="J162" i="12"/>
  <c r="J158" i="12"/>
  <c r="J155" i="12"/>
  <c r="J159" i="12"/>
  <c r="J148" i="12"/>
  <c r="J172" i="12"/>
  <c r="J150" i="12"/>
  <c r="K38" i="5"/>
  <c r="K39" i="5" s="1"/>
  <c r="N5" i="4"/>
  <c r="AI5" i="4" s="1"/>
  <c r="N27" i="5"/>
  <c r="E45" i="4"/>
  <c r="E51" i="5"/>
  <c r="E51" i="4" s="1"/>
  <c r="E50" i="5"/>
  <c r="F45" i="4"/>
  <c r="F50" i="5"/>
  <c r="F51" i="5"/>
  <c r="F51" i="4" s="1"/>
  <c r="I184" i="12"/>
  <c r="K47" i="5" s="1"/>
  <c r="K47" i="4" s="1"/>
  <c r="AF47" i="4" s="1"/>
  <c r="G50" i="4"/>
  <c r="G52" i="5"/>
  <c r="G52" i="4" s="1"/>
  <c r="M27" i="4"/>
  <c r="AH27" i="4" s="1"/>
  <c r="M33" i="5"/>
  <c r="K39" i="4" l="1"/>
  <c r="AF39" i="4" s="1"/>
  <c r="K44" i="5"/>
  <c r="P5" i="4"/>
  <c r="AK5" i="4" s="1"/>
  <c r="P27" i="5"/>
  <c r="K38" i="4"/>
  <c r="AF38" i="4" s="1"/>
  <c r="H50" i="4"/>
  <c r="AC50" i="4" s="1"/>
  <c r="H52" i="5"/>
  <c r="H5" i="8"/>
  <c r="H15" i="8" s="1"/>
  <c r="H87" i="1" s="1"/>
  <c r="J45" i="5" s="1"/>
  <c r="J44" i="4"/>
  <c r="AE44" i="4" s="1"/>
  <c r="F50" i="4"/>
  <c r="F52" i="5"/>
  <c r="F52" i="4" s="1"/>
  <c r="E50" i="4"/>
  <c r="E52" i="5"/>
  <c r="E52" i="4" s="1"/>
  <c r="K185" i="12"/>
  <c r="K187" i="12" s="1"/>
  <c r="K174" i="12"/>
  <c r="K4" i="8"/>
  <c r="K10" i="8" s="1"/>
  <c r="K11" i="8" s="1"/>
  <c r="K86" i="1" s="1"/>
  <c r="M35" i="5" s="1"/>
  <c r="M38" i="5" s="1"/>
  <c r="M33" i="4"/>
  <c r="AH33" i="4" s="1"/>
  <c r="K179" i="12"/>
  <c r="K182" i="12"/>
  <c r="K153" i="12"/>
  <c r="K176" i="12"/>
  <c r="K151" i="12"/>
  <c r="K165" i="12"/>
  <c r="K175" i="12"/>
  <c r="K178" i="12"/>
  <c r="K171" i="12"/>
  <c r="K164" i="12"/>
  <c r="K152" i="12"/>
  <c r="K177" i="12"/>
  <c r="K156" i="12"/>
  <c r="K180" i="12"/>
  <c r="K170" i="12"/>
  <c r="K157" i="12"/>
  <c r="K154" i="12"/>
  <c r="K160" i="12"/>
  <c r="K161" i="12"/>
  <c r="K167" i="12"/>
  <c r="K163" i="12"/>
  <c r="K181" i="12"/>
  <c r="K173" i="12"/>
  <c r="K169" i="12"/>
  <c r="K166" i="12"/>
  <c r="K149" i="12"/>
  <c r="K162" i="12"/>
  <c r="K172" i="12"/>
  <c r="K168" i="12"/>
  <c r="K150" i="12"/>
  <c r="K148" i="12"/>
  <c r="K158" i="12"/>
  <c r="K159" i="12"/>
  <c r="K155" i="12"/>
  <c r="C11" i="2"/>
  <c r="L38" i="4"/>
  <c r="AG38" i="4" s="1"/>
  <c r="O5" i="4"/>
  <c r="AJ5" i="4" s="1"/>
  <c r="O27" i="5"/>
  <c r="I45" i="4"/>
  <c r="AD45" i="4" s="1"/>
  <c r="I50" i="5"/>
  <c r="I51" i="5"/>
  <c r="L39" i="5"/>
  <c r="L35" i="4"/>
  <c r="AG35" i="4" s="1"/>
  <c r="J184" i="12"/>
  <c r="L47" i="5" s="1"/>
  <c r="L47" i="4" s="1"/>
  <c r="AG47" i="4" s="1"/>
  <c r="N33" i="5"/>
  <c r="N27" i="4"/>
  <c r="AI27" i="4" s="1"/>
  <c r="D11" i="2" l="1"/>
  <c r="M38" i="4"/>
  <c r="AH38" i="4" s="1"/>
  <c r="H53" i="5"/>
  <c r="H53" i="4" s="1"/>
  <c r="AC53" i="4" s="1"/>
  <c r="H52" i="4"/>
  <c r="AC52" i="4" s="1"/>
  <c r="C17" i="2"/>
  <c r="L44" i="5"/>
  <c r="L39" i="4"/>
  <c r="AG39" i="4" s="1"/>
  <c r="J11" i="2"/>
  <c r="I51" i="4"/>
  <c r="AD51" i="4" s="1"/>
  <c r="E3" i="2"/>
  <c r="C14" i="2" s="1"/>
  <c r="I50" i="4"/>
  <c r="AD50" i="4" s="1"/>
  <c r="I52" i="5"/>
  <c r="P33" i="5"/>
  <c r="P27" i="4"/>
  <c r="AK27" i="4" s="1"/>
  <c r="L185" i="12"/>
  <c r="L187" i="12" s="1"/>
  <c r="L174" i="12"/>
  <c r="L4" i="8"/>
  <c r="L10" i="8" s="1"/>
  <c r="L11" i="8" s="1"/>
  <c r="L86" i="1" s="1"/>
  <c r="N35" i="5" s="1"/>
  <c r="N33" i="4"/>
  <c r="AI33" i="4" s="1"/>
  <c r="L182" i="12"/>
  <c r="L179" i="12"/>
  <c r="L165" i="12"/>
  <c r="L175" i="12"/>
  <c r="L153" i="12"/>
  <c r="L176" i="12"/>
  <c r="L151" i="12"/>
  <c r="L164" i="12"/>
  <c r="L156" i="12"/>
  <c r="L152" i="12"/>
  <c r="L171" i="12"/>
  <c r="L178" i="12"/>
  <c r="L177" i="12"/>
  <c r="L181" i="12"/>
  <c r="L154" i="12"/>
  <c r="L180" i="12"/>
  <c r="L149" i="12"/>
  <c r="L161" i="12"/>
  <c r="L166" i="12"/>
  <c r="L173" i="12"/>
  <c r="L157" i="12"/>
  <c r="L169" i="12"/>
  <c r="L163" i="12"/>
  <c r="L167" i="12"/>
  <c r="L160" i="12"/>
  <c r="L170" i="12"/>
  <c r="L172" i="12"/>
  <c r="L155" i="12"/>
  <c r="L159" i="12"/>
  <c r="L150" i="12"/>
  <c r="L162" i="12"/>
  <c r="L168" i="12"/>
  <c r="L158" i="12"/>
  <c r="L148" i="12"/>
  <c r="O33" i="5"/>
  <c r="O27" i="4"/>
  <c r="AJ27" i="4" s="1"/>
  <c r="K184" i="12"/>
  <c r="M47" i="5" s="1"/>
  <c r="M47" i="4" s="1"/>
  <c r="AH47" i="4" s="1"/>
  <c r="I5" i="8"/>
  <c r="I15" i="8" s="1"/>
  <c r="I87" i="1" s="1"/>
  <c r="K45" i="5" s="1"/>
  <c r="K44" i="4"/>
  <c r="AF44" i="4" s="1"/>
  <c r="M39" i="5"/>
  <c r="M35" i="4"/>
  <c r="AH35" i="4" s="1"/>
  <c r="J45" i="4"/>
  <c r="AE45" i="4" s="1"/>
  <c r="J51" i="5"/>
  <c r="J51" i="4" s="1"/>
  <c r="AE51" i="4" s="1"/>
  <c r="J50" i="5"/>
  <c r="I53" i="5" l="1"/>
  <c r="I52" i="4"/>
  <c r="AD52" i="4" s="1"/>
  <c r="C13" i="2"/>
  <c r="M39" i="4"/>
  <c r="AH39" i="4" s="1"/>
  <c r="M44" i="5"/>
  <c r="K11" i="2"/>
  <c r="C12" i="2"/>
  <c r="N35" i="4"/>
  <c r="AI35" i="4" s="1"/>
  <c r="C18" i="2"/>
  <c r="C19" i="2"/>
  <c r="C20" i="2"/>
  <c r="K45" i="4"/>
  <c r="AF45" i="4" s="1"/>
  <c r="K50" i="5"/>
  <c r="K51" i="5"/>
  <c r="K51" i="4" s="1"/>
  <c r="AF51" i="4" s="1"/>
  <c r="N38" i="5"/>
  <c r="J50" i="4"/>
  <c r="AE50" i="4" s="1"/>
  <c r="J52" i="5"/>
  <c r="J17" i="2"/>
  <c r="J5" i="8"/>
  <c r="J15" i="8" s="1"/>
  <c r="J87" i="1" s="1"/>
  <c r="L45" i="5" s="1"/>
  <c r="L44" i="4"/>
  <c r="AG44" i="4" s="1"/>
  <c r="J21" i="9"/>
  <c r="D17" i="2"/>
  <c r="D12" i="2"/>
  <c r="D13" i="2"/>
  <c r="D14" i="2"/>
  <c r="M185" i="12"/>
  <c r="M187" i="12" s="1"/>
  <c r="M174" i="12"/>
  <c r="M4" i="8"/>
  <c r="M10" i="8" s="1"/>
  <c r="M11" i="8" s="1"/>
  <c r="M86" i="1" s="1"/>
  <c r="O35" i="5" s="1"/>
  <c r="O33" i="4"/>
  <c r="AJ33" i="4" s="1"/>
  <c r="M182" i="12"/>
  <c r="M179" i="12"/>
  <c r="M176" i="12"/>
  <c r="M151" i="12"/>
  <c r="M175" i="12"/>
  <c r="M165" i="12"/>
  <c r="M153" i="12"/>
  <c r="M152" i="12"/>
  <c r="M177" i="12"/>
  <c r="M156" i="12"/>
  <c r="M178" i="12"/>
  <c r="M171" i="12"/>
  <c r="M164" i="12"/>
  <c r="M149" i="12"/>
  <c r="M169" i="12"/>
  <c r="M180" i="12"/>
  <c r="M157" i="12"/>
  <c r="M160" i="12"/>
  <c r="M166" i="12"/>
  <c r="M181" i="12"/>
  <c r="M167" i="12"/>
  <c r="M170" i="12"/>
  <c r="M173" i="12"/>
  <c r="M163" i="12"/>
  <c r="M161" i="12"/>
  <c r="M154" i="12"/>
  <c r="M172" i="12"/>
  <c r="M159" i="12"/>
  <c r="M168" i="12"/>
  <c r="M162" i="12"/>
  <c r="M150" i="12"/>
  <c r="M155" i="12"/>
  <c r="M158" i="12"/>
  <c r="M148" i="12"/>
  <c r="L184" i="12"/>
  <c r="N47" i="5" s="1"/>
  <c r="N47" i="4" s="1"/>
  <c r="AI47" i="4" s="1"/>
  <c r="N185" i="12"/>
  <c r="N187" i="12" s="1"/>
  <c r="N174" i="12"/>
  <c r="N4" i="8"/>
  <c r="N10" i="8" s="1"/>
  <c r="N11" i="8" s="1"/>
  <c r="N86" i="1" s="1"/>
  <c r="P35" i="5" s="1"/>
  <c r="P33" i="4"/>
  <c r="AK33" i="4" s="1"/>
  <c r="N182" i="12"/>
  <c r="N179" i="12"/>
  <c r="N176" i="12"/>
  <c r="N151" i="12"/>
  <c r="N153" i="12"/>
  <c r="N165" i="12"/>
  <c r="N175" i="12"/>
  <c r="N164" i="12"/>
  <c r="N152" i="12"/>
  <c r="N171" i="12"/>
  <c r="N178" i="12"/>
  <c r="N156" i="12"/>
  <c r="N177" i="12"/>
  <c r="N181" i="12"/>
  <c r="N166" i="12"/>
  <c r="N154" i="12"/>
  <c r="N173" i="12"/>
  <c r="N161" i="12"/>
  <c r="N163" i="12"/>
  <c r="N170" i="12"/>
  <c r="N160" i="12"/>
  <c r="N157" i="12"/>
  <c r="N167" i="12"/>
  <c r="N149" i="12"/>
  <c r="N180" i="12"/>
  <c r="N169" i="12"/>
  <c r="N158" i="12"/>
  <c r="N155" i="12"/>
  <c r="N162" i="12"/>
  <c r="N150" i="12"/>
  <c r="N168" i="12"/>
  <c r="N159" i="12"/>
  <c r="N172" i="12"/>
  <c r="N148" i="12"/>
  <c r="L45" i="4" l="1"/>
  <c r="AG45" i="4" s="1"/>
  <c r="L51" i="5"/>
  <c r="L50" i="5"/>
  <c r="K50" i="4"/>
  <c r="AF50" i="4" s="1"/>
  <c r="K52" i="5"/>
  <c r="K13" i="2"/>
  <c r="K17" i="2"/>
  <c r="N184" i="12"/>
  <c r="P47" i="5" s="1"/>
  <c r="P47" i="4" s="1"/>
  <c r="AK47" i="4" s="1"/>
  <c r="M184" i="12"/>
  <c r="O47" i="5" s="1"/>
  <c r="O47" i="4" s="1"/>
  <c r="AJ47" i="4" s="1"/>
  <c r="K5" i="8"/>
  <c r="K15" i="8" s="1"/>
  <c r="K87" i="1" s="1"/>
  <c r="M45" i="5" s="1"/>
  <c r="M44" i="4"/>
  <c r="AH44" i="4" s="1"/>
  <c r="K21" i="9"/>
  <c r="D18" i="2"/>
  <c r="D19" i="2"/>
  <c r="D20" i="2"/>
  <c r="J53" i="5"/>
  <c r="J53" i="4" s="1"/>
  <c r="AE53" i="4" s="1"/>
  <c r="J52" i="4"/>
  <c r="AE52" i="4" s="1"/>
  <c r="P35" i="4"/>
  <c r="AK35" i="4" s="1"/>
  <c r="O35" i="4"/>
  <c r="AJ35" i="4" s="1"/>
  <c r="P38" i="5"/>
  <c r="P39" i="5" s="1"/>
  <c r="O38" i="5"/>
  <c r="N38" i="4"/>
  <c r="AI38" i="4" s="1"/>
  <c r="E11" i="2"/>
  <c r="N39" i="5"/>
  <c r="L3" i="2"/>
  <c r="J19" i="2" s="1"/>
  <c r="I53" i="4"/>
  <c r="AD53" i="4" s="1"/>
  <c r="P44" i="5" l="1"/>
  <c r="N11" i="2"/>
  <c r="P39" i="4"/>
  <c r="AK39" i="4" s="1"/>
  <c r="K52" i="4"/>
  <c r="AF52" i="4" s="1"/>
  <c r="K53" i="5"/>
  <c r="K53" i="4" s="1"/>
  <c r="AF53" i="4" s="1"/>
  <c r="M45" i="4"/>
  <c r="AH45" i="4" s="1"/>
  <c r="M51" i="5"/>
  <c r="M50" i="5"/>
  <c r="J18" i="2"/>
  <c r="P38" i="4"/>
  <c r="AK38" i="4" s="1"/>
  <c r="G11" i="2"/>
  <c r="J20" i="2"/>
  <c r="O38" i="4"/>
  <c r="AJ38" i="4" s="1"/>
  <c r="F11" i="2"/>
  <c r="J13" i="2"/>
  <c r="J14" i="2"/>
  <c r="J12" i="2"/>
  <c r="O39" i="5"/>
  <c r="K14" i="2"/>
  <c r="L50" i="4"/>
  <c r="AG50" i="4" s="1"/>
  <c r="L52" i="5"/>
  <c r="K18" i="2"/>
  <c r="K19" i="2"/>
  <c r="K20" i="2"/>
  <c r="N44" i="5"/>
  <c r="L11" i="2"/>
  <c r="N39" i="4"/>
  <c r="AI39" i="4" s="1"/>
  <c r="L51" i="4"/>
  <c r="AG51" i="4" s="1"/>
  <c r="C23" i="2"/>
  <c r="E14" i="2"/>
  <c r="E17" i="2"/>
  <c r="E12" i="2"/>
  <c r="E13" i="2"/>
  <c r="K12" i="2"/>
  <c r="F14" i="2" l="1"/>
  <c r="F13" i="2"/>
  <c r="F17" i="2"/>
  <c r="F12" i="2"/>
  <c r="M50" i="4"/>
  <c r="AH50" i="4" s="1"/>
  <c r="M52" i="5"/>
  <c r="C24" i="2"/>
  <c r="C25" i="2"/>
  <c r="C26" i="2"/>
  <c r="L52" i="4"/>
  <c r="AG52" i="4" s="1"/>
  <c r="L53" i="5"/>
  <c r="D23" i="2"/>
  <c r="M51" i="4"/>
  <c r="AH51" i="4" s="1"/>
  <c r="G13" i="2"/>
  <c r="G14" i="2"/>
  <c r="G12" i="2"/>
  <c r="G17" i="2"/>
  <c r="O44" i="5"/>
  <c r="M11" i="2"/>
  <c r="N13" i="2" s="1"/>
  <c r="O39" i="4"/>
  <c r="AJ39" i="4" s="1"/>
  <c r="L5" i="8"/>
  <c r="L15" i="8" s="1"/>
  <c r="L87" i="1" s="1"/>
  <c r="N45" i="5" s="1"/>
  <c r="N44" i="4"/>
  <c r="AI44" i="4" s="1"/>
  <c r="L21" i="9"/>
  <c r="N17" i="2"/>
  <c r="N14" i="2"/>
  <c r="N12" i="2"/>
  <c r="L12" i="2"/>
  <c r="L14" i="2"/>
  <c r="L17" i="2"/>
  <c r="L13" i="2"/>
  <c r="E20" i="2"/>
  <c r="E19" i="2"/>
  <c r="E18" i="2"/>
  <c r="N5" i="8"/>
  <c r="N15" i="8" s="1"/>
  <c r="N87" i="1" s="1"/>
  <c r="P45" i="5" s="1"/>
  <c r="P44" i="4"/>
  <c r="AK44" i="4" s="1"/>
  <c r="N21" i="9"/>
  <c r="M52" i="4" l="1"/>
  <c r="AH52" i="4" s="1"/>
  <c r="M53" i="5"/>
  <c r="P45" i="4"/>
  <c r="AK45" i="4" s="1"/>
  <c r="P50" i="5"/>
  <c r="P51" i="5"/>
  <c r="M17" i="2"/>
  <c r="M12" i="2"/>
  <c r="M14" i="2"/>
  <c r="M13" i="2"/>
  <c r="L53" i="4"/>
  <c r="AG53" i="4" s="1"/>
  <c r="J23" i="2"/>
  <c r="F20" i="2"/>
  <c r="F19" i="2"/>
  <c r="F18" i="2"/>
  <c r="M5" i="8"/>
  <c r="M15" i="8" s="1"/>
  <c r="M87" i="1" s="1"/>
  <c r="O45" i="5" s="1"/>
  <c r="O44" i="4"/>
  <c r="AJ44" i="4" s="1"/>
  <c r="M21" i="9"/>
  <c r="N20" i="2"/>
  <c r="N18" i="2"/>
  <c r="L18" i="2"/>
  <c r="L20" i="2"/>
  <c r="L19" i="2"/>
  <c r="N45" i="4"/>
  <c r="AI45" i="4" s="1"/>
  <c r="N50" i="5"/>
  <c r="N51" i="5"/>
  <c r="D25" i="2"/>
  <c r="D26" i="2"/>
  <c r="D24" i="2"/>
  <c r="G19" i="2"/>
  <c r="G20" i="2"/>
  <c r="G18" i="2"/>
  <c r="O45" i="4" l="1"/>
  <c r="AJ45" i="4" s="1"/>
  <c r="O50" i="5"/>
  <c r="O51" i="5"/>
  <c r="M18" i="2"/>
  <c r="M20" i="2"/>
  <c r="M19" i="2"/>
  <c r="P51" i="4"/>
  <c r="AK51" i="4" s="1"/>
  <c r="G23" i="2"/>
  <c r="P50" i="4"/>
  <c r="AK50" i="4" s="1"/>
  <c r="P52" i="5"/>
  <c r="N19" i="2"/>
  <c r="E23" i="2"/>
  <c r="N51" i="4"/>
  <c r="AI51" i="4" s="1"/>
  <c r="M53" i="4"/>
  <c r="AH53" i="4" s="1"/>
  <c r="K23" i="2"/>
  <c r="J25" i="2"/>
  <c r="J26" i="2"/>
  <c r="J24" i="2"/>
  <c r="N50" i="4"/>
  <c r="AI50" i="4" s="1"/>
  <c r="N52" i="5"/>
  <c r="K24" i="2" l="1"/>
  <c r="K25" i="2"/>
  <c r="K26" i="2"/>
  <c r="O51" i="4"/>
  <c r="AJ51" i="4" s="1"/>
  <c r="F23" i="2"/>
  <c r="G25" i="2" s="1"/>
  <c r="N53" i="5"/>
  <c r="N52" i="4"/>
  <c r="AI52" i="4" s="1"/>
  <c r="E26" i="2"/>
  <c r="E25" i="2"/>
  <c r="E24" i="2"/>
  <c r="P53" i="5"/>
  <c r="P52" i="4"/>
  <c r="AK52" i="4" s="1"/>
  <c r="O50" i="4"/>
  <c r="AJ50" i="4" s="1"/>
  <c r="O52" i="5"/>
  <c r="G26" i="2"/>
  <c r="G24" i="2"/>
  <c r="F26" i="2" l="1"/>
  <c r="F25" i="2"/>
  <c r="F24" i="2"/>
  <c r="N53" i="4"/>
  <c r="AI53" i="4" s="1"/>
  <c r="L23" i="2"/>
  <c r="O53" i="5"/>
  <c r="O52" i="4"/>
  <c r="AJ52" i="4" s="1"/>
  <c r="P53" i="4"/>
  <c r="AK53" i="4" s="1"/>
  <c r="N23" i="2"/>
  <c r="O53" i="4" l="1"/>
  <c r="AJ53" i="4" s="1"/>
  <c r="M23" i="2"/>
  <c r="N25" i="2" s="1"/>
  <c r="L24" i="2"/>
  <c r="L26" i="2"/>
  <c r="L25" i="2"/>
  <c r="N24" i="2"/>
  <c r="N26" i="2"/>
  <c r="M24" i="2" l="1"/>
  <c r="M26" i="2"/>
  <c r="M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T6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<sst xmlns="http://schemas.openxmlformats.org/spreadsheetml/2006/main" count="2949" uniqueCount="1136">
  <si>
    <t>i/o</t>
  </si>
  <si>
    <t>field_name</t>
  </si>
  <si>
    <t>index</t>
  </si>
  <si>
    <t>CY Project Time Allocation</t>
  </si>
  <si>
    <t>Hotel Management</t>
  </si>
  <si>
    <t>unalloc</t>
  </si>
  <si>
    <t>alloc</t>
  </si>
  <si>
    <t>lgh</t>
  </si>
  <si>
    <t>reimb</t>
  </si>
  <si>
    <t>BDA</t>
  </si>
  <si>
    <t>Aus</t>
  </si>
  <si>
    <t>Turks</t>
  </si>
  <si>
    <t>ELBOW</t>
  </si>
  <si>
    <t>sat</t>
  </si>
  <si>
    <t>Frith</t>
  </si>
  <si>
    <t>ROOTS</t>
  </si>
  <si>
    <t>FO</t>
  </si>
  <si>
    <t>i</t>
  </si>
  <si>
    <t>time_alloc</t>
  </si>
  <si>
    <t>hm_sk</t>
  </si>
  <si>
    <t>hm_lm</t>
  </si>
  <si>
    <t>hm_dd</t>
  </si>
  <si>
    <t>hm_cd</t>
  </si>
  <si>
    <t>hm_philanthropy</t>
  </si>
  <si>
    <t>hm_tm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</si>
  <si>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</si>
  <si>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</si>
  <si>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</si>
  <si>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</si>
  <si>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</si>
  <si>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</si>
  <si>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</si>
  <si>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</si>
  <si>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</si>
  <si>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</si>
  <si>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</si>
  <si>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</si>
  <si>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Bi&amp;F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</si>
  <si>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</si>
  <si>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</si>
  <si>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</si>
  <si>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</si>
  <si>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</si>
  <si>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</si>
  <si>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</si>
  <si>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</si>
  <si>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</si>
  <si>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</si>
  <si>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</si>
  <si>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</si>
  <si>
    <t>Year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</si>
  <si>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</si>
  <si>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</si>
  <si>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</si>
  <si>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</si>
  <si>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</si>
  <si>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</si>
  <si>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</si>
  <si>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</si>
  <si>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</si>
  <si>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</si>
  <si>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</si>
  <si>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</si>
  <si>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</si>
  <si>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</si>
  <si>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</si>
  <si>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</si>
  <si>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</si>
  <si>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</si>
  <si>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</si>
  <si>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</si>
  <si>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</si>
  <si>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</si>
  <si>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</si>
  <si>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</si>
  <si>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</si>
  <si>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</si>
  <si>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</si>
  <si>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</si>
  <si>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</si>
  <si>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</si>
  <si>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</si>
  <si>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</si>
  <si>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</si>
  <si>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</si>
  <si>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</si>
  <si>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</si>
  <si>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</si>
  <si>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</si>
  <si>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</si>
  <si>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</si>
  <si>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</si>
  <si>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</si>
  <si>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</si>
  <si>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</si>
  <si>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</si>
  <si>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</si>
  <si>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</si>
  <si>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</si>
  <si>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</si>
  <si>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</si>
  <si>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</si>
  <si>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</si>
  <si>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</si>
  <si>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</si>
  <si>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</si>
  <si>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</si>
  <si>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</si>
  <si>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</si>
  <si>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</si>
  <si>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</si>
  <si>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</si>
  <si>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</si>
  <si>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</si>
  <si>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</si>
  <si>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</si>
  <si>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</si>
  <si>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</si>
  <si>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</si>
  <si>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</si>
  <si>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</si>
  <si>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</si>
  <si>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</si>
  <si>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</si>
  <si>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</si>
  <si>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</si>
  <si>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</si>
  <si>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</si>
  <si>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Period</t>
  </si>
  <si>
    <t>Q4</t>
  </si>
  <si>
    <t>Q1</t>
  </si>
  <si>
    <t>Q2</t>
  </si>
  <si>
    <t>Q3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</si>
  <si>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</si>
  <si>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</si>
  <si>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</si>
  <si>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</si>
  <si>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</si>
  <si>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</si>
  <si>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</si>
  <si>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</si>
  <si>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</si>
  <si>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</si>
  <si>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</si>
  <si>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</si>
  <si>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</si>
  <si>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</si>
  <si>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</si>
  <si>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</si>
  <si>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</si>
  <si>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</si>
  <si>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</si>
  <si>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</si>
  <si>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</si>
  <si>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</si>
  <si>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</si>
  <si>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</si>
  <si>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</si>
  <si>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</si>
  <si>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</si>
  <si>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</si>
  <si>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</si>
  <si>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</si>
  <si>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</si>
  <si>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</si>
  <si>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</si>
  <si>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</si>
  <si>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</si>
  <si>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</si>
  <si>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</si>
  <si>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</si>
  <si>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</si>
  <si>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</si>
  <si>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</si>
  <si>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</si>
  <si>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</si>
  <si>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</si>
  <si>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</si>
  <si>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</si>
  <si>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</si>
  <si>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</si>
  <si>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</si>
  <si>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</si>
  <si>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</si>
  <si>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</si>
  <si>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</si>
  <si>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</si>
  <si>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</si>
  <si>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</si>
  <si>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</si>
  <si>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</si>
  <si>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</si>
  <si>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</si>
  <si>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</si>
  <si>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</si>
  <si>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</si>
  <si>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</si>
  <si>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</si>
  <si>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</si>
  <si>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</si>
  <si>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</si>
  <si>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</si>
  <si>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</si>
  <si>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</si>
  <si>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</si>
  <si>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</si>
  <si>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</si>
  <si>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</si>
  <si>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</si>
  <si>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</si>
  <si>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</si>
  <si>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</si>
  <si>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</si>
  <si>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</si>
  <si>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</si>
  <si>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</si>
  <si>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</si>
  <si>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</si>
  <si>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</si>
  <si>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</si>
  <si>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</si>
  <si>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</si>
  <si>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</si>
  <si>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</si>
  <si>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</si>
  <si>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</si>
  <si>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</si>
  <si>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</si>
  <si>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</si>
  <si>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</si>
  <si>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</si>
  <si>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</si>
  <si>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</si>
  <si>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</si>
  <si>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</si>
  <si>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</si>
  <si>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</si>
  <si>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</si>
  <si>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</si>
  <si>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</si>
  <si>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</si>
  <si>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</si>
  <si>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</si>
  <si>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</si>
  <si>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</si>
  <si>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</si>
  <si>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</si>
  <si>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</si>
  <si>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</si>
  <si>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</si>
  <si>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</si>
  <si>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</si>
  <si>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</si>
  <si>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</si>
  <si>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</si>
  <si>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</si>
  <si>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</si>
  <si>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</si>
  <si>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</si>
  <si>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</si>
  <si>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</si>
  <si>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</si>
  <si>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</si>
  <si>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</si>
  <si>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</si>
  <si>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</si>
  <si>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</si>
  <si>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</si>
  <si>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</si>
  <si>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</si>
  <si>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</si>
  <si>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</si>
  <si>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</si>
  <si>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</si>
  <si>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</si>
  <si>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</si>
  <si>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</si>
  <si>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</si>
  <si>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</si>
  <si>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</si>
  <si>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</si>
  <si>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</si>
  <si>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</si>
  <si>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</si>
  <si>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</si>
  <si>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</si>
  <si>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</si>
  <si>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</si>
  <si>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</si>
  <si>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</si>
  <si>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</si>
  <si>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</si>
  <si>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</si>
  <si>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</si>
  <si>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</si>
  <si>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</si>
  <si>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</si>
  <si>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</si>
  <si>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</si>
  <si>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</si>
  <si>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</si>
  <si>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</si>
  <si>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</si>
  <si>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</si>
  <si>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</si>
  <si>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</si>
  <si>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</si>
  <si>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</si>
  <si>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</si>
  <si>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</si>
  <si>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</si>
  <si>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</si>
  <si>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</si>
  <si>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</si>
  <si>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</si>
  <si>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</si>
  <si>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</si>
  <si>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</si>
  <si>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</si>
  <si>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</si>
  <si>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</si>
  <si>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</si>
  <si>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</si>
  <si>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</si>
  <si>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</si>
  <si>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</si>
  <si>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</si>
  <si>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</si>
  <si>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</si>
  <si>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</si>
  <si>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</si>
  <si>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</si>
  <si>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</si>
  <si>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</si>
  <si>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</si>
  <si>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</si>
  <si>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</si>
  <si>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</si>
  <si>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</si>
  <si>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</si>
  <si>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</si>
  <si>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</si>
  <si>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</si>
  <si>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</si>
  <si>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</si>
  <si>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</si>
  <si>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</si>
  <si>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</si>
  <si>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</si>
  <si>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</si>
  <si>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</si>
  <si>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</si>
  <si>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</si>
  <si>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</si>
  <si>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</si>
  <si>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</si>
  <si>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</si>
  <si>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</si>
  <si>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</si>
  <si>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</si>
  <si>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</si>
  <si>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</si>
  <si>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</si>
  <si>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</si>
  <si>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</si>
  <si>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</si>
  <si>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</si>
  <si>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</si>
  <si>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</si>
  <si>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</si>
  <si>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</si>
  <si>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</si>
  <si>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</si>
  <si>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</si>
  <si>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</si>
  <si>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</si>
  <si>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</si>
  <si>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</si>
  <si>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</si>
  <si>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</si>
  <si>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</si>
  <si>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</si>
  <si>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</si>
  <si>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</si>
  <si>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</si>
  <si>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</si>
  <si>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</si>
  <si>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</si>
  <si>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</si>
  <si>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</si>
  <si>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</si>
  <si>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</si>
  <si>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</si>
  <si>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</si>
  <si>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</si>
  <si>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</si>
  <si>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</si>
  <si>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</si>
  <si>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</si>
  <si>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</si>
  <si>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</si>
  <si>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</si>
  <si>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</si>
  <si>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</si>
  <si>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</si>
  <si>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</si>
  <si>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</si>
  <si>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</si>
  <si>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</si>
  <si>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</si>
  <si>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</si>
  <si>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</si>
  <si>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</si>
  <si>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</si>
  <si>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</si>
  <si>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</si>
  <si>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</si>
  <si>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</si>
  <si>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</si>
  <si>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</si>
  <si>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</si>
  <si>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</si>
  <si>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</si>
  <si>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</si>
  <si>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</si>
  <si>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</si>
  <si>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</si>
  <si>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</si>
  <si>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</si>
  <si>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</si>
  <si>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</si>
  <si>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</si>
  <si>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</si>
  <si>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</si>
  <si>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</si>
  <si>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</si>
  <si>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</si>
  <si>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</si>
  <si>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</si>
  <si>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</si>
  <si>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</si>
  <si>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</si>
  <si>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</si>
  <si>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</si>
  <si>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</si>
  <si>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</si>
  <si>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</si>
  <si>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</si>
  <si>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</si>
  <si>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</si>
  <si>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</si>
  <si>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</si>
  <si>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</si>
  <si>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</si>
  <si>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</si>
  <si>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</si>
  <si>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</si>
  <si>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</si>
  <si>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</si>
  <si>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</si>
  <si>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</si>
  <si>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</si>
  <si>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</si>
  <si>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</si>
  <si>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</si>
  <si>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</si>
  <si>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</si>
  <si>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</si>
  <si>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</si>
  <si>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</si>
  <si>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</si>
  <si>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</si>
  <si>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</si>
  <si>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</si>
  <si>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</si>
  <si>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</si>
  <si>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</si>
  <si>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</si>
  <si>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</si>
  <si>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</si>
  <si>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</si>
  <si>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</si>
  <si>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</si>
  <si>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</si>
  <si>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</si>
  <si>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</si>
  <si>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</si>
  <si>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</si>
  <si>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</si>
  <si>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</si>
  <si>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</si>
  <si>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</si>
  <si>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</si>
  <si>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</si>
  <si>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</si>
  <si>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</si>
  <si>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</si>
  <si>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</si>
  <si>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</si>
  <si>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</si>
  <si>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</si>
  <si>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</si>
  <si>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</si>
  <si>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</si>
  <si>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</si>
  <si>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</si>
  <si>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</si>
  <si>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</si>
  <si>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</si>
  <si>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</si>
  <si>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</si>
  <si>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</si>
  <si>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</si>
  <si>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</si>
  <si>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</si>
  <si>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</si>
  <si>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</si>
  <si>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</si>
  <si>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</si>
  <si>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</si>
  <si>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</si>
  <si>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</si>
  <si>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</si>
  <si>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</si>
  <si>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</si>
  <si>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</si>
  <si>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</si>
  <si>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</si>
  <si>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</si>
  <si>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</si>
  <si>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</si>
  <si>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</si>
  <si>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</si>
  <si>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</si>
  <si>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</si>
  <si>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</si>
  <si>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</si>
  <si>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</si>
  <si>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</si>
  <si>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</si>
  <si>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</si>
  <si>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</si>
  <si>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</si>
  <si>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</si>
  <si>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</si>
  <si>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</si>
  <si>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</si>
  <si>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</si>
  <si>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</si>
  <si>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</si>
  <si>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</si>
  <si>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</si>
  <si>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</si>
  <si>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</si>
  <si>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</si>
  <si>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</si>
  <si>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</si>
  <si>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</si>
  <si>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</si>
  <si>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</si>
  <si>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</si>
  <si>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</si>
  <si>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</si>
  <si>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</si>
  <si>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</si>
  <si>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</si>
  <si>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</si>
  <si>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</si>
  <si>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</si>
  <si>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</si>
  <si>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</si>
  <si>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</si>
  <si>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</si>
  <si>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</si>
  <si>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</si>
  <si>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</si>
  <si>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</si>
  <si>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</si>
  <si>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</si>
  <si>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</si>
  <si>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</si>
  <si>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</si>
  <si>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</si>
  <si>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</si>
  <si>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</si>
  <si>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</si>
  <si>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</si>
  <si>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</si>
  <si>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</si>
  <si>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</si>
  <si>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</si>
  <si>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</si>
  <si>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</si>
  <si>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</si>
  <si>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</si>
  <si>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</si>
  <si>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</si>
  <si>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</si>
  <si>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</si>
  <si>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</si>
  <si>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</si>
  <si>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</si>
  <si>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</si>
  <si>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</si>
  <si>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</si>
  <si>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</si>
  <si>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</si>
  <si>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</si>
  <si>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</si>
  <si>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</si>
  <si>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</si>
  <si>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</si>
  <si>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</si>
  <si>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</si>
  <si>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</si>
  <si>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</si>
  <si>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</si>
  <si>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</si>
  <si>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</si>
  <si>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</si>
  <si>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</si>
  <si>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</si>
  <si>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</si>
  <si>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</si>
  <si>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</si>
  <si>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</si>
  <si>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</si>
  <si>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</si>
  <si>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</si>
  <si>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</si>
  <si>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</si>
  <si>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</si>
  <si>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</si>
  <si>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</si>
  <si>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</si>
  <si>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</si>
  <si>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</si>
  <si>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</si>
  <si>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</si>
  <si>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</si>
  <si>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</si>
  <si>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</si>
  <si>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</si>
  <si>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</si>
  <si>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</si>
  <si>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</si>
  <si>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</si>
  <si>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</si>
  <si>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</si>
  <si>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</si>
  <si>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</si>
  <si>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</si>
  <si>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</si>
  <si>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</si>
  <si>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</si>
  <si>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</si>
  <si>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</si>
  <si>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</si>
  <si>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</si>
  <si>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</si>
  <si>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</si>
  <si>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</si>
  <si>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</si>
  <si>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</si>
  <si>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</si>
  <si>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</si>
  <si>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</si>
  <si>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</si>
  <si>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</si>
  <si>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</si>
  <si>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</si>
  <si>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</si>
  <si>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</si>
  <si>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</si>
  <si>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</si>
  <si>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</si>
  <si>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</si>
  <si>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</si>
  <si>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</si>
  <si>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</si>
  <si>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</si>
  <si>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</si>
  <si>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</si>
  <si>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</si>
  <si>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</si>
  <si>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</si>
  <si>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</si>
  <si>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</si>
  <si>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</si>
  <si>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</si>
  <si>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</si>
  <si>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</si>
  <si>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</si>
  <si>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</si>
  <si>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</si>
  <si>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</si>
  <si>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</si>
  <si>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</si>
  <si>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</si>
  <si>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</si>
  <si>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</si>
  <si>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</si>
  <si>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</si>
  <si>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</si>
  <si>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</si>
  <si>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</si>
  <si>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</si>
  <si>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</si>
  <si>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</si>
  <si>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</si>
  <si>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</si>
  <si>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</si>
  <si>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</si>
  <si>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</si>
  <si>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</si>
  <si>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</si>
  <si>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</si>
  <si>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</si>
  <si>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</si>
  <si>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</si>
  <si>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</si>
  <si>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</si>
  <si>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</si>
  <si>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</si>
  <si>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</si>
  <si>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</si>
  <si>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</si>
  <si>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</si>
  <si>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</si>
  <si>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</si>
  <si>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</si>
  <si>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</si>
  <si>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</si>
  <si>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</si>
  <si>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</si>
  <si>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</si>
  <si>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</si>
  <si>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</si>
  <si>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</si>
  <si>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</si>
  <si>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</si>
  <si>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</si>
  <si>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</si>
  <si>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</si>
  <si>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</si>
  <si>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</si>
  <si>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</si>
  <si>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</si>
  <si>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</si>
  <si>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</si>
  <si>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</si>
  <si>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</si>
  <si>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</si>
  <si>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</si>
  <si>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</si>
  <si>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</si>
  <si>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</si>
  <si>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</si>
  <si>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</si>
  <si>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</si>
  <si>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</si>
  <si>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</si>
  <si>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</si>
  <si>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</si>
  <si>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</si>
  <si>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</si>
  <si>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</si>
  <si>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</si>
  <si>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</si>
  <si>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</si>
  <si>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</si>
  <si>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</si>
  <si>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</si>
  <si>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</si>
  <si>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</si>
  <si>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</si>
  <si>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</si>
  <si>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</si>
  <si>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</si>
  <si>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</si>
  <si>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</si>
  <si>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</si>
  <si>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</si>
  <si>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</si>
  <si>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</si>
  <si>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</si>
  <si>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</si>
  <si>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</si>
  <si>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</si>
  <si>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</si>
  <si>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</si>
  <si>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</si>
  <si>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</si>
  <si>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all</t>
  </si>
  <si>
    <t xml:space="preserve">cost inflation </t>
  </si>
  <si>
    <t>cost_inflation_rate</t>
  </si>
  <si>
    <t>Charge Back Percentage</t>
  </si>
  <si>
    <t>chargeback_pct</t>
  </si>
  <si>
    <t>participation%</t>
  </si>
  <si>
    <t>participation_pct</t>
  </si>
  <si>
    <t>C12 Participation Revenue (not c/b reimb)</t>
  </si>
  <si>
    <t>HM Fees</t>
  </si>
  <si>
    <t>BI&amp;F Fees</t>
  </si>
  <si>
    <t>DS Fees</t>
  </si>
  <si>
    <t>total participation revenue</t>
  </si>
  <si>
    <t>o</t>
  </si>
  <si>
    <t>total_participation_revenue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</si>
  <si>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</si>
  <si>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</si>
  <si>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</si>
  <si>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</si>
  <si>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</si>
  <si>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</si>
  <si>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</si>
  <si>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</si>
  <si>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</si>
  <si>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signing_bonus</t>
  </si>
  <si>
    <t>restructuring</t>
  </si>
  <si>
    <t>put this in c12_oc_hr costs</t>
  </si>
  <si>
    <t>housing</t>
  </si>
  <si>
    <t>I think this is in oop cos paid by me</t>
  </si>
  <si>
    <t>total_nonrecur_exp</t>
  </si>
  <si>
    <t>Reimbursable Operating Expenses (inc holtel)</t>
  </si>
  <si>
    <t xml:space="preserve">revenue from lgh </t>
  </si>
  <si>
    <t>compensation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</si>
  <si>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</si>
  <si>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</si>
  <si>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</si>
  <si>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</si>
  <si>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</si>
  <si>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</si>
  <si>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</si>
  <si>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</si>
  <si>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</si>
  <si>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</si>
  <si>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dept_oop_via_sk</t>
  </si>
  <si>
    <t>should come from danielle</t>
  </si>
  <si>
    <t>Departmental OOP not paid via sk</t>
  </si>
  <si>
    <t>dept_oop_not_via_sk</t>
  </si>
  <si>
    <t>added mastercard cos not all paid by sk</t>
  </si>
  <si>
    <t>nonrecur_paid_by_lgh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</si>
  <si>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</si>
  <si>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</si>
  <si>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</si>
  <si>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</si>
  <si>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</si>
  <si>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</si>
  <si>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revs in nominal dollars cos business forecast nominal, but personnel costs real</t>
  </si>
  <si>
    <t>Compensation - actual</t>
  </si>
  <si>
    <t>actual_compensation</t>
  </si>
  <si>
    <t>ADJ FOR SALARY ACTUALS</t>
  </si>
  <si>
    <t>adj_compensation</t>
  </si>
  <si>
    <t>total_c12_exp_lgh</t>
  </si>
  <si>
    <t>C12 H/O compensation not paid by lgh</t>
  </si>
  <si>
    <t>Roots donation by c12</t>
  </si>
  <si>
    <t>roots_donation</t>
  </si>
  <si>
    <t>total_c12_exp_not_lgh</t>
  </si>
  <si>
    <t>total costs</t>
  </si>
  <si>
    <t>total_c12_costs</t>
  </si>
  <si>
    <t>Total C12 Profit</t>
  </si>
  <si>
    <t>total_c12_profit</t>
  </si>
  <si>
    <t>c12 profit margin</t>
  </si>
  <si>
    <t>c12_profit_margin</t>
  </si>
  <si>
    <t>Bank transfers (actual or danielle)</t>
  </si>
  <si>
    <t>Bank transfers</t>
  </si>
  <si>
    <t>actual_bank_transfers</t>
  </si>
  <si>
    <t>oop</t>
  </si>
  <si>
    <t>art</t>
  </si>
  <si>
    <t>pay</t>
  </si>
  <si>
    <t>guarantess</t>
  </si>
  <si>
    <t>cuda buy back</t>
  </si>
  <si>
    <t>Distributions</t>
  </si>
  <si>
    <t>sk_dist_required</t>
  </si>
  <si>
    <t>Distribution after c12 profit</t>
  </si>
  <si>
    <t>sk_dist_top_up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</si>
  <si>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</si>
  <si>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</si>
  <si>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</si>
  <si>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</si>
  <si>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</si>
  <si>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</si>
  <si>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</si>
  <si>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</si>
  <si>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</si>
  <si>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</si>
  <si>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lgh revenue</t>
  </si>
  <si>
    <t>hm</t>
  </si>
  <si>
    <t>d&amp;s</t>
  </si>
  <si>
    <t>bif</t>
  </si>
  <si>
    <t>total rev attributable to lgh</t>
  </si>
  <si>
    <t>total_lgh_revenue</t>
  </si>
  <si>
    <t>variable name</t>
  </si>
  <si>
    <t>assets</t>
  </si>
  <si>
    <t>cash open</t>
  </si>
  <si>
    <t>c12 profit</t>
  </si>
  <si>
    <t>borrow from c12 loc</t>
  </si>
  <si>
    <t>c12 to sk (jp dist)</t>
  </si>
  <si>
    <t>cash close</t>
  </si>
  <si>
    <t>participation accrual</t>
  </si>
  <si>
    <t>total assets</t>
  </si>
  <si>
    <t>liabilities</t>
  </si>
  <si>
    <t>c12loc</t>
  </si>
  <si>
    <t>LGH Fee Revenue</t>
  </si>
  <si>
    <t>lgh_fee_revenue_section</t>
  </si>
  <si>
    <t>Pink Beach Design Fee</t>
  </si>
  <si>
    <t>design_fee</t>
  </si>
  <si>
    <t>bermuda_pb</t>
  </si>
  <si>
    <t>INPUT</t>
  </si>
  <si>
    <t>Pink Beach Development Fee</t>
  </si>
  <si>
    <t>development_fee</t>
  </si>
  <si>
    <t>Pink Beach Structuring Fee</t>
  </si>
  <si>
    <t>structuring_fee</t>
  </si>
  <si>
    <t>Austin Design Fee</t>
  </si>
  <si>
    <t>austin</t>
  </si>
  <si>
    <t>Austin Development Fee</t>
  </si>
  <si>
    <t>Turks Design Fee</t>
  </si>
  <si>
    <t>turks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</si>
  <si>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</si>
  <si>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</si>
  <si>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</si>
  <si>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</si>
  <si>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</si>
  <si>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</si>
  <si>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</si>
  <si>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</si>
  <si>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</si>
  <si>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Sale Fees</t>
  </si>
  <si>
    <t>sale_fee</t>
  </si>
  <si>
    <t>fritholme</t>
  </si>
  <si>
    <t>Frith Acq Fee</t>
  </si>
  <si>
    <t>Frith Real Estate Fee</t>
  </si>
  <si>
    <t>real_estate_fee</t>
  </si>
  <si>
    <t>Frith Disposition fee</t>
  </si>
  <si>
    <t>disposition_fee</t>
  </si>
  <si>
    <t>fee_unknown</t>
  </si>
  <si>
    <t>lsat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</si>
  <si>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</si>
  <si>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</si>
  <si>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</si>
  <si>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</si>
  <si>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</si>
  <si>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</si>
  <si>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</si>
  <si>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</si>
  <si>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</si>
  <si>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</si>
  <si>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</si>
  <si>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</si>
  <si>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</si>
  <si>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</si>
  <si>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lgh_service_revenue_section</t>
  </si>
  <si>
    <t>Bermuda PB Design Services</t>
  </si>
  <si>
    <t>design_service_fee</t>
  </si>
  <si>
    <t>Austin Design Services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</si>
  <si>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</si>
  <si>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</si>
  <si>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</si>
  <si>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</si>
  <si>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</si>
  <si>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</si>
  <si>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</si>
  <si>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</si>
  <si>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Total LGH HM Service Revenue</t>
  </si>
  <si>
    <t>total_service_revenue</t>
  </si>
  <si>
    <t>deferred_service_fee</t>
  </si>
  <si>
    <t>Paid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</si>
  <si>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</si>
  <si>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</si>
  <si>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</si>
  <si>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</si>
  <si>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</si>
  <si>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</si>
  <si>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</si>
  <si>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</si>
  <si>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lgh_chargebacks_section</t>
  </si>
  <si>
    <t>chargeback fee</t>
  </si>
  <si>
    <t>chargeback_multiplier</t>
  </si>
  <si>
    <t>reimbursable by hotels to LGH</t>
  </si>
  <si>
    <t>reimbursable_by_hotels</t>
  </si>
  <si>
    <t>Total LGH D&amp;S Charge Back chk</t>
  </si>
  <si>
    <t>total_chargeback</t>
  </si>
  <si>
    <t>total LGH D&amp;S revenue</t>
  </si>
  <si>
    <t>total_lgh_ds_revenue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</si>
  <si>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</si>
  <si>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</si>
  <si>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</si>
  <si>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</si>
  <si>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</si>
  <si>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</si>
  <si>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</si>
  <si>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</si>
  <si>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</si>
  <si>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C12 Participation $</t>
  </si>
  <si>
    <t>c12_participation_amt</t>
  </si>
  <si>
    <t>chargebacks fees</t>
  </si>
  <si>
    <t>chargeback_fees</t>
  </si>
  <si>
    <t>Total C12 D&amp;S revenue</t>
  </si>
  <si>
    <t>total_c12_ds_revenue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</si>
  <si>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</si>
  <si>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</si>
  <si>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</si>
  <si>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</si>
  <si>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</si>
  <si>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</si>
  <si>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</si>
  <si>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</si>
  <si>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</si>
  <si>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</si>
  <si>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</si>
  <si>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</si>
  <si>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</si>
  <si>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</si>
  <si>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</si>
  <si>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 xml:space="preserve"> </t>
  </si>
  <si>
    <t>Bermuda PB Mgt</t>
  </si>
  <si>
    <t>mgmt_fee</t>
  </si>
  <si>
    <t>Bermuda PB Inc</t>
  </si>
  <si>
    <t>incentive_fee</t>
  </si>
  <si>
    <t>Austin Mgt</t>
  </si>
  <si>
    <t>Austin Inc</t>
  </si>
  <si>
    <t>Turks Mgt</t>
  </si>
  <si>
    <t>Turks Inc</t>
  </si>
  <si>
    <t>service_fee</t>
  </si>
  <si>
    <t>Paid Service Accruals</t>
  </si>
  <si>
    <t>Total LGH HM Charge Back</t>
  </si>
  <si>
    <t>total LGH HM revenue</t>
  </si>
  <si>
    <t>total_lgh_hm_revenue</t>
  </si>
  <si>
    <t>Total C12 HM revenue</t>
  </si>
  <si>
    <t>total_c12_hm_revenue</t>
  </si>
  <si>
    <t>if paydown % were correct then this last number would be zeri</t>
  </si>
  <si>
    <t>7f</t>
  </si>
  <si>
    <t>Total LGH Bi&amp;F Service Revenue</t>
  </si>
  <si>
    <t>reimbursable by hotels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</si>
  <si>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</si>
  <si>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</si>
  <si>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</si>
  <si>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</si>
  <si>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</si>
  <si>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</si>
  <si>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</si>
  <si>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</si>
  <si>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</si>
  <si>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ocBonus Tax</t>
  </si>
  <si>
    <t>bonus_tax_rate</t>
  </si>
  <si>
    <t>hmBenefits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</si>
  <si>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</si>
  <si>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</si>
  <si>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</si>
  <si>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</si>
  <si>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</si>
  <si>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</si>
  <si>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</si>
  <si>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</si>
  <si>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base_salary</t>
  </si>
  <si>
    <t>sk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</si>
  <si>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</si>
  <si>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</si>
  <si>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</si>
  <si>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</si>
  <si>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</si>
  <si>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</si>
  <si>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</si>
  <si>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</si>
  <si>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</si>
  <si>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</si>
  <si>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Bonus</t>
  </si>
  <si>
    <t>bonus</t>
  </si>
  <si>
    <t>total_salary</t>
  </si>
  <si>
    <t>base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</si>
  <si>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</si>
  <si>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</si>
  <si>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</si>
  <si>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</si>
  <si>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</si>
  <si>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</si>
  <si>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</si>
  <si>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</si>
  <si>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</si>
  <si>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</si>
  <si>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</si>
  <si>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</si>
  <si>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Total Salaries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</si>
  <si>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</si>
  <si>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</si>
  <si>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</si>
  <si>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</si>
  <si>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</si>
  <si>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</si>
  <si>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</si>
  <si>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</si>
  <si>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</si>
  <si>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</si>
  <si>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</si>
  <si>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</si>
  <si>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</si>
  <si>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am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</si>
  <si>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</si>
  <si>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</si>
  <si>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</si>
  <si>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</si>
  <si>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</si>
  <si>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</si>
  <si>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</si>
  <si>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</si>
  <si>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HOBI (CW)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</si>
  <si>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</si>
  <si>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</si>
  <si>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</si>
  <si>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</si>
  <si>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</si>
  <si>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</si>
  <si>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</si>
  <si>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</si>
  <si>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</si>
  <si>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</si>
  <si>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</si>
  <si>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</si>
  <si>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</si>
  <si>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</si>
  <si>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</si>
  <si>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</si>
  <si>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</si>
  <si>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</si>
  <si>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</si>
  <si>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</si>
  <si>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</si>
  <si>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</si>
  <si>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[blank]</t>
  </si>
  <si>
    <t>Non-recurring Items paid by LGH</t>
  </si>
  <si>
    <t>signing bonuses</t>
  </si>
  <si>
    <t>Restructuring</t>
  </si>
  <si>
    <t>Total c12 Expenses paid by LGH</t>
  </si>
  <si>
    <t>Total c12 Expenses Not paid by lgh</t>
  </si>
  <si>
    <t>C12 oc compensation expense (not divisons)</t>
  </si>
  <si>
    <t>LGH to sk (from danielle)</t>
  </si>
  <si>
    <t>adjusted down to assume sk doesn’t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</si>
</sst>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  <font>
      <sz val="14"/>
      <color rgb="FF000000"/>
      <name val="Calibri Light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</borders>
  <cellStyleXfs count="20">
    <xf numFmtId="0" fontId="0" fillId="0" borderId="5"/>
    <xf numFmtId="43" fontId="1" fillId="0" borderId="5"/>
    <xf numFmtId="44" fontId="1" fillId="0" borderId="5"/>
    <xf numFmtId="9" fontId="1" fillId="0" borderId="5"/>
    <xf numFmtId="0" fontId="1" fillId="0" borderId="5"/>
    <xf numFmtId="181" fontId="1" fillId="0" borderId="5"/>
    <xf numFmtId="43" fontId="4" fillId="0" borderId="5"/>
    <xf numFmtId="43" fontId="1" fillId="0" borderId="5"/>
    <xf numFmtId="0" fontId="4" fillId="0" borderId="5"/>
    <xf numFmtId="37" fontId="6" fillId="0" borderId="5"/>
    <xf numFmtId="43" fontId="7" fillId="0" borderId="5"/>
    <xf numFmtId="9" fontId="7" fillId="0" borderId="5"/>
    <xf numFmtId="44" fontId="7" fillId="0" borderId="5"/>
    <xf numFmtId="0" fontId="5" fillId="0" borderId="5"/>
    <xf numFmtId="43" fontId="5" fillId="0" borderId="5"/>
    <xf numFmtId="0" fontId="4" fillId="0" borderId="5"/>
    <xf numFmtId="0" fontId="1" fillId="0" borderId="5"/>
    <xf numFmtId="0" fontId="12" fillId="0" borderId="5"/>
    <xf numFmtId="44" fontId="3" fillId="0" borderId="5"/>
    <xf numFmtId="0" fontId="16" fillId="0" borderId="5"/>
  </cellStyleXfs>
  <cellXfs count="674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1" fillId="0" borderId="0" xfId="0" applyFont="1" applyBorder="1"/>
    <xf numFmtId="0" fontId="21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2" fillId="9" borderId="2" xfId="0" applyFont="1" applyFill="1" applyBorder="1"/>
    <xf numFmtId="0" fontId="22" fillId="12" borderId="2" xfId="13" applyFont="1" applyFill="1" applyBorder="1" applyAlignment="1">
      <alignment vertical="center"/>
    </xf>
    <xf numFmtId="165" fontId="22" fillId="9" borderId="2" xfId="1" applyNumberFormat="1" applyFont="1" applyFill="1" applyBorder="1" applyAlignment="1">
      <alignment horizontal="center"/>
    </xf>
    <xf numFmtId="0" fontId="22" fillId="12" borderId="2" xfId="0" applyFont="1" applyFill="1" applyBorder="1"/>
    <xf numFmtId="164" fontId="22" fillId="13" borderId="2" xfId="1" applyNumberFormat="1" applyFont="1" applyFill="1" applyBorder="1" applyAlignment="1">
      <alignment horizontal="center"/>
    </xf>
    <xf numFmtId="10" fontId="22" fillId="13" borderId="2" xfId="3" applyNumberFormat="1" applyFont="1" applyFill="1" applyBorder="1" applyAlignment="1">
      <alignment horizontal="center"/>
    </xf>
    <xf numFmtId="0" fontId="22" fillId="9" borderId="2" xfId="13" applyFont="1" applyFill="1" applyBorder="1" applyAlignment="1">
      <alignment vertical="center"/>
    </xf>
    <xf numFmtId="164" fontId="22" fillId="9" borderId="2" xfId="1" applyNumberFormat="1" applyFont="1" applyFill="1" applyBorder="1"/>
    <xf numFmtId="164" fontId="22" fillId="9" borderId="2" xfId="1" applyNumberFormat="1" applyFont="1" applyFill="1" applyBorder="1" applyAlignment="1">
      <alignment horizontal="center"/>
    </xf>
    <xf numFmtId="10" fontId="22" fillId="9" borderId="2" xfId="3" applyNumberFormat="1" applyFont="1" applyFill="1" applyBorder="1" applyAlignment="1">
      <alignment horizontal="center"/>
    </xf>
    <xf numFmtId="10" fontId="22" fillId="9" borderId="2" xfId="3" applyNumberFormat="1" applyFont="1" applyFill="1" applyBorder="1"/>
    <xf numFmtId="9" fontId="22" fillId="9" borderId="2" xfId="3" applyFont="1" applyFill="1" applyBorder="1"/>
    <xf numFmtId="164" fontId="22" fillId="9" borderId="2" xfId="0" applyNumberFormat="1" applyFont="1" applyFill="1" applyBorder="1"/>
    <xf numFmtId="0" fontId="23" fillId="12" borderId="2" xfId="0" applyFont="1" applyFill="1" applyBorder="1"/>
    <xf numFmtId="0" fontId="22" fillId="9" borderId="2" xfId="0" quotePrefix="1" applyFont="1" applyFill="1" applyBorder="1" applyAlignment="1">
      <alignment horizontal="right"/>
    </xf>
    <xf numFmtId="3" fontId="22" fillId="5" borderId="2" xfId="0" applyNumberFormat="1" applyFont="1" applyFill="1" applyBorder="1"/>
    <xf numFmtId="3" fontId="22" fillId="9" borderId="2" xfId="0" applyNumberFormat="1" applyFont="1" applyFill="1" applyBorder="1"/>
    <xf numFmtId="9" fontId="22" fillId="12" borderId="2" xfId="3" applyFont="1" applyFill="1" applyBorder="1"/>
    <xf numFmtId="166" fontId="22" fillId="9" borderId="2" xfId="2" applyNumberFormat="1" applyFont="1" applyFill="1" applyBorder="1"/>
    <xf numFmtId="0" fontId="22" fillId="9" borderId="2" xfId="0" applyFont="1" applyFill="1" applyBorder="1" applyAlignment="1">
      <alignment horizontal="center"/>
    </xf>
    <xf numFmtId="0" fontId="22" fillId="12" borderId="2" xfId="13" applyFont="1" applyFill="1" applyBorder="1" applyAlignment="1">
      <alignment horizontal="left" indent="1"/>
    </xf>
    <xf numFmtId="4" fontId="22" fillId="9" borderId="2" xfId="0" applyNumberFormat="1" applyFont="1" applyFill="1" applyBorder="1"/>
    <xf numFmtId="167" fontId="22" fillId="9" borderId="2" xfId="13" applyNumberFormat="1" applyFont="1" applyFill="1" applyBorder="1" applyAlignment="1">
      <alignment vertical="center"/>
    </xf>
    <xf numFmtId="43" fontId="22" fillId="9" borderId="2" xfId="1" applyFont="1" applyFill="1" applyBorder="1"/>
    <xf numFmtId="164" fontId="22" fillId="12" borderId="2" xfId="1" applyNumberFormat="1" applyFont="1" applyFill="1" applyBorder="1"/>
    <xf numFmtId="164" fontId="22" fillId="5" borderId="2" xfId="1" applyNumberFormat="1" applyFont="1" applyFill="1" applyBorder="1"/>
    <xf numFmtId="9" fontId="22" fillId="9" borderId="2" xfId="0" applyNumberFormat="1" applyFont="1" applyFill="1" applyBorder="1" applyAlignment="1">
      <alignment horizontal="center"/>
    </xf>
    <xf numFmtId="10" fontId="22" fillId="9" borderId="2" xfId="0" applyNumberFormat="1" applyFont="1" applyFill="1" applyBorder="1" applyAlignment="1">
      <alignment horizontal="center"/>
    </xf>
    <xf numFmtId="44" fontId="22" fillId="9" borderId="2" xfId="0" applyNumberFormat="1" applyFont="1" applyFill="1" applyBorder="1"/>
    <xf numFmtId="0" fontId="22" fillId="9" borderId="2" xfId="0" applyFont="1" applyFill="1" applyBorder="1" applyAlignment="1">
      <alignment horizontal="right"/>
    </xf>
    <xf numFmtId="164" fontId="24" fillId="12" borderId="2" xfId="1" applyNumberFormat="1" applyFont="1" applyFill="1" applyBorder="1"/>
    <xf numFmtId="14" fontId="22" fillId="9" borderId="2" xfId="0" applyNumberFormat="1" applyFont="1" applyFill="1" applyBorder="1" applyAlignment="1">
      <alignment horizontal="center"/>
    </xf>
    <xf numFmtId="168" fontId="22" fillId="9" borderId="2" xfId="0" applyNumberFormat="1" applyFont="1" applyFill="1" applyBorder="1"/>
    <xf numFmtId="9" fontId="22" fillId="9" borderId="2" xfId="0" applyNumberFormat="1" applyFont="1" applyFill="1" applyBorder="1"/>
    <xf numFmtId="168" fontId="22" fillId="5" borderId="2" xfId="0" applyNumberFormat="1" applyFont="1" applyFill="1" applyBorder="1" applyAlignment="1">
      <alignment horizontal="center"/>
    </xf>
    <xf numFmtId="9" fontId="22" fillId="5" borderId="2" xfId="0" applyNumberFormat="1" applyFont="1" applyFill="1" applyBorder="1" applyAlignment="1">
      <alignment horizontal="center"/>
    </xf>
    <xf numFmtId="10" fontId="22" fillId="5" borderId="2" xfId="0" applyNumberFormat="1" applyFont="1" applyFill="1" applyBorder="1"/>
    <xf numFmtId="0" fontId="25" fillId="5" borderId="2" xfId="8" applyFont="1" applyFill="1" applyBorder="1"/>
    <xf numFmtId="0" fontId="22" fillId="12" borderId="2" xfId="0" applyFont="1" applyFill="1" applyBorder="1" applyAlignment="1">
      <alignment horizontal="centerContinuous"/>
    </xf>
    <xf numFmtId="0" fontId="22" fillId="9" borderId="2" xfId="0" applyFont="1" applyFill="1" applyBorder="1" applyAlignment="1">
      <alignment horizontal="centerContinuous"/>
    </xf>
    <xf numFmtId="0" fontId="22" fillId="12" borderId="2" xfId="0" applyFont="1" applyFill="1" applyBorder="1" applyAlignment="1">
      <alignment horizontal="left"/>
    </xf>
    <xf numFmtId="0" fontId="26" fillId="12" borderId="2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164" fontId="24" fillId="12" borderId="2" xfId="1" applyNumberFormat="1" applyFont="1" applyFill="1" applyBorder="1" applyAlignment="1">
      <alignment horizontal="right"/>
    </xf>
    <xf numFmtId="0" fontId="24" fillId="12" borderId="2" xfId="0" applyFont="1" applyFill="1" applyBorder="1" applyAlignment="1">
      <alignment horizontal="right"/>
    </xf>
    <xf numFmtId="164" fontId="24" fillId="11" borderId="2" xfId="1" applyNumberFormat="1" applyFont="1" applyFill="1" applyBorder="1" applyAlignment="1">
      <alignment horizontal="right"/>
    </xf>
    <xf numFmtId="169" fontId="22" fillId="10" borderId="2" xfId="1" applyNumberFormat="1" applyFont="1" applyFill="1" applyBorder="1"/>
    <xf numFmtId="169" fontId="22" fillId="5" borderId="2" xfId="1" applyNumberFormat="1" applyFont="1" applyFill="1" applyBorder="1"/>
    <xf numFmtId="43" fontId="22" fillId="10" borderId="2" xfId="1" applyFont="1" applyFill="1" applyBorder="1" applyAlignment="1">
      <alignment horizontal="center"/>
    </xf>
    <xf numFmtId="43" fontId="24" fillId="12" borderId="2" xfId="0" applyNumberFormat="1" applyFont="1" applyFill="1" applyBorder="1" applyAlignment="1">
      <alignment horizontal="right"/>
    </xf>
    <xf numFmtId="43" fontId="22" fillId="5" borderId="2" xfId="1" applyFont="1" applyFill="1" applyBorder="1" applyAlignment="1">
      <alignment horizontal="center"/>
    </xf>
    <xf numFmtId="168" fontId="24" fillId="12" borderId="2" xfId="0" applyNumberFormat="1" applyFont="1" applyFill="1" applyBorder="1" applyAlignment="1">
      <alignment horizontal="right"/>
    </xf>
    <xf numFmtId="0" fontId="22" fillId="12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168" fontId="22" fillId="12" borderId="2" xfId="3" applyNumberFormat="1" applyFont="1" applyFill="1" applyBorder="1" applyAlignment="1">
      <alignment horizontal="centerContinuous"/>
    </xf>
    <xf numFmtId="9" fontId="22" fillId="9" borderId="2" xfId="0" applyNumberFormat="1" applyFont="1" applyFill="1" applyBorder="1" applyAlignment="1">
      <alignment horizontal="centerContinuous"/>
    </xf>
    <xf numFmtId="170" fontId="22" fillId="10" borderId="2" xfId="2" applyNumberFormat="1" applyFont="1" applyFill="1" applyBorder="1"/>
    <xf numFmtId="170" fontId="22" fillId="5" borderId="2" xfId="2" applyNumberFormat="1" applyFont="1" applyFill="1" applyBorder="1"/>
    <xf numFmtId="0" fontId="22" fillId="12" borderId="2" xfId="0" applyFont="1" applyFill="1" applyBorder="1" applyAlignment="1">
      <alignment horizontal="right"/>
    </xf>
    <xf numFmtId="2" fontId="22" fillId="9" borderId="2" xfId="0" applyNumberFormat="1" applyFont="1" applyFill="1" applyBorder="1"/>
    <xf numFmtId="2" fontId="22" fillId="5" borderId="2" xfId="0" applyNumberFormat="1" applyFont="1" applyFill="1" applyBorder="1"/>
    <xf numFmtId="168" fontId="22" fillId="10" borderId="2" xfId="0" applyNumberFormat="1" applyFont="1" applyFill="1" applyBorder="1"/>
    <xf numFmtId="168" fontId="22" fillId="5" borderId="2" xfId="0" applyNumberFormat="1" applyFont="1" applyFill="1" applyBorder="1"/>
    <xf numFmtId="0" fontId="22" fillId="11" borderId="2" xfId="0" applyFont="1" applyFill="1" applyBorder="1" applyAlignment="1">
      <alignment horizontal="right"/>
    </xf>
    <xf numFmtId="164" fontId="22" fillId="9" borderId="2" xfId="1" applyNumberFormat="1" applyFont="1" applyFill="1" applyBorder="1" applyAlignment="1">
      <alignment horizontal="centerContinuous"/>
    </xf>
    <xf numFmtId="43" fontId="22" fillId="9" borderId="2" xfId="0" applyNumberFormat="1" applyFont="1" applyFill="1" applyBorder="1"/>
    <xf numFmtId="43" fontId="22" fillId="5" borderId="2" xfId="0" applyNumberFormat="1" applyFont="1" applyFill="1" applyBorder="1"/>
    <xf numFmtId="171" fontId="24" fillId="9" borderId="2" xfId="0" applyNumberFormat="1" applyFont="1" applyFill="1" applyBorder="1"/>
    <xf numFmtId="0" fontId="22" fillId="9" borderId="2" xfId="0" applyFont="1" applyFill="1" applyBorder="1" applyAlignment="1">
      <alignment horizontal="left"/>
    </xf>
    <xf numFmtId="165" fontId="22" fillId="11" borderId="2" xfId="0" applyNumberFormat="1" applyFont="1" applyFill="1" applyBorder="1" applyAlignment="1">
      <alignment horizontal="center"/>
    </xf>
    <xf numFmtId="165" fontId="22" fillId="9" borderId="2" xfId="0" applyNumberFormat="1" applyFont="1" applyFill="1" applyBorder="1" applyAlignment="1">
      <alignment horizontal="center"/>
    </xf>
    <xf numFmtId="44" fontId="22" fillId="11" borderId="2" xfId="2" applyFont="1" applyFill="1" applyBorder="1" applyAlignment="1">
      <alignment horizontal="center"/>
    </xf>
    <xf numFmtId="44" fontId="22" fillId="9" borderId="2" xfId="2" applyFont="1" applyFill="1" applyBorder="1" applyAlignment="1">
      <alignment horizontal="center"/>
    </xf>
    <xf numFmtId="164" fontId="22" fillId="9" borderId="2" xfId="0" applyNumberFormat="1" applyFont="1" applyFill="1" applyBorder="1" applyAlignment="1">
      <alignment horizontal="center"/>
    </xf>
    <xf numFmtId="0" fontId="22" fillId="13" borderId="2" xfId="0" applyFont="1" applyFill="1" applyBorder="1"/>
    <xf numFmtId="0" fontId="22" fillId="5" borderId="2" xfId="0" applyFont="1" applyFill="1" applyBorder="1" applyAlignment="1">
      <alignment horizontal="center"/>
    </xf>
    <xf numFmtId="164" fontId="22" fillId="5" borderId="2" xfId="0" applyNumberFormat="1" applyFont="1" applyFill="1" applyBorder="1"/>
    <xf numFmtId="0" fontId="22" fillId="5" borderId="2" xfId="0" applyFont="1" applyFill="1" applyBorder="1"/>
    <xf numFmtId="10" fontId="22" fillId="9" borderId="2" xfId="0" applyNumberFormat="1" applyFont="1" applyFill="1" applyBorder="1"/>
    <xf numFmtId="0" fontId="25" fillId="9" borderId="2" xfId="0" applyFont="1" applyFill="1" applyBorder="1"/>
    <xf numFmtId="0" fontId="24" fillId="9" borderId="2" xfId="0" applyFont="1" applyFill="1" applyBorder="1"/>
    <xf numFmtId="9" fontId="22" fillId="9" borderId="2" xfId="0" applyNumberFormat="1" applyFont="1" applyFill="1" applyBorder="1" applyAlignment="1">
      <alignment horizontal="right"/>
    </xf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wrapText="1"/>
    </xf>
    <xf numFmtId="9" fontId="24" fillId="9" borderId="2" xfId="0" applyNumberFormat="1" applyFont="1" applyFill="1" applyBorder="1" applyAlignment="1">
      <alignment horizontal="right" wrapText="1"/>
    </xf>
    <xf numFmtId="0" fontId="24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wrapText="1"/>
    </xf>
    <xf numFmtId="172" fontId="24" fillId="9" borderId="2" xfId="0" applyNumberFormat="1" applyFont="1" applyFill="1" applyBorder="1"/>
    <xf numFmtId="168" fontId="24" fillId="9" borderId="2" xfId="0" applyNumberFormat="1" applyFont="1" applyFill="1" applyBorder="1"/>
    <xf numFmtId="173" fontId="24" fillId="9" borderId="2" xfId="0" applyNumberFormat="1" applyFont="1" applyFill="1" applyBorder="1"/>
    <xf numFmtId="165" fontId="27" fillId="11" borderId="3" xfId="0" applyNumberFormat="1" applyFont="1" applyFill="1" applyBorder="1" applyAlignment="1">
      <alignment horizontal="center"/>
    </xf>
    <xf numFmtId="44" fontId="27" fillId="11" borderId="3" xfId="2" applyFont="1" applyFill="1" applyBorder="1" applyAlignment="1">
      <alignment horizontal="center"/>
    </xf>
    <xf numFmtId="164" fontId="22" fillId="14" borderId="2" xfId="1" applyNumberFormat="1" applyFont="1" applyFill="1" applyBorder="1"/>
    <xf numFmtId="164" fontId="22" fillId="10" borderId="2" xfId="1" applyNumberFormat="1" applyFont="1" applyFill="1" applyBorder="1"/>
    <xf numFmtId="10" fontId="22" fillId="14" borderId="2" xfId="0" applyNumberFormat="1" applyFont="1" applyFill="1" applyBorder="1"/>
    <xf numFmtId="44" fontId="22" fillId="13" borderId="2" xfId="2" applyFont="1" applyFill="1" applyBorder="1" applyAlignment="1">
      <alignment horizontal="center"/>
    </xf>
    <xf numFmtId="164" fontId="27" fillId="5" borderId="3" xfId="1" applyNumberFormat="1" applyFont="1" applyFill="1" applyBorder="1"/>
    <xf numFmtId="164" fontId="27" fillId="9" borderId="3" xfId="1" applyNumberFormat="1" applyFont="1" applyFill="1" applyBorder="1"/>
    <xf numFmtId="168" fontId="22" fillId="5" borderId="2" xfId="1" applyNumberFormat="1" applyFont="1" applyFill="1" applyBorder="1"/>
    <xf numFmtId="168" fontId="22" fillId="9" borderId="2" xfId="1" applyNumberFormat="1" applyFont="1" applyFill="1" applyBorder="1"/>
    <xf numFmtId="168" fontId="28" fillId="9" borderId="2" xfId="3" applyNumberFormat="1" applyFont="1" applyFill="1" applyBorder="1" applyAlignment="1">
      <alignment horizontal="left" vertical="center"/>
    </xf>
    <xf numFmtId="168" fontId="28" fillId="9" borderId="2" xfId="3" applyNumberFormat="1" applyFont="1" applyFill="1" applyBorder="1" applyAlignment="1">
      <alignment horizontal="center" vertical="center"/>
    </xf>
    <xf numFmtId="0" fontId="22" fillId="12" borderId="2" xfId="13" applyFont="1" applyFill="1" applyBorder="1" applyAlignment="1">
      <alignment horizontal="right" vertical="center"/>
    </xf>
    <xf numFmtId="165" fontId="22" fillId="11" borderId="2" xfId="13" applyNumberFormat="1" applyFont="1" applyFill="1" applyBorder="1" applyAlignment="1">
      <alignment horizontal="center" vertical="center"/>
    </xf>
    <xf numFmtId="165" fontId="22" fillId="9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Continuous"/>
    </xf>
    <xf numFmtId="44" fontId="22" fillId="11" borderId="2" xfId="13" applyNumberFormat="1" applyFont="1" applyFill="1" applyBorder="1" applyAlignment="1">
      <alignment horizontal="center" vertical="center"/>
    </xf>
    <xf numFmtId="44" fontId="22" fillId="13" borderId="2" xfId="13" applyNumberFormat="1" applyFont="1" applyFill="1" applyBorder="1" applyAlignment="1">
      <alignment horizontal="center" vertical="center"/>
    </xf>
    <xf numFmtId="174" fontId="22" fillId="13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" wrapText="1"/>
    </xf>
    <xf numFmtId="164" fontId="22" fillId="9" borderId="2" xfId="1" applyNumberFormat="1" applyFont="1" applyFill="1" applyBorder="1" applyAlignment="1">
      <alignment vertical="center"/>
    </xf>
    <xf numFmtId="167" fontId="24" fillId="9" borderId="2" xfId="13" applyNumberFormat="1" applyFont="1" applyFill="1" applyBorder="1" applyAlignment="1">
      <alignment vertical="center"/>
    </xf>
    <xf numFmtId="10" fontId="24" fillId="9" borderId="2" xfId="3" applyNumberFormat="1" applyFont="1" applyFill="1" applyBorder="1" applyAlignment="1">
      <alignment vertical="center"/>
    </xf>
    <xf numFmtId="10" fontId="24" fillId="9" borderId="2" xfId="0" applyNumberFormat="1" applyFont="1" applyFill="1" applyBorder="1"/>
    <xf numFmtId="43" fontId="24" fillId="9" borderId="2" xfId="1" applyFont="1" applyFill="1" applyBorder="1"/>
    <xf numFmtId="43" fontId="24" fillId="9" borderId="2" xfId="1" applyFont="1" applyFill="1" applyBorder="1" applyAlignment="1">
      <alignment horizontal="centerContinuous"/>
    </xf>
    <xf numFmtId="0" fontId="24" fillId="9" borderId="2" xfId="0" applyFont="1" applyFill="1" applyBorder="1" applyAlignment="1">
      <alignment horizontal="centerContinuous"/>
    </xf>
    <xf numFmtId="164" fontId="22" fillId="5" borderId="2" xfId="1" applyNumberFormat="1" applyFont="1" applyFill="1" applyBorder="1" applyAlignment="1">
      <alignment vertical="center"/>
    </xf>
    <xf numFmtId="164" fontId="22" fillId="14" borderId="2" xfId="1" applyNumberFormat="1" applyFont="1" applyFill="1" applyBorder="1" applyAlignment="1">
      <alignment vertical="center"/>
    </xf>
    <xf numFmtId="0" fontId="22" fillId="9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/>
    </xf>
    <xf numFmtId="4" fontId="24" fillId="9" borderId="2" xfId="0" applyNumberFormat="1" applyFont="1" applyFill="1" applyBorder="1"/>
    <xf numFmtId="0" fontId="22" fillId="9" borderId="2" xfId="13" applyFont="1" applyFill="1" applyBorder="1" applyAlignment="1">
      <alignment horizontal="right" vertical="center"/>
    </xf>
    <xf numFmtId="167" fontId="22" fillId="9" borderId="2" xfId="0" applyNumberFormat="1" applyFont="1" applyFill="1" applyBorder="1"/>
    <xf numFmtId="0" fontId="22" fillId="9" borderId="2" xfId="13" applyFont="1" applyFill="1" applyBorder="1" applyAlignment="1">
      <alignment horizontal="left" vertical="center"/>
    </xf>
    <xf numFmtId="0" fontId="24" fillId="12" borderId="2" xfId="13" applyFont="1" applyFill="1" applyBorder="1" applyAlignment="1">
      <alignment vertical="center"/>
    </xf>
    <xf numFmtId="10" fontId="24" fillId="14" borderId="2" xfId="3" applyNumberFormat="1" applyFont="1" applyFill="1" applyBorder="1" applyAlignment="1">
      <alignment vertical="center"/>
    </xf>
    <xf numFmtId="0" fontId="24" fillId="9" borderId="2" xfId="13" applyFont="1" applyFill="1" applyBorder="1" applyAlignment="1">
      <alignment vertical="center"/>
    </xf>
    <xf numFmtId="0" fontId="22" fillId="12" borderId="2" xfId="13" applyFont="1" applyFill="1" applyBorder="1" applyAlignment="1">
      <alignment horizontal="center" vertical="center"/>
    </xf>
    <xf numFmtId="0" fontId="22" fillId="9" borderId="2" xfId="13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right"/>
    </xf>
    <xf numFmtId="164" fontId="29" fillId="9" borderId="2" xfId="1" applyNumberFormat="1" applyFont="1" applyFill="1" applyBorder="1"/>
    <xf numFmtId="164" fontId="29" fillId="10" borderId="2" xfId="1" applyNumberFormat="1" applyFont="1" applyFill="1" applyBorder="1"/>
    <xf numFmtId="164" fontId="29" fillId="11" borderId="2" xfId="1" applyNumberFormat="1" applyFont="1" applyFill="1" applyBorder="1"/>
    <xf numFmtId="0" fontId="29" fillId="9" borderId="2" xfId="0" applyFont="1" applyFill="1" applyBorder="1"/>
    <xf numFmtId="164" fontId="29" fillId="9" borderId="2" xfId="0" applyNumberFormat="1" applyFont="1" applyFill="1" applyBorder="1"/>
    <xf numFmtId="0" fontId="29" fillId="9" borderId="2" xfId="0" quotePrefix="1" applyFont="1" applyFill="1" applyBorder="1"/>
    <xf numFmtId="0" fontId="29" fillId="9" borderId="2" xfId="0" quotePrefix="1" applyFont="1" applyFill="1" applyBorder="1" applyAlignment="1">
      <alignment wrapText="1"/>
    </xf>
    <xf numFmtId="0" fontId="22" fillId="11" borderId="2" xfId="13" applyFont="1" applyFill="1" applyBorder="1" applyAlignment="1">
      <alignment horizontal="center" vertical="center"/>
    </xf>
    <xf numFmtId="0" fontId="22" fillId="13" borderId="2" xfId="13" applyFont="1" applyFill="1" applyBorder="1" applyAlignment="1">
      <alignment horizontal="center" vertical="center"/>
    </xf>
    <xf numFmtId="3" fontId="22" fillId="10" borderId="2" xfId="0" applyNumberFormat="1" applyFont="1" applyFill="1" applyBorder="1"/>
    <xf numFmtId="3" fontId="27" fillId="5" borderId="3" xfId="0" applyNumberFormat="1" applyFont="1" applyFill="1" applyBorder="1"/>
    <xf numFmtId="3" fontId="27" fillId="10" borderId="3" xfId="0" applyNumberFormat="1" applyFont="1" applyFill="1" applyBorder="1"/>
    <xf numFmtId="3" fontId="27" fillId="9" borderId="3" xfId="0" applyNumberFormat="1" applyFont="1" applyFill="1" applyBorder="1"/>
    <xf numFmtId="0" fontId="27" fillId="9" borderId="3" xfId="0" applyFont="1" applyFill="1" applyBorder="1"/>
    <xf numFmtId="166" fontId="22" fillId="5" borderId="2" xfId="2" applyNumberFormat="1" applyFont="1" applyFill="1" applyBorder="1"/>
    <xf numFmtId="166" fontId="22" fillId="14" borderId="2" xfId="2" applyNumberFormat="1" applyFont="1" applyFill="1" applyBorder="1"/>
    <xf numFmtId="166" fontId="27" fillId="5" borderId="3" xfId="2" applyNumberFormat="1" applyFont="1" applyFill="1" applyBorder="1"/>
    <xf numFmtId="166" fontId="27" fillId="9" borderId="3" xfId="2" applyNumberFormat="1" applyFont="1" applyFill="1" applyBorder="1"/>
    <xf numFmtId="164" fontId="27" fillId="14" borderId="3" xfId="1" applyNumberFormat="1" applyFont="1" applyFill="1" applyBorder="1"/>
    <xf numFmtId="1" fontId="22" fillId="9" borderId="2" xfId="1" applyNumberFormat="1" applyFont="1" applyFill="1" applyBorder="1"/>
    <xf numFmtId="1" fontId="22" fillId="9" borderId="2" xfId="0" applyNumberFormat="1" applyFont="1" applyFill="1" applyBorder="1"/>
    <xf numFmtId="10" fontId="22" fillId="10" borderId="2" xfId="0" applyNumberFormat="1" applyFont="1" applyFill="1" applyBorder="1"/>
    <xf numFmtId="9" fontId="22" fillId="12" borderId="2" xfId="0" applyNumberFormat="1" applyFont="1" applyFill="1" applyBorder="1"/>
    <xf numFmtId="10" fontId="22" fillId="12" borderId="2" xfId="0" applyNumberFormat="1" applyFont="1" applyFill="1" applyBorder="1"/>
    <xf numFmtId="9" fontId="22" fillId="14" borderId="2" xfId="0" applyNumberFormat="1" applyFont="1" applyFill="1" applyBorder="1"/>
    <xf numFmtId="0" fontId="22" fillId="14" borderId="2" xfId="0" applyFont="1" applyFill="1" applyBorder="1"/>
    <xf numFmtId="175" fontId="22" fillId="5" borderId="2" xfId="0" applyNumberFormat="1" applyFont="1" applyFill="1" applyBorder="1"/>
    <xf numFmtId="175" fontId="22" fillId="9" borderId="2" xfId="0" applyNumberFormat="1" applyFont="1" applyFill="1" applyBorder="1"/>
    <xf numFmtId="43" fontId="22" fillId="9" borderId="2" xfId="6" applyFont="1" applyFill="1" applyBorder="1"/>
    <xf numFmtId="0" fontId="25" fillId="12" borderId="2" xfId="8" applyFont="1" applyFill="1" applyBorder="1"/>
    <xf numFmtId="0" fontId="25" fillId="9" borderId="2" xfId="8" applyFont="1" applyFill="1" applyBorder="1" applyAlignment="1">
      <alignment horizontal="centerContinuous"/>
    </xf>
    <xf numFmtId="165" fontId="25" fillId="11" borderId="2" xfId="8" applyNumberFormat="1" applyFont="1" applyFill="1" applyBorder="1" applyAlignment="1">
      <alignment horizontal="center"/>
    </xf>
    <xf numFmtId="0" fontId="25" fillId="12" borderId="2" xfId="8" applyFont="1" applyFill="1" applyBorder="1" applyAlignment="1">
      <alignment horizontal="center"/>
    </xf>
    <xf numFmtId="0" fontId="25" fillId="5" borderId="2" xfId="8" applyFont="1" applyFill="1" applyBorder="1" applyAlignment="1">
      <alignment horizontal="center"/>
    </xf>
    <xf numFmtId="164" fontId="22" fillId="9" borderId="2" xfId="6" applyNumberFormat="1" applyFont="1" applyFill="1" applyBorder="1"/>
    <xf numFmtId="9" fontId="25" fillId="5" borderId="2" xfId="8" applyNumberFormat="1" applyFont="1" applyFill="1" applyBorder="1"/>
    <xf numFmtId="168" fontId="25" fillId="5" borderId="2" xfId="8" applyNumberFormat="1" applyFont="1" applyFill="1" applyBorder="1"/>
    <xf numFmtId="14" fontId="25" fillId="11" borderId="2" xfId="8" applyNumberFormat="1" applyFont="1" applyFill="1" applyBorder="1"/>
    <xf numFmtId="164" fontId="25" fillId="9" borderId="2" xfId="1" applyNumberFormat="1" applyFont="1" applyFill="1" applyBorder="1"/>
    <xf numFmtId="14" fontId="25" fillId="9" borderId="2" xfId="8" applyNumberFormat="1" applyFont="1" applyFill="1" applyBorder="1"/>
    <xf numFmtId="164" fontId="22" fillId="10" borderId="2" xfId="6" applyNumberFormat="1" applyFont="1" applyFill="1" applyBorder="1"/>
    <xf numFmtId="164" fontId="22" fillId="5" borderId="2" xfId="6" applyNumberFormat="1" applyFont="1" applyFill="1" applyBorder="1"/>
    <xf numFmtId="3" fontId="25" fillId="9" borderId="2" xfId="1" applyNumberFormat="1" applyFont="1" applyFill="1" applyBorder="1"/>
    <xf numFmtId="9" fontId="25" fillId="9" borderId="2" xfId="8" applyNumberFormat="1" applyFont="1" applyFill="1" applyBorder="1"/>
    <xf numFmtId="3" fontId="25" fillId="5" borderId="2" xfId="1" applyNumberFormat="1" applyFont="1" applyFill="1" applyBorder="1"/>
    <xf numFmtId="164" fontId="25" fillId="5" borderId="2" xfId="1" applyNumberFormat="1" applyFont="1" applyFill="1" applyBorder="1"/>
    <xf numFmtId="0" fontId="25" fillId="12" borderId="2" xfId="0" applyFont="1" applyFill="1" applyBorder="1"/>
    <xf numFmtId="176" fontId="22" fillId="5" borderId="2" xfId="0" applyNumberFormat="1" applyFont="1" applyFill="1" applyBorder="1"/>
    <xf numFmtId="9" fontId="25" fillId="5" borderId="2" xfId="0" applyNumberFormat="1" applyFont="1" applyFill="1" applyBorder="1"/>
    <xf numFmtId="168" fontId="25" fillId="5" borderId="2" xfId="0" applyNumberFormat="1" applyFont="1" applyFill="1" applyBorder="1"/>
    <xf numFmtId="14" fontId="25" fillId="11" borderId="2" xfId="0" applyNumberFormat="1" applyFont="1" applyFill="1" applyBorder="1"/>
    <xf numFmtId="176" fontId="22" fillId="9" borderId="2" xfId="0" applyNumberFormat="1" applyFont="1" applyFill="1" applyBorder="1"/>
    <xf numFmtId="9" fontId="25" fillId="9" borderId="2" xfId="0" applyNumberFormat="1" applyFont="1" applyFill="1" applyBorder="1"/>
    <xf numFmtId="14" fontId="25" fillId="9" borderId="2" xfId="0" applyNumberFormat="1" applyFont="1" applyFill="1" applyBorder="1"/>
    <xf numFmtId="164" fontId="25" fillId="14" borderId="2" xfId="8" applyNumberFormat="1" applyFont="1" applyFill="1" applyBorder="1"/>
    <xf numFmtId="164" fontId="25" fillId="14" borderId="2" xfId="1" applyNumberFormat="1" applyFont="1" applyFill="1" applyBorder="1"/>
    <xf numFmtId="0" fontId="25" fillId="9" borderId="2" xfId="8" applyFont="1" applyFill="1" applyBorder="1"/>
    <xf numFmtId="10" fontId="25" fillId="9" borderId="2" xfId="8" applyNumberFormat="1" applyFont="1" applyFill="1" applyBorder="1"/>
    <xf numFmtId="164" fontId="25" fillId="9" borderId="2" xfId="8" applyNumberFormat="1" applyFont="1" applyFill="1" applyBorder="1"/>
    <xf numFmtId="0" fontId="25" fillId="12" borderId="2" xfId="8" applyFont="1" applyFill="1" applyBorder="1" applyAlignment="1">
      <alignment horizontal="right"/>
    </xf>
    <xf numFmtId="164" fontId="22" fillId="14" borderId="2" xfId="6" applyNumberFormat="1" applyFont="1" applyFill="1" applyBorder="1"/>
    <xf numFmtId="164" fontId="25" fillId="14" borderId="2" xfId="6" applyNumberFormat="1" applyFont="1" applyFill="1" applyBorder="1"/>
    <xf numFmtId="164" fontId="27" fillId="14" borderId="3" xfId="6" applyNumberFormat="1" applyFont="1" applyFill="1" applyBorder="1"/>
    <xf numFmtId="0" fontId="25" fillId="13" borderId="2" xfId="8" applyFont="1" applyFill="1" applyBorder="1"/>
    <xf numFmtId="168" fontId="25" fillId="9" borderId="2" xfId="8" applyNumberFormat="1" applyFont="1" applyFill="1" applyBorder="1"/>
    <xf numFmtId="43" fontId="25" fillId="9" borderId="2" xfId="8" applyNumberFormat="1" applyFont="1" applyFill="1" applyBorder="1"/>
    <xf numFmtId="164" fontId="27" fillId="9" borderId="3" xfId="6" applyNumberFormat="1" applyFont="1" applyFill="1" applyBorder="1"/>
    <xf numFmtId="14" fontId="25" fillId="13" borderId="2" xfId="8" applyNumberFormat="1" applyFont="1" applyFill="1" applyBorder="1"/>
    <xf numFmtId="0" fontId="25" fillId="12" borderId="2" xfId="8" applyFont="1" applyFill="1" applyBorder="1" applyAlignment="1">
      <alignment horizontal="center" wrapText="1"/>
    </xf>
    <xf numFmtId="175" fontId="25" fillId="9" borderId="2" xfId="8" applyNumberFormat="1" applyFont="1" applyFill="1" applyBorder="1"/>
    <xf numFmtId="175" fontId="25" fillId="10" borderId="2" xfId="8" applyNumberFormat="1" applyFont="1" applyFill="1" applyBorder="1"/>
    <xf numFmtId="4" fontId="25" fillId="9" borderId="2" xfId="8" applyNumberFormat="1" applyFont="1" applyFill="1" applyBorder="1"/>
    <xf numFmtId="10" fontId="25" fillId="5" borderId="2" xfId="8" applyNumberFormat="1" applyFont="1" applyFill="1" applyBorder="1"/>
    <xf numFmtId="10" fontId="25" fillId="14" borderId="2" xfId="8" applyNumberFormat="1" applyFont="1" applyFill="1" applyBorder="1"/>
    <xf numFmtId="0" fontId="25" fillId="11" borderId="2" xfId="8" applyFont="1" applyFill="1" applyBorder="1" applyAlignment="1">
      <alignment horizontal="center"/>
    </xf>
    <xf numFmtId="10" fontId="25" fillId="11" borderId="2" xfId="8" applyNumberFormat="1" applyFont="1" applyFill="1" applyBorder="1" applyAlignment="1">
      <alignment horizontal="center"/>
    </xf>
    <xf numFmtId="171" fontId="25" fillId="5" borderId="2" xfId="8" applyNumberFormat="1" applyFont="1" applyFill="1" applyBorder="1"/>
    <xf numFmtId="171" fontId="25" fillId="9" borderId="2" xfId="8" applyNumberFormat="1" applyFont="1" applyFill="1" applyBorder="1"/>
    <xf numFmtId="171" fontId="25" fillId="14" borderId="2" xfId="8" applyNumberFormat="1" applyFont="1" applyFill="1" applyBorder="1"/>
    <xf numFmtId="165" fontId="25" fillId="9" borderId="2" xfId="8" applyNumberFormat="1" applyFont="1" applyFill="1" applyBorder="1" applyAlignment="1">
      <alignment horizontal="center"/>
    </xf>
    <xf numFmtId="0" fontId="25" fillId="9" borderId="2" xfId="8" applyFont="1" applyFill="1" applyBorder="1" applyAlignment="1">
      <alignment horizontal="center"/>
    </xf>
    <xf numFmtId="164" fontId="22" fillId="11" borderId="2" xfId="6" applyNumberFormat="1" applyFont="1" applyFill="1" applyBorder="1"/>
    <xf numFmtId="164" fontId="25" fillId="5" borderId="2" xfId="8" applyNumberFormat="1" applyFont="1" applyFill="1" applyBorder="1"/>
    <xf numFmtId="164" fontId="30" fillId="5" borderId="3" xfId="6" applyNumberFormat="1" applyFont="1" applyFill="1" applyBorder="1"/>
    <xf numFmtId="164" fontId="30" fillId="14" borderId="3" xfId="6" applyNumberFormat="1" applyFont="1" applyFill="1" applyBorder="1"/>
    <xf numFmtId="164" fontId="30" fillId="11" borderId="3" xfId="6" applyNumberFormat="1" applyFont="1" applyFill="1" applyBorder="1"/>
    <xf numFmtId="0" fontId="25" fillId="11" borderId="2" xfId="8" applyFont="1" applyFill="1" applyBorder="1"/>
    <xf numFmtId="164" fontId="27" fillId="5" borderId="3" xfId="6" applyNumberFormat="1" applyFont="1" applyFill="1" applyBorder="1"/>
    <xf numFmtId="164" fontId="30" fillId="9" borderId="3" xfId="8" applyNumberFormat="1" applyFont="1" applyFill="1" applyBorder="1"/>
    <xf numFmtId="0" fontId="25" fillId="9" borderId="2" xfId="8" quotePrefix="1" applyFont="1" applyFill="1" applyBorder="1"/>
    <xf numFmtId="43" fontId="25" fillId="9" borderId="2" xfId="1" applyFont="1" applyFill="1" applyBorder="1"/>
    <xf numFmtId="11" fontId="25" fillId="12" borderId="2" xfId="8" applyNumberFormat="1" applyFont="1" applyFill="1" applyBorder="1"/>
    <xf numFmtId="164" fontId="25" fillId="10" borderId="2" xfId="1" applyNumberFormat="1" applyFont="1" applyFill="1" applyBorder="1"/>
    <xf numFmtId="164" fontId="30" fillId="5" borderId="3" xfId="8" applyNumberFormat="1" applyFont="1" applyFill="1" applyBorder="1"/>
    <xf numFmtId="0" fontId="25" fillId="12" borderId="2" xfId="8" quotePrefix="1" applyFont="1" applyFill="1" applyBorder="1"/>
    <xf numFmtId="165" fontId="22" fillId="13" borderId="2" xfId="13" applyNumberFormat="1" applyFont="1" applyFill="1" applyBorder="1" applyAlignment="1">
      <alignment horizontal="center" vertical="center"/>
    </xf>
    <xf numFmtId="164" fontId="22" fillId="13" borderId="2" xfId="1" applyNumberFormat="1" applyFont="1" applyFill="1" applyBorder="1"/>
    <xf numFmtId="167" fontId="22" fillId="11" borderId="2" xfId="0" applyNumberFormat="1" applyFont="1" applyFill="1" applyBorder="1" applyAlignment="1">
      <alignment horizontal="center"/>
    </xf>
    <xf numFmtId="167" fontId="22" fillId="13" borderId="2" xfId="0" applyNumberFormat="1" applyFont="1" applyFill="1" applyBorder="1" applyAlignment="1">
      <alignment horizontal="center"/>
    </xf>
    <xf numFmtId="167" fontId="22" fillId="9" borderId="2" xfId="2" applyNumberFormat="1" applyFont="1" applyFill="1" applyBorder="1"/>
    <xf numFmtId="3" fontId="29" fillId="9" borderId="2" xfId="0" applyNumberFormat="1" applyFont="1" applyFill="1" applyBorder="1"/>
    <xf numFmtId="0" fontId="28" fillId="12" borderId="2" xfId="0" applyFont="1" applyFill="1" applyBorder="1" applyAlignment="1">
      <alignment horizontal="left"/>
    </xf>
    <xf numFmtId="165" fontId="22" fillId="11" borderId="2" xfId="1" applyNumberFormat="1" applyFont="1" applyFill="1" applyBorder="1" applyAlignment="1">
      <alignment horizontal="center"/>
    </xf>
    <xf numFmtId="0" fontId="22" fillId="9" borderId="2" xfId="1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left"/>
    </xf>
    <xf numFmtId="0" fontId="28" fillId="12" borderId="2" xfId="0" applyFont="1" applyFill="1" applyBorder="1"/>
    <xf numFmtId="9" fontId="22" fillId="9" borderId="2" xfId="1" applyNumberFormat="1" applyFont="1" applyFill="1" applyBorder="1"/>
    <xf numFmtId="14" fontId="22" fillId="9" borderId="2" xfId="0" applyNumberFormat="1" applyFont="1" applyFill="1" applyBorder="1"/>
    <xf numFmtId="4" fontId="23" fillId="12" borderId="2" xfId="0" applyNumberFormat="1" applyFont="1" applyFill="1" applyBorder="1"/>
    <xf numFmtId="164" fontId="23" fillId="10" borderId="2" xfId="1" applyNumberFormat="1" applyFont="1" applyFill="1" applyBorder="1"/>
    <xf numFmtId="164" fontId="23" fillId="14" borderId="2" xfId="1" applyNumberFormat="1" applyFont="1" applyFill="1" applyBorder="1"/>
    <xf numFmtId="164" fontId="23" fillId="9" borderId="2" xfId="1" applyNumberFormat="1" applyFont="1" applyFill="1" applyBorder="1"/>
    <xf numFmtId="168" fontId="22" fillId="9" borderId="2" xfId="0" applyNumberFormat="1" applyFont="1" applyFill="1" applyBorder="1" applyAlignment="1">
      <alignment horizontal="center"/>
    </xf>
    <xf numFmtId="9" fontId="29" fillId="9" borderId="2" xfId="0" applyNumberFormat="1" applyFont="1" applyFill="1" applyBorder="1"/>
    <xf numFmtId="164" fontId="23" fillId="5" borderId="2" xfId="1" applyNumberFormat="1" applyFont="1" applyFill="1" applyBorder="1"/>
    <xf numFmtId="164" fontId="27" fillId="9" borderId="3" xfId="0" applyNumberFormat="1" applyFont="1" applyFill="1" applyBorder="1"/>
    <xf numFmtId="0" fontId="23" fillId="9" borderId="2" xfId="0" applyFont="1" applyFill="1" applyBorder="1"/>
    <xf numFmtId="168" fontId="22" fillId="10" borderId="2" xfId="1" applyNumberFormat="1" applyFont="1" applyFill="1" applyBorder="1"/>
    <xf numFmtId="0" fontId="23" fillId="12" borderId="2" xfId="0" applyFont="1" applyFill="1" applyBorder="1" applyAlignment="1">
      <alignment horizontal="right"/>
    </xf>
    <xf numFmtId="164" fontId="23" fillId="12" borderId="2" xfId="1" applyNumberFormat="1" applyFont="1" applyFill="1" applyBorder="1"/>
    <xf numFmtId="10" fontId="22" fillId="5" borderId="2" xfId="0" applyNumberFormat="1" applyFont="1" applyFill="1" applyBorder="1" applyAlignment="1">
      <alignment horizontal="center"/>
    </xf>
    <xf numFmtId="9" fontId="22" fillId="5" borderId="2" xfId="1" applyNumberFormat="1" applyFont="1" applyFill="1" applyBorder="1"/>
    <xf numFmtId="9" fontId="22" fillId="10" borderId="2" xfId="1" applyNumberFormat="1" applyFont="1" applyFill="1" applyBorder="1" applyAlignment="1">
      <alignment horizontal="center"/>
    </xf>
    <xf numFmtId="168" fontId="22" fillId="10" borderId="2" xfId="1" applyNumberFormat="1" applyFont="1" applyFill="1" applyBorder="1" applyAlignment="1">
      <alignment horizontal="center"/>
    </xf>
    <xf numFmtId="0" fontId="22" fillId="11" borderId="2" xfId="0" applyFont="1" applyFill="1" applyBorder="1"/>
    <xf numFmtId="9" fontId="22" fillId="9" borderId="2" xfId="1" applyNumberFormat="1" applyFont="1" applyFill="1" applyBorder="1" applyAlignment="1">
      <alignment horizontal="center"/>
    </xf>
    <xf numFmtId="168" fontId="22" fillId="9" borderId="2" xfId="1" applyNumberFormat="1" applyFont="1" applyFill="1" applyBorder="1" applyAlignment="1">
      <alignment horizontal="center"/>
    </xf>
    <xf numFmtId="3" fontId="25" fillId="9" borderId="2" xfId="8" applyNumberFormat="1" applyFont="1" applyFill="1" applyBorder="1"/>
    <xf numFmtId="0" fontId="22" fillId="9" borderId="2" xfId="19" applyFont="1" applyFill="1" applyBorder="1"/>
    <xf numFmtId="3" fontId="25" fillId="5" borderId="2" xfId="8" applyNumberFormat="1" applyFont="1" applyFill="1" applyBorder="1"/>
    <xf numFmtId="3" fontId="25" fillId="10" borderId="2" xfId="8" applyNumberFormat="1" applyFont="1" applyFill="1" applyBorder="1"/>
    <xf numFmtId="3" fontId="25" fillId="14" borderId="2" xfId="8" applyNumberFormat="1" applyFont="1" applyFill="1" applyBorder="1"/>
    <xf numFmtId="14" fontId="25" fillId="12" borderId="2" xfId="8" applyNumberFormat="1" applyFont="1" applyFill="1" applyBorder="1"/>
    <xf numFmtId="0" fontId="25" fillId="12" borderId="2" xfId="8" applyFont="1" applyFill="1" applyBorder="1" applyAlignment="1">
      <alignment horizontal="centerContinuous"/>
    </xf>
    <xf numFmtId="14" fontId="22" fillId="11" borderId="2" xfId="0" applyNumberFormat="1" applyFont="1" applyFill="1" applyBorder="1"/>
    <xf numFmtId="43" fontId="22" fillId="10" borderId="2" xfId="1" applyFont="1" applyFill="1" applyBorder="1"/>
    <xf numFmtId="14" fontId="22" fillId="11" borderId="2" xfId="1" applyNumberFormat="1" applyFont="1" applyFill="1" applyBorder="1"/>
    <xf numFmtId="177" fontId="25" fillId="5" borderId="2" xfId="8" applyNumberFormat="1" applyFont="1" applyFill="1" applyBorder="1"/>
    <xf numFmtId="4" fontId="25" fillId="10" borderId="2" xfId="8" applyNumberFormat="1" applyFont="1" applyFill="1" applyBorder="1"/>
    <xf numFmtId="14" fontId="22" fillId="9" borderId="2" xfId="1" applyNumberFormat="1" applyFont="1" applyFill="1" applyBorder="1"/>
    <xf numFmtId="0" fontId="25" fillId="5" borderId="2" xfId="8" applyFont="1" applyFill="1" applyBorder="1" applyAlignment="1">
      <alignment horizontal="left"/>
    </xf>
    <xf numFmtId="178" fontId="25" fillId="9" borderId="2" xfId="8" applyNumberFormat="1" applyFont="1" applyFill="1" applyBorder="1"/>
    <xf numFmtId="0" fontId="25" fillId="11" borderId="2" xfId="8" applyFont="1" applyFill="1" applyBorder="1" applyAlignment="1">
      <alignment horizontal="left"/>
    </xf>
    <xf numFmtId="178" fontId="25" fillId="5" borderId="2" xfId="8" applyNumberFormat="1" applyFont="1" applyFill="1" applyBorder="1"/>
    <xf numFmtId="164" fontId="22" fillId="5" borderId="2" xfId="1" applyNumberFormat="1" applyFont="1" applyFill="1" applyBorder="1" applyAlignment="1">
      <alignment horizontal="center"/>
    </xf>
    <xf numFmtId="3" fontId="22" fillId="9" borderId="2" xfId="1" applyNumberFormat="1" applyFont="1" applyFill="1" applyBorder="1"/>
    <xf numFmtId="164" fontId="22" fillId="14" borderId="2" xfId="1" applyNumberFormat="1" applyFont="1" applyFill="1" applyBorder="1" applyAlignment="1">
      <alignment horizontal="center"/>
    </xf>
    <xf numFmtId="166" fontId="22" fillId="9" borderId="2" xfId="0" applyNumberFormat="1" applyFont="1" applyFill="1" applyBorder="1"/>
    <xf numFmtId="179" fontId="22" fillId="9" borderId="2" xfId="0" applyNumberFormat="1" applyFont="1" applyFill="1" applyBorder="1"/>
    <xf numFmtId="4" fontId="23" fillId="9" borderId="2" xfId="0" applyNumberFormat="1" applyFont="1" applyFill="1" applyBorder="1"/>
    <xf numFmtId="164" fontId="31" fillId="14" borderId="3" xfId="1" applyNumberFormat="1" applyFont="1" applyFill="1" applyBorder="1"/>
    <xf numFmtId="43" fontId="22" fillId="9" borderId="2" xfId="1" applyFont="1" applyFill="1" applyBorder="1" applyAlignment="1">
      <alignment horizontal="center"/>
    </xf>
    <xf numFmtId="43" fontId="22" fillId="5" borderId="2" xfId="1" applyFont="1" applyFill="1" applyBorder="1"/>
    <xf numFmtId="4" fontId="22" fillId="10" borderId="2" xfId="1" applyNumberFormat="1" applyFont="1" applyFill="1" applyBorder="1"/>
    <xf numFmtId="4" fontId="23" fillId="12" borderId="2" xfId="0" applyNumberFormat="1" applyFont="1" applyFill="1" applyBorder="1" applyAlignment="1">
      <alignment horizontal="right"/>
    </xf>
    <xf numFmtId="9" fontId="22" fillId="5" borderId="2" xfId="2" applyNumberFormat="1" applyFont="1" applyFill="1" applyBorder="1"/>
    <xf numFmtId="9" fontId="22" fillId="9" borderId="2" xfId="2" applyNumberFormat="1" applyFont="1" applyFill="1" applyBorder="1"/>
    <xf numFmtId="165" fontId="25" fillId="11" borderId="2" xfId="0" quotePrefix="1" applyNumberFormat="1" applyFont="1" applyFill="1" applyBorder="1" applyAlignment="1">
      <alignment horizontal="center"/>
    </xf>
    <xf numFmtId="165" fontId="25" fillId="9" borderId="2" xfId="0" quotePrefix="1" applyNumberFormat="1" applyFont="1" applyFill="1" applyBorder="1" applyAlignment="1">
      <alignment horizontal="center"/>
    </xf>
    <xf numFmtId="165" fontId="25" fillId="13" borderId="2" xfId="0" quotePrefix="1" applyNumberFormat="1" applyFont="1" applyFill="1" applyBorder="1" applyAlignment="1">
      <alignment horizontal="center"/>
    </xf>
    <xf numFmtId="0" fontId="28" fillId="9" borderId="2" xfId="0" applyFont="1" applyFill="1" applyBorder="1" applyAlignment="1">
      <alignment horizontal="left"/>
    </xf>
    <xf numFmtId="0" fontId="25" fillId="9" borderId="2" xfId="0" applyFont="1" applyFill="1" applyBorder="1" applyAlignment="1">
      <alignment horizontal="left"/>
    </xf>
    <xf numFmtId="164" fontId="22" fillId="12" borderId="2" xfId="1" applyNumberFormat="1" applyFont="1" applyFill="1" applyBorder="1" applyAlignment="1">
      <alignment horizontal="right"/>
    </xf>
    <xf numFmtId="4" fontId="22" fillId="9" borderId="2" xfId="1" applyNumberFormat="1" applyFont="1" applyFill="1" applyBorder="1"/>
    <xf numFmtId="4" fontId="22" fillId="11" borderId="2" xfId="1" applyNumberFormat="1" applyFont="1" applyFill="1" applyBorder="1"/>
    <xf numFmtId="164" fontId="22" fillId="5" borderId="2" xfId="1" applyNumberFormat="1" applyFont="1" applyFill="1" applyBorder="1" applyAlignment="1">
      <alignment wrapText="1"/>
    </xf>
    <xf numFmtId="164" fontId="22" fillId="10" borderId="2" xfId="1" applyNumberFormat="1" applyFont="1" applyFill="1" applyBorder="1" applyAlignment="1">
      <alignment wrapText="1"/>
    </xf>
    <xf numFmtId="164" fontId="22" fillId="9" borderId="2" xfId="1" applyNumberFormat="1" applyFont="1" applyFill="1" applyBorder="1" applyAlignment="1">
      <alignment wrapText="1"/>
    </xf>
    <xf numFmtId="164" fontId="22" fillId="11" borderId="2" xfId="1" applyNumberFormat="1" applyFont="1" applyFill="1" applyBorder="1"/>
    <xf numFmtId="3" fontId="22" fillId="9" borderId="2" xfId="0" applyNumberFormat="1" applyFont="1" applyFill="1" applyBorder="1" applyAlignment="1">
      <alignment horizontal="center"/>
    </xf>
    <xf numFmtId="15" fontId="22" fillId="9" borderId="2" xfId="0" applyNumberFormat="1" applyFont="1" applyFill="1" applyBorder="1"/>
    <xf numFmtId="168" fontId="22" fillId="9" borderId="2" xfId="3" applyNumberFormat="1" applyFont="1" applyFill="1" applyBorder="1"/>
    <xf numFmtId="10" fontId="22" fillId="9" borderId="2" xfId="2" applyNumberFormat="1" applyFont="1" applyFill="1" applyBorder="1"/>
    <xf numFmtId="10" fontId="22" fillId="11" borderId="2" xfId="2" applyNumberFormat="1" applyFont="1" applyFill="1" applyBorder="1"/>
    <xf numFmtId="166" fontId="22" fillId="12" borderId="2" xfId="2" applyNumberFormat="1" applyFont="1" applyFill="1" applyBorder="1"/>
    <xf numFmtId="168" fontId="22" fillId="5" borderId="2" xfId="3" applyNumberFormat="1" applyFont="1" applyFill="1" applyBorder="1"/>
    <xf numFmtId="10" fontId="22" fillId="9" borderId="2" xfId="1" applyNumberFormat="1" applyFont="1" applyFill="1" applyBorder="1"/>
    <xf numFmtId="168" fontId="23" fillId="5" borderId="2" xfId="1" applyNumberFormat="1" applyFont="1" applyFill="1" applyBorder="1"/>
    <xf numFmtId="43" fontId="22" fillId="9" borderId="2" xfId="0" applyNumberFormat="1" applyFont="1" applyFill="1" applyBorder="1" applyAlignment="1">
      <alignment horizontal="left"/>
    </xf>
    <xf numFmtId="10" fontId="22" fillId="9" borderId="2" xfId="0" applyNumberFormat="1" applyFont="1" applyFill="1" applyBorder="1" applyAlignment="1">
      <alignment horizontal="right"/>
    </xf>
    <xf numFmtId="0" fontId="23" fillId="9" borderId="2" xfId="0" applyFont="1" applyFill="1" applyBorder="1" applyAlignment="1">
      <alignment horizontal="center"/>
    </xf>
    <xf numFmtId="164" fontId="23" fillId="9" borderId="2" xfId="1" applyNumberFormat="1" applyFont="1" applyFill="1" applyBorder="1" applyAlignment="1">
      <alignment horizontal="center"/>
    </xf>
    <xf numFmtId="168" fontId="23" fillId="9" borderId="2" xfId="3" applyNumberFormat="1" applyFont="1" applyFill="1" applyBorder="1"/>
    <xf numFmtId="164" fontId="23" fillId="9" borderId="2" xfId="0" applyNumberFormat="1" applyFont="1" applyFill="1" applyBorder="1"/>
    <xf numFmtId="164" fontId="27" fillId="10" borderId="3" xfId="1" applyNumberFormat="1" applyFont="1" applyFill="1" applyBorder="1"/>
    <xf numFmtId="9" fontId="22" fillId="5" borderId="2" xfId="3" applyFont="1" applyFill="1" applyBorder="1"/>
    <xf numFmtId="164" fontId="27" fillId="11" borderId="3" xfId="1" applyNumberFormat="1" applyFont="1" applyFill="1" applyBorder="1"/>
    <xf numFmtId="10" fontId="22" fillId="5" borderId="2" xfId="1" applyNumberFormat="1" applyFont="1" applyFill="1" applyBorder="1"/>
    <xf numFmtId="166" fontId="23" fillId="9" borderId="2" xfId="2" applyNumberFormat="1" applyFont="1" applyFill="1" applyBorder="1"/>
    <xf numFmtId="168" fontId="22" fillId="11" borderId="2" xfId="1" applyNumberFormat="1" applyFont="1" applyFill="1" applyBorder="1" applyAlignment="1">
      <alignment horizontal="center"/>
    </xf>
    <xf numFmtId="164" fontId="22" fillId="14" borderId="2" xfId="0" applyNumberFormat="1" applyFont="1" applyFill="1" applyBorder="1"/>
    <xf numFmtId="164" fontId="22" fillId="10" borderId="2" xfId="0" applyNumberFormat="1" applyFont="1" applyFill="1" applyBorder="1"/>
    <xf numFmtId="164" fontId="22" fillId="12" borderId="2" xfId="0" applyNumberFormat="1" applyFont="1" applyFill="1" applyBorder="1" applyAlignment="1">
      <alignment horizontal="left"/>
    </xf>
    <xf numFmtId="14" fontId="22" fillId="11" borderId="2" xfId="0" applyNumberFormat="1" applyFont="1" applyFill="1" applyBorder="1" applyAlignment="1">
      <alignment horizontal="center"/>
    </xf>
    <xf numFmtId="164" fontId="22" fillId="12" borderId="2" xfId="0" applyNumberFormat="1" applyFont="1" applyFill="1" applyBorder="1"/>
    <xf numFmtId="166" fontId="22" fillId="10" borderId="2" xfId="0" applyNumberFormat="1" applyFont="1" applyFill="1" applyBorder="1"/>
    <xf numFmtId="166" fontId="22" fillId="5" borderId="2" xfId="0" applyNumberFormat="1" applyFont="1" applyFill="1" applyBorder="1"/>
    <xf numFmtId="166" fontId="22" fillId="14" borderId="2" xfId="0" applyNumberFormat="1" applyFont="1" applyFill="1" applyBorder="1"/>
    <xf numFmtId="9" fontId="22" fillId="12" borderId="2" xfId="0" applyNumberFormat="1" applyFont="1" applyFill="1" applyBorder="1" applyAlignment="1">
      <alignment horizontal="right"/>
    </xf>
    <xf numFmtId="164" fontId="22" fillId="11" borderId="2" xfId="1" applyNumberFormat="1" applyFont="1" applyFill="1" applyBorder="1" applyAlignment="1">
      <alignment horizontal="center"/>
    </xf>
    <xf numFmtId="176" fontId="22" fillId="9" borderId="2" xfId="1" applyNumberFormat="1" applyFont="1" applyFill="1" applyBorder="1"/>
    <xf numFmtId="9" fontId="22" fillId="5" borderId="2" xfId="0" applyNumberFormat="1" applyFont="1" applyFill="1" applyBorder="1"/>
    <xf numFmtId="176" fontId="22" fillId="5" borderId="2" xfId="1" applyNumberFormat="1" applyFont="1" applyFill="1" applyBorder="1"/>
    <xf numFmtId="43" fontId="22" fillId="10" borderId="2" xfId="0" applyNumberFormat="1" applyFont="1" applyFill="1" applyBorder="1"/>
    <xf numFmtId="176" fontId="22" fillId="14" borderId="2" xfId="0" applyNumberFormat="1" applyFont="1" applyFill="1" applyBorder="1"/>
    <xf numFmtId="176" fontId="22" fillId="9" borderId="2" xfId="15" applyNumberFormat="1" applyFont="1" applyFill="1" applyBorder="1"/>
    <xf numFmtId="176" fontId="22" fillId="9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/>
    <xf numFmtId="176" fontId="22" fillId="10" borderId="2" xfId="15" applyNumberFormat="1" applyFont="1" applyFill="1" applyBorder="1"/>
    <xf numFmtId="176" fontId="22" fillId="14" borderId="2" xfId="15" applyNumberFormat="1" applyFont="1" applyFill="1" applyBorder="1"/>
    <xf numFmtId="176" fontId="27" fillId="5" borderId="3" xfId="15" applyNumberFormat="1" applyFont="1" applyFill="1" applyBorder="1"/>
    <xf numFmtId="176" fontId="27" fillId="14" borderId="3" xfId="15" applyNumberFormat="1" applyFont="1" applyFill="1" applyBorder="1"/>
    <xf numFmtId="4" fontId="23" fillId="12" borderId="2" xfId="0" applyNumberFormat="1" applyFont="1" applyFill="1" applyBorder="1" applyAlignment="1">
      <alignment horizontal="left"/>
    </xf>
    <xf numFmtId="164" fontId="22" fillId="9" borderId="2" xfId="15" applyNumberFormat="1" applyFont="1" applyFill="1" applyBorder="1"/>
    <xf numFmtId="168" fontId="22" fillId="9" borderId="2" xfId="15" applyNumberFormat="1" applyFont="1" applyFill="1" applyBorder="1"/>
    <xf numFmtId="9" fontId="22" fillId="9" borderId="2" xfId="17" applyNumberFormat="1" applyFont="1" applyFill="1" applyBorder="1"/>
    <xf numFmtId="9" fontId="22" fillId="5" borderId="2" xfId="17" applyNumberFormat="1" applyFont="1" applyFill="1" applyBorder="1"/>
    <xf numFmtId="4" fontId="22" fillId="12" borderId="2" xfId="0" applyNumberFormat="1" applyFont="1" applyFill="1" applyBorder="1"/>
    <xf numFmtId="4" fontId="22" fillId="9" borderId="2" xfId="17" applyNumberFormat="1" applyFont="1" applyFill="1" applyBorder="1"/>
    <xf numFmtId="4" fontId="22" fillId="10" borderId="2" xfId="17" applyNumberFormat="1" applyFont="1" applyFill="1" applyBorder="1"/>
    <xf numFmtId="4" fontId="22" fillId="12" borderId="2" xfId="0" applyNumberFormat="1" applyFont="1" applyFill="1" applyBorder="1" applyAlignment="1">
      <alignment horizontal="right"/>
    </xf>
    <xf numFmtId="4" fontId="22" fillId="5" borderId="2" xfId="17" applyNumberFormat="1" applyFont="1" applyFill="1" applyBorder="1"/>
    <xf numFmtId="3" fontId="22" fillId="10" borderId="2" xfId="17" applyNumberFormat="1" applyFont="1" applyFill="1" applyBorder="1"/>
    <xf numFmtId="14" fontId="22" fillId="11" borderId="2" xfId="15" applyNumberFormat="1" applyFont="1" applyFill="1" applyBorder="1" applyAlignment="1">
      <alignment horizontal="center"/>
    </xf>
    <xf numFmtId="4" fontId="22" fillId="9" borderId="2" xfId="0" applyNumberFormat="1" applyFont="1" applyFill="1" applyBorder="1" applyAlignment="1">
      <alignment horizontal="right"/>
    </xf>
    <xf numFmtId="176" fontId="23" fillId="9" borderId="2" xfId="15" applyNumberFormat="1" applyFont="1" applyFill="1" applyBorder="1"/>
    <xf numFmtId="176" fontId="23" fillId="5" borderId="2" xfId="15" applyNumberFormat="1" applyFont="1" applyFill="1" applyBorder="1"/>
    <xf numFmtId="176" fontId="23" fillId="10" borderId="2" xfId="15" applyNumberFormat="1" applyFont="1" applyFill="1" applyBorder="1"/>
    <xf numFmtId="9" fontId="22" fillId="10" borderId="2" xfId="0" applyNumberFormat="1" applyFont="1" applyFill="1" applyBorder="1" applyAlignment="1">
      <alignment horizontal="center"/>
    </xf>
    <xf numFmtId="176" fontId="22" fillId="12" borderId="2" xfId="15" applyNumberFormat="1" applyFont="1" applyFill="1" applyBorder="1"/>
    <xf numFmtId="0" fontId="27" fillId="5" borderId="3" xfId="0" applyFont="1" applyFill="1" applyBorder="1"/>
    <xf numFmtId="176" fontId="27" fillId="9" borderId="3" xfId="0" applyNumberFormat="1" applyFont="1" applyFill="1" applyBorder="1"/>
    <xf numFmtId="176" fontId="27" fillId="9" borderId="3" xfId="15" applyNumberFormat="1" applyFont="1" applyFill="1" applyBorder="1"/>
    <xf numFmtId="176" fontId="22" fillId="10" borderId="2" xfId="0" applyNumberFormat="1" applyFont="1" applyFill="1" applyBorder="1"/>
    <xf numFmtId="11" fontId="22" fillId="9" borderId="2" xfId="1" applyNumberFormat="1" applyFont="1" applyFill="1" applyBorder="1"/>
    <xf numFmtId="0" fontId="22" fillId="10" borderId="2" xfId="0" applyFont="1" applyFill="1" applyBorder="1"/>
    <xf numFmtId="3" fontId="27" fillId="14" borderId="3" xfId="0" applyNumberFormat="1" applyFont="1" applyFill="1" applyBorder="1"/>
    <xf numFmtId="180" fontId="22" fillId="5" borderId="2" xfId="0" applyNumberFormat="1" applyFont="1" applyFill="1" applyBorder="1"/>
    <xf numFmtId="0" fontId="23" fillId="9" borderId="2" xfId="0" applyFont="1" applyFill="1" applyBorder="1" applyAlignment="1">
      <alignment horizontal="right"/>
    </xf>
    <xf numFmtId="3" fontId="22" fillId="9" borderId="2" xfId="17" applyNumberFormat="1" applyFont="1" applyFill="1" applyBorder="1"/>
    <xf numFmtId="0" fontId="0" fillId="0" borderId="2" xfId="0" applyBorder="1"/>
    <xf numFmtId="0" fontId="10" fillId="0" borderId="2" xfId="0" applyFont="1" applyBorder="1"/>
    <xf numFmtId="0" fontId="12" fillId="0" borderId="2" xfId="0" applyFont="1" applyBorder="1"/>
    <xf numFmtId="164" fontId="27" fillId="5" borderId="2" xfId="1" applyNumberFormat="1" applyFont="1" applyFill="1" applyBorder="1" applyAlignment="1">
      <alignment vertical="center"/>
    </xf>
    <xf numFmtId="164" fontId="19" fillId="5" borderId="2" xfId="1" applyNumberFormat="1" applyFont="1" applyFill="1" applyBorder="1"/>
    <xf numFmtId="0" fontId="0" fillId="7" borderId="2" xfId="0" applyFill="1" applyBorder="1"/>
    <xf numFmtId="0" fontId="10" fillId="15" borderId="0" xfId="0" applyFont="1" applyFill="1" applyBorder="1"/>
    <xf numFmtId="0" fontId="10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33" fillId="9" borderId="5" xfId="0" applyFont="1" applyFill="1"/>
    <xf numFmtId="0" fontId="35" fillId="9" borderId="5" xfId="0" applyFont="1" applyFill="1" applyAlignment="1">
      <alignment horizontal="left"/>
    </xf>
    <xf numFmtId="0" fontId="35" fillId="9" borderId="5" xfId="0" applyFont="1" applyFill="1"/>
    <xf numFmtId="0" fontId="33" fillId="16" borderId="5" xfId="13" applyFont="1" applyFill="1" applyAlignment="1">
      <alignment vertical="center"/>
    </xf>
    <xf numFmtId="0" fontId="33" fillId="16" borderId="5" xfId="13" applyFont="1" applyFill="1" applyAlignment="1">
      <alignment horizontal="left" vertical="center"/>
    </xf>
    <xf numFmtId="165" fontId="33" fillId="16" borderId="5" xfId="13" applyNumberFormat="1" applyFont="1" applyFill="1" applyAlignment="1">
      <alignment horizontal="right" vertical="center"/>
    </xf>
    <xf numFmtId="165" fontId="33" fillId="16" borderId="5" xfId="13" applyNumberFormat="1" applyFont="1" applyFill="1" applyAlignment="1">
      <alignment horizontal="center" vertical="center"/>
    </xf>
    <xf numFmtId="0" fontId="33" fillId="16" borderId="5" xfId="0" applyFont="1" applyFill="1"/>
    <xf numFmtId="0" fontId="33" fillId="16" borderId="5" xfId="13" applyFont="1" applyFill="1" applyAlignment="1">
      <alignment horizontal="right" vertical="center"/>
    </xf>
    <xf numFmtId="0" fontId="33" fillId="16" borderId="5" xfId="13" applyFont="1" applyFill="1" applyAlignment="1">
      <alignment horizontal="center" vertical="center"/>
    </xf>
    <xf numFmtId="168" fontId="32" fillId="12" borderId="5" xfId="3" applyNumberFormat="1" applyFont="1" applyFill="1" applyAlignment="1">
      <alignment horizontal="left" vertical="center"/>
    </xf>
    <xf numFmtId="168" fontId="32" fillId="12" borderId="5" xfId="3" applyNumberFormat="1" applyFont="1" applyFill="1" applyAlignment="1">
      <alignment vertical="center"/>
    </xf>
    <xf numFmtId="0" fontId="33" fillId="12" borderId="5" xfId="0" applyFont="1" applyFill="1"/>
    <xf numFmtId="0" fontId="33" fillId="12" borderId="5" xfId="13" applyFont="1" applyFill="1" applyAlignment="1">
      <alignment horizontal="left" vertical="center"/>
    </xf>
    <xf numFmtId="0" fontId="33" fillId="12" borderId="5" xfId="13" applyFont="1" applyFill="1" applyAlignment="1">
      <alignment vertical="center"/>
    </xf>
    <xf numFmtId="0" fontId="33" fillId="9" borderId="5" xfId="13" applyFont="1" applyFill="1" applyAlignment="1">
      <alignment horizontal="left" vertical="center"/>
    </xf>
    <xf numFmtId="9" fontId="33" fillId="9" borderId="5" xfId="3" applyFont="1" applyFill="1"/>
    <xf numFmtId="0" fontId="33" fillId="9" borderId="5" xfId="13" applyFont="1" applyFill="1" applyAlignment="1">
      <alignment vertical="center"/>
    </xf>
    <xf numFmtId="0" fontId="33" fillId="9" borderId="5" xfId="13" applyFont="1" applyFill="1" applyAlignment="1">
      <alignment horizontal="left" vertical="center" indent="1"/>
    </xf>
    <xf numFmtId="168" fontId="33" fillId="9" borderId="5" xfId="0" applyNumberFormat="1" applyFont="1" applyFill="1"/>
    <xf numFmtId="9" fontId="33" fillId="9" borderId="5" xfId="0" applyNumberFormat="1" applyFont="1" applyFill="1"/>
    <xf numFmtId="0" fontId="33" fillId="9" borderId="5" xfId="0" applyFont="1" applyFill="1" applyAlignment="1">
      <alignment horizontal="left"/>
    </xf>
    <xf numFmtId="168" fontId="32" fillId="9" borderId="5" xfId="3" applyNumberFormat="1" applyFont="1" applyFill="1" applyAlignment="1">
      <alignment horizontal="left" vertical="center"/>
    </xf>
    <xf numFmtId="168" fontId="32" fillId="9" borderId="5" xfId="3" applyNumberFormat="1" applyFont="1" applyFill="1" applyAlignment="1">
      <alignment horizontal="center" vertical="center"/>
    </xf>
    <xf numFmtId="0" fontId="33" fillId="9" borderId="5" xfId="0" applyFont="1" applyFill="1" applyAlignment="1">
      <alignment horizontal="center"/>
    </xf>
    <xf numFmtId="0" fontId="33" fillId="9" borderId="5" xfId="13" applyFont="1" applyFill="1" applyAlignment="1">
      <alignment horizontal="center" vertical="center"/>
    </xf>
    <xf numFmtId="0" fontId="33" fillId="9" borderId="5" xfId="13" applyFont="1" applyFill="1" applyAlignment="1">
      <alignment horizontal="right" vertical="center"/>
    </xf>
    <xf numFmtId="174" fontId="33" fillId="9" borderId="5" xfId="13" applyNumberFormat="1" applyFont="1" applyFill="1" applyAlignment="1">
      <alignment horizontal="right" vertical="center"/>
    </xf>
    <xf numFmtId="0" fontId="33" fillId="12" borderId="5" xfId="13" applyFont="1" applyFill="1" applyAlignment="1">
      <alignment horizontal="left" vertical="center" indent="1"/>
    </xf>
    <xf numFmtId="164" fontId="33" fillId="9" borderId="5" xfId="1" applyNumberFormat="1" applyFont="1" applyFill="1" applyAlignment="1">
      <alignment vertical="center"/>
    </xf>
    <xf numFmtId="0" fontId="33" fillId="12" borderId="5" xfId="13" applyFont="1" applyFill="1" applyAlignment="1">
      <alignment horizontal="right" vertical="center"/>
    </xf>
    <xf numFmtId="164" fontId="33" fillId="11" borderId="6" xfId="1" applyNumberFormat="1" applyFont="1" applyFill="1" applyBorder="1" applyAlignment="1">
      <alignment vertical="center"/>
    </xf>
    <xf numFmtId="164" fontId="33" fillId="14" borderId="6" xfId="1" applyNumberFormat="1" applyFont="1" applyFill="1" applyBorder="1" applyAlignment="1">
      <alignment vertical="center"/>
    </xf>
    <xf numFmtId="164" fontId="33" fillId="9" borderId="6" xfId="1" applyNumberFormat="1" applyFont="1" applyFill="1" applyBorder="1" applyAlignment="1">
      <alignment vertical="center"/>
    </xf>
    <xf numFmtId="0" fontId="33" fillId="12" borderId="5" xfId="0" applyFont="1" applyFill="1" applyAlignment="1">
      <alignment horizontal="left"/>
    </xf>
    <xf numFmtId="164" fontId="33" fillId="9" borderId="5" xfId="1" applyNumberFormat="1" applyFont="1" applyFill="1" applyAlignment="1">
      <alignment horizontal="center"/>
    </xf>
    <xf numFmtId="0" fontId="33" fillId="5" borderId="5" xfId="0" applyFont="1" applyFill="1" applyAlignment="1">
      <alignment horizontal="center"/>
    </xf>
    <xf numFmtId="164" fontId="33" fillId="5" borderId="5" xfId="1" applyNumberFormat="1" applyFont="1" applyFill="1" applyAlignment="1">
      <alignment horizontal="center"/>
    </xf>
    <xf numFmtId="11" fontId="33" fillId="5" borderId="5" xfId="0" applyNumberFormat="1" applyFont="1" applyFill="1" applyAlignment="1">
      <alignment horizontal="center"/>
    </xf>
    <xf numFmtId="0" fontId="33" fillId="12" borderId="5" xfId="0" applyFont="1" applyFill="1" applyAlignment="1">
      <alignment horizontal="right"/>
    </xf>
    <xf numFmtId="164" fontId="33" fillId="14" borderId="5" xfId="1" applyNumberFormat="1" applyFont="1" applyFill="1" applyAlignment="1">
      <alignment horizontal="center"/>
    </xf>
    <xf numFmtId="0" fontId="33" fillId="9" borderId="5" xfId="13" applyFont="1" applyFill="1" applyAlignment="1">
      <alignment horizontal="right" indent="1"/>
    </xf>
    <xf numFmtId="0" fontId="33" fillId="9" borderId="5" xfId="13" applyFont="1" applyFill="1" applyAlignment="1">
      <alignment horizontal="left"/>
    </xf>
    <xf numFmtId="0" fontId="33" fillId="9" borderId="5" xfId="13" applyFont="1" applyFill="1" applyAlignment="1">
      <alignment horizontal="left" indent="1"/>
    </xf>
    <xf numFmtId="4" fontId="33" fillId="9" borderId="5" xfId="0" applyNumberFormat="1" applyFont="1" applyFill="1"/>
    <xf numFmtId="0" fontId="33" fillId="12" borderId="5" xfId="13" applyFont="1" applyFill="1" applyAlignment="1">
      <alignment horizontal="left" indent="1"/>
    </xf>
    <xf numFmtId="0" fontId="33" fillId="12" borderId="5" xfId="13" applyFont="1" applyFill="1" applyAlignment="1">
      <alignment horizontal="left"/>
    </xf>
    <xf numFmtId="164" fontId="33" fillId="5" borderId="5" xfId="1" applyNumberFormat="1" applyFont="1" applyFill="1" applyAlignment="1">
      <alignment vertical="center"/>
    </xf>
    <xf numFmtId="0" fontId="33" fillId="12" borderId="5" xfId="0" applyFont="1" applyFill="1" applyAlignment="1">
      <alignment horizontal="left" indent="1"/>
    </xf>
    <xf numFmtId="164" fontId="33" fillId="5" borderId="5" xfId="0" applyNumberFormat="1" applyFont="1" applyFill="1"/>
    <xf numFmtId="164" fontId="33" fillId="9" borderId="5" xfId="0" applyNumberFormat="1" applyFont="1" applyFill="1"/>
    <xf numFmtId="43" fontId="33" fillId="12" borderId="5" xfId="1" applyFont="1" applyFill="1"/>
    <xf numFmtId="43" fontId="33" fillId="12" borderId="5" xfId="1" applyFont="1" applyFill="1" applyAlignment="1">
      <alignment horizontal="left"/>
    </xf>
    <xf numFmtId="43" fontId="33" fillId="9" borderId="5" xfId="1" applyFont="1" applyFill="1" applyAlignment="1">
      <alignment horizontal="left"/>
    </xf>
    <xf numFmtId="43" fontId="33" fillId="11" borderId="5" xfId="1" applyFont="1" applyFill="1"/>
    <xf numFmtId="43" fontId="33" fillId="5" borderId="5" xfId="1" applyFont="1" applyFill="1"/>
    <xf numFmtId="43" fontId="33" fillId="9" borderId="5" xfId="1" applyFont="1" applyFill="1"/>
    <xf numFmtId="164" fontId="33" fillId="14" borderId="5" xfId="1" applyNumberFormat="1" applyFont="1" applyFill="1" applyAlignment="1">
      <alignment vertical="center"/>
    </xf>
    <xf numFmtId="164" fontId="33" fillId="11" borderId="5" xfId="1" applyNumberFormat="1" applyFont="1" applyFill="1" applyAlignment="1">
      <alignment vertical="center"/>
    </xf>
    <xf numFmtId="164" fontId="33" fillId="9" borderId="5" xfId="1" applyNumberFormat="1" applyFont="1" applyFill="1"/>
    <xf numFmtId="164" fontId="33" fillId="11" borderId="5" xfId="1" applyNumberFormat="1" applyFont="1" applyFill="1" applyAlignment="1">
      <alignment horizontal="right" vertical="center"/>
    </xf>
    <xf numFmtId="164" fontId="33" fillId="14" borderId="5" xfId="1" applyNumberFormat="1" applyFont="1" applyFill="1" applyAlignment="1">
      <alignment horizontal="right" vertical="center"/>
    </xf>
    <xf numFmtId="164" fontId="33" fillId="9" borderId="5" xfId="1" applyNumberFormat="1" applyFont="1" applyFill="1" applyAlignment="1">
      <alignment horizontal="right" vertical="center"/>
    </xf>
    <xf numFmtId="4" fontId="33" fillId="9" borderId="5" xfId="1" applyNumberFormat="1" applyFont="1" applyFill="1" applyAlignment="1">
      <alignment horizontal="center"/>
    </xf>
    <xf numFmtId="9" fontId="33" fillId="9" borderId="5" xfId="3" applyFont="1" applyFill="1" applyAlignment="1">
      <alignment horizontal="center"/>
    </xf>
    <xf numFmtId="0" fontId="34" fillId="12" borderId="5" xfId="0" applyFont="1" applyFill="1"/>
    <xf numFmtId="0" fontId="34" fillId="12" borderId="5" xfId="0" applyFont="1" applyFill="1" applyAlignment="1">
      <alignment horizontal="left"/>
    </xf>
    <xf numFmtId="0" fontId="34" fillId="9" borderId="5" xfId="0" applyFont="1" applyFill="1" applyAlignment="1">
      <alignment horizontal="left"/>
    </xf>
    <xf numFmtId="9" fontId="34" fillId="14" borderId="5" xfId="3" applyFont="1" applyFill="1"/>
    <xf numFmtId="9" fontId="34" fillId="9" borderId="5" xfId="3" applyFont="1" applyFill="1"/>
    <xf numFmtId="9" fontId="34" fillId="9" borderId="5" xfId="3" applyFont="1" applyFill="1" applyAlignment="1">
      <alignment horizontal="center"/>
    </xf>
    <xf numFmtId="9" fontId="34" fillId="9" borderId="5" xfId="0" applyNumberFormat="1" applyFont="1" applyFill="1" applyAlignment="1">
      <alignment horizontal="center"/>
    </xf>
    <xf numFmtId="9" fontId="34" fillId="9" borderId="5" xfId="0" applyNumberFormat="1" applyFont="1" applyFill="1"/>
    <xf numFmtId="0" fontId="34" fillId="9" borderId="5" xfId="0" applyFont="1" applyFill="1"/>
    <xf numFmtId="10" fontId="34" fillId="9" borderId="5" xfId="1" applyNumberFormat="1" applyFont="1" applyFill="1"/>
    <xf numFmtId="4" fontId="34" fillId="9" borderId="5" xfId="3" applyNumberFormat="1" applyFont="1" applyFill="1"/>
    <xf numFmtId="164" fontId="33" fillId="12" borderId="5" xfId="1" applyNumberFormat="1" applyFont="1" applyFill="1" applyAlignment="1">
      <alignment horizontal="right"/>
    </xf>
    <xf numFmtId="164" fontId="33" fillId="12" borderId="5" xfId="1" applyNumberFormat="1" applyFont="1" applyFill="1"/>
    <xf numFmtId="164" fontId="33" fillId="5" borderId="5" xfId="1" applyNumberFormat="1" applyFont="1" applyFill="1"/>
    <xf numFmtId="0" fontId="34" fillId="9" borderId="5" xfId="0" applyFont="1" applyFill="1" applyAlignment="1">
      <alignment horizontal="right"/>
    </xf>
    <xf numFmtId="164" fontId="34" fillId="9" borderId="5" xfId="3" applyNumberFormat="1" applyFont="1" applyFill="1"/>
    <xf numFmtId="3" fontId="34" fillId="9" borderId="5" xfId="3" applyNumberFormat="1" applyFont="1" applyFill="1"/>
    <xf numFmtId="0" fontId="34" fillId="12" borderId="5" xfId="0" applyFont="1" applyFill="1" applyAlignment="1">
      <alignment horizontal="right"/>
    </xf>
    <xf numFmtId="164" fontId="34" fillId="11" borderId="5" xfId="1" applyNumberFormat="1" applyFont="1" applyFill="1"/>
    <xf numFmtId="164" fontId="34" fillId="14" borderId="5" xfId="1" applyNumberFormat="1" applyFont="1" applyFill="1"/>
    <xf numFmtId="164" fontId="34" fillId="9" borderId="5" xfId="1" applyNumberFormat="1" applyFont="1" applyFill="1"/>
    <xf numFmtId="164" fontId="34" fillId="9" borderId="6" xfId="3" applyNumberFormat="1" applyFont="1" applyFill="1" applyBorder="1"/>
    <xf numFmtId="164" fontId="34" fillId="14" borderId="6" xfId="3" applyNumberFormat="1" applyFont="1" applyFill="1" applyBorder="1"/>
    <xf numFmtId="9" fontId="33" fillId="9" borderId="5" xfId="0" applyNumberFormat="1" applyFont="1" applyFill="1" applyAlignment="1">
      <alignment horizontal="center"/>
    </xf>
    <xf numFmtId="164" fontId="33" fillId="9" borderId="6" xfId="1" applyNumberFormat="1" applyFont="1" applyFill="1" applyBorder="1"/>
    <xf numFmtId="164" fontId="33" fillId="14" borderId="6" xfId="1" applyNumberFormat="1" applyFont="1" applyFill="1" applyBorder="1"/>
    <xf numFmtId="0" fontId="33" fillId="9" borderId="5" xfId="0" applyFont="1" applyFill="1" applyAlignment="1">
      <alignment horizontal="right"/>
    </xf>
    <xf numFmtId="3" fontId="33" fillId="9" borderId="5" xfId="0" applyNumberFormat="1" applyFont="1" applyFill="1"/>
    <xf numFmtId="164" fontId="33" fillId="9" borderId="6" xfId="0" applyNumberFormat="1" applyFont="1" applyFill="1" applyBorder="1"/>
    <xf numFmtId="164" fontId="33" fillId="14" borderId="6" xfId="0" applyNumberFormat="1" applyFont="1" applyFill="1" applyBorder="1"/>
    <xf numFmtId="164" fontId="33" fillId="9" borderId="5" xfId="1" applyNumberFormat="1" applyFont="1" applyFill="1" applyAlignment="1">
      <alignment horizontal="left"/>
    </xf>
    <xf numFmtId="3" fontId="35" fillId="9" borderId="5" xfId="0" applyNumberFormat="1" applyFont="1" applyFill="1"/>
    <xf numFmtId="0" fontId="36" fillId="9" borderId="5" xfId="0" applyFont="1" applyFill="1" applyAlignment="1">
      <alignment horizontal="center"/>
    </xf>
    <xf numFmtId="0" fontId="35" fillId="12" borderId="5" xfId="0" applyFont="1" applyFill="1"/>
    <xf numFmtId="164" fontId="33" fillId="11" borderId="5" xfId="1" applyNumberFormat="1" applyFont="1" applyFill="1"/>
    <xf numFmtId="0" fontId="35" fillId="12" borderId="5" xfId="0" applyFont="1" applyFill="1" applyAlignment="1">
      <alignment horizontal="left"/>
    </xf>
    <xf numFmtId="164" fontId="35" fillId="9" borderId="6" xfId="0" applyNumberFormat="1" applyFont="1" applyFill="1" applyBorder="1"/>
    <xf numFmtId="164" fontId="35" fillId="14" borderId="6" xfId="0" applyNumberFormat="1" applyFont="1" applyFill="1" applyBorder="1"/>
    <xf numFmtId="164" fontId="33" fillId="12" borderId="5" xfId="1" applyNumberFormat="1" applyFont="1" applyFill="1" applyAlignment="1">
      <alignment horizontal="left" indent="2"/>
    </xf>
    <xf numFmtId="0" fontId="35" fillId="9" borderId="5" xfId="13" applyFont="1" applyFill="1" applyAlignment="1">
      <alignment vertical="center"/>
    </xf>
    <xf numFmtId="168" fontId="37" fillId="9" borderId="5" xfId="3" applyNumberFormat="1" applyFont="1" applyFill="1" applyAlignment="1">
      <alignment horizontal="center" vertical="center"/>
    </xf>
    <xf numFmtId="0" fontId="35" fillId="16" borderId="5" xfId="13" applyFont="1" applyFill="1" applyAlignment="1">
      <alignment vertical="center"/>
    </xf>
    <xf numFmtId="165" fontId="35" fillId="16" borderId="5" xfId="13" applyNumberFormat="1" applyFont="1" applyFill="1" applyAlignment="1">
      <alignment horizontal="center" vertical="center"/>
    </xf>
    <xf numFmtId="0" fontId="35" fillId="16" borderId="5" xfId="13" applyFont="1" applyFill="1" applyAlignment="1">
      <alignment horizontal="center" vertical="center"/>
    </xf>
    <xf numFmtId="174" fontId="35" fillId="16" borderId="5" xfId="13" applyNumberFormat="1" applyFont="1" applyFill="1" applyAlignment="1">
      <alignment horizontal="center" vertical="center"/>
    </xf>
    <xf numFmtId="174" fontId="35" fillId="16" borderId="5" xfId="13" applyNumberFormat="1" applyFont="1" applyFill="1" applyAlignment="1">
      <alignment horizontal="right" vertical="center"/>
    </xf>
    <xf numFmtId="0" fontId="35" fillId="9" borderId="5" xfId="13" applyFont="1" applyFill="1" applyAlignment="1">
      <alignment horizontal="center" vertical="center"/>
    </xf>
    <xf numFmtId="174" fontId="35" fillId="9" borderId="5" xfId="13" applyNumberFormat="1" applyFont="1" applyFill="1" applyAlignment="1">
      <alignment horizontal="center" vertical="center"/>
    </xf>
    <xf numFmtId="174" fontId="35" fillId="9" borderId="5" xfId="13" applyNumberFormat="1" applyFont="1" applyFill="1" applyAlignment="1">
      <alignment horizontal="right" vertical="center"/>
    </xf>
    <xf numFmtId="0" fontId="35" fillId="12" borderId="5" xfId="13" applyFont="1" applyFill="1" applyAlignment="1">
      <alignment vertical="center"/>
    </xf>
    <xf numFmtId="164" fontId="35" fillId="9" borderId="5" xfId="13" applyNumberFormat="1" applyFont="1" applyFill="1" applyAlignment="1">
      <alignment vertical="center"/>
    </xf>
    <xf numFmtId="164" fontId="35" fillId="9" borderId="5" xfId="1" applyNumberFormat="1" applyFont="1" applyFill="1" applyAlignment="1">
      <alignment vertical="center"/>
    </xf>
    <xf numFmtId="164" fontId="35" fillId="5" borderId="5" xfId="1" applyNumberFormat="1" applyFont="1" applyFill="1" applyAlignment="1">
      <alignment vertical="center"/>
    </xf>
    <xf numFmtId="164" fontId="35" fillId="12" borderId="5" xfId="1" applyNumberFormat="1" applyFont="1" applyFill="1" applyAlignment="1">
      <alignment vertical="center"/>
    </xf>
    <xf numFmtId="168" fontId="33" fillId="9" borderId="5" xfId="0" applyNumberFormat="1" applyFont="1" applyFill="1" applyAlignment="1">
      <alignment horizontal="center"/>
    </xf>
    <xf numFmtId="164" fontId="35" fillId="11" borderId="5" xfId="1" applyNumberFormat="1" applyFont="1" applyFill="1" applyAlignment="1">
      <alignment vertical="center"/>
    </xf>
    <xf numFmtId="9" fontId="35" fillId="9" borderId="5" xfId="0" applyNumberFormat="1" applyFont="1" applyFill="1"/>
    <xf numFmtId="10" fontId="35" fillId="9" borderId="5" xfId="0" applyNumberFormat="1" applyFont="1" applyFill="1"/>
    <xf numFmtId="43" fontId="35" fillId="9" borderId="5" xfId="1" applyFont="1" applyFill="1" applyAlignment="1">
      <alignment vertical="center"/>
    </xf>
    <xf numFmtId="168" fontId="35" fillId="9" borderId="5" xfId="0" applyNumberFormat="1" applyFont="1" applyFill="1"/>
    <xf numFmtId="0" fontId="35" fillId="12" borderId="5" xfId="13" applyFont="1" applyFill="1" applyAlignment="1">
      <alignment horizontal="right" vertical="center"/>
    </xf>
    <xf numFmtId="164" fontId="35" fillId="14" borderId="5" xfId="1" applyNumberFormat="1" applyFont="1" applyFill="1" applyAlignment="1">
      <alignment vertical="center"/>
    </xf>
    <xf numFmtId="4" fontId="36" fillId="9" borderId="5" xfId="0" applyNumberFormat="1" applyFont="1" applyFill="1" applyAlignment="1">
      <alignment horizontal="center"/>
    </xf>
    <xf numFmtId="0" fontId="35" fillId="5" borderId="5" xfId="0" applyFont="1" applyFill="1"/>
    <xf numFmtId="164" fontId="35" fillId="5" borderId="5" xfId="1" applyNumberFormat="1" applyFont="1" applyFill="1"/>
    <xf numFmtId="164" fontId="35" fillId="9" borderId="5" xfId="1" applyNumberFormat="1" applyFont="1" applyFill="1"/>
    <xf numFmtId="164" fontId="35" fillId="14" borderId="5" xfId="1" applyNumberFormat="1" applyFont="1" applyFill="1"/>
    <xf numFmtId="10" fontId="36" fillId="9" borderId="5" xfId="0" applyNumberFormat="1" applyFont="1" applyFill="1" applyAlignment="1">
      <alignment horizontal="center"/>
    </xf>
    <xf numFmtId="9" fontId="35" fillId="9" borderId="5" xfId="1" applyNumberFormat="1" applyFont="1" applyFill="1" applyAlignment="1">
      <alignment vertical="center"/>
    </xf>
    <xf numFmtId="0" fontId="33" fillId="9" borderId="5" xfId="0" applyFont="1" applyFill="1" applyAlignment="1">
      <alignment horizontal="centerContinuous"/>
    </xf>
    <xf numFmtId="164" fontId="35" fillId="14" borderId="5" xfId="0" applyNumberFormat="1" applyFont="1" applyFill="1"/>
    <xf numFmtId="43" fontId="35" fillId="9" borderId="5" xfId="0" applyNumberFormat="1" applyFont="1" applyFill="1"/>
    <xf numFmtId="43" fontId="35" fillId="14" borderId="5" xfId="0" applyNumberFormat="1" applyFont="1" applyFill="1"/>
    <xf numFmtId="164" fontId="33" fillId="14" borderId="5" xfId="1" applyNumberFormat="1" applyFont="1" applyFill="1"/>
    <xf numFmtId="164" fontId="35" fillId="9" borderId="6" xfId="1" applyNumberFormat="1" applyFont="1" applyFill="1" applyBorder="1" applyAlignment="1">
      <alignment vertical="center"/>
    </xf>
    <xf numFmtId="164" fontId="35" fillId="14" borderId="6" xfId="1" applyNumberFormat="1" applyFont="1" applyFill="1" applyBorder="1" applyAlignment="1">
      <alignment vertical="center"/>
    </xf>
    <xf numFmtId="0" fontId="35" fillId="9" borderId="5" xfId="13" applyFont="1" applyFill="1" applyAlignment="1">
      <alignment horizontal="right" vertical="center"/>
    </xf>
    <xf numFmtId="9" fontId="33" fillId="14" borderId="5" xfId="3" applyFont="1" applyFill="1"/>
    <xf numFmtId="9" fontId="33" fillId="11" borderId="5" xfId="3" applyFont="1" applyFill="1"/>
    <xf numFmtId="9" fontId="33" fillId="5" borderId="5" xfId="3" applyFont="1" applyFill="1"/>
    <xf numFmtId="168" fontId="35" fillId="9" borderId="5" xfId="1" applyNumberFormat="1" applyFont="1" applyFill="1" applyAlignment="1">
      <alignment vertical="center"/>
    </xf>
    <xf numFmtId="168" fontId="35" fillId="14" borderId="5" xfId="1" applyNumberFormat="1" applyFont="1" applyFill="1" applyAlignment="1">
      <alignment vertical="center"/>
    </xf>
    <xf numFmtId="0" fontId="35" fillId="12" borderId="5" xfId="13" applyFont="1" applyFill="1" applyAlignment="1">
      <alignment horizontal="left" vertical="center" indent="1"/>
    </xf>
    <xf numFmtId="0" fontId="35" fillId="12" borderId="5" xfId="13" applyFont="1" applyFill="1" applyAlignment="1">
      <alignment horizontal="left" vertical="center"/>
    </xf>
    <xf numFmtId="4" fontId="33" fillId="9" borderId="5" xfId="1" applyNumberFormat="1" applyFont="1" applyFill="1" applyAlignment="1">
      <alignment horizontal="centerContinuous"/>
    </xf>
    <xf numFmtId="4" fontId="33" fillId="9" borderId="5" xfId="1" applyNumberFormat="1" applyFont="1" applyFill="1"/>
    <xf numFmtId="164" fontId="35" fillId="9" borderId="5" xfId="0" applyNumberFormat="1" applyFont="1" applyFill="1"/>
    <xf numFmtId="0" fontId="0" fillId="0" borderId="5" xfId="0"/>
    <xf numFmtId="0" fontId="33" fillId="9" borderId="7" xfId="0" applyFont="1" applyFill="1" applyBorder="1"/>
    <xf numFmtId="0" fontId="33" fillId="9" borderId="7" xfId="0" applyFont="1" applyFill="1" applyBorder="1" applyAlignment="1">
      <alignment horizontal="center"/>
    </xf>
    <xf numFmtId="4" fontId="33" fillId="9" borderId="7" xfId="0" applyNumberFormat="1" applyFont="1" applyFill="1" applyBorder="1"/>
    <xf numFmtId="0" fontId="33" fillId="16" borderId="7" xfId="0" applyFont="1" applyFill="1" applyBorder="1"/>
    <xf numFmtId="0" fontId="33" fillId="16" borderId="7" xfId="13" applyFont="1" applyFill="1" applyBorder="1" applyAlignment="1">
      <alignment horizontal="left" vertical="center"/>
    </xf>
    <xf numFmtId="165" fontId="33" fillId="16" borderId="7" xfId="13" applyNumberFormat="1" applyFont="1" applyFill="1" applyBorder="1" applyAlignment="1">
      <alignment horizontal="center" vertical="center"/>
    </xf>
    <xf numFmtId="0" fontId="33" fillId="16" borderId="7" xfId="13" applyFont="1" applyFill="1" applyBorder="1" applyAlignment="1">
      <alignment vertical="center"/>
    </xf>
    <xf numFmtId="0" fontId="33" fillId="16" borderId="7" xfId="0" applyFont="1" applyFill="1" applyBorder="1" applyAlignment="1">
      <alignment horizontal="center"/>
    </xf>
    <xf numFmtId="4" fontId="33" fillId="16" borderId="7" xfId="0" applyNumberFormat="1" applyFont="1" applyFill="1" applyBorder="1"/>
    <xf numFmtId="0" fontId="33" fillId="16" borderId="7" xfId="13" applyFont="1" applyFill="1" applyBorder="1" applyAlignment="1">
      <alignment horizontal="center" vertical="center"/>
    </xf>
    <xf numFmtId="174" fontId="33" fillId="16" borderId="7" xfId="13" applyNumberFormat="1" applyFont="1" applyFill="1" applyBorder="1" applyAlignment="1">
      <alignment horizontal="center" vertical="center"/>
    </xf>
    <xf numFmtId="174" fontId="33" fillId="16" borderId="7" xfId="13" applyNumberFormat="1" applyFont="1" applyFill="1" applyBorder="1" applyAlignment="1">
      <alignment horizontal="right" vertical="center"/>
    </xf>
    <xf numFmtId="168" fontId="32" fillId="12" borderId="7" xfId="3" applyNumberFormat="1" applyFont="1" applyFill="1" applyBorder="1" applyAlignment="1">
      <alignment horizontal="left" vertical="center"/>
    </xf>
    <xf numFmtId="168" fontId="32" fillId="12" borderId="7" xfId="3" applyNumberFormat="1" applyFont="1" applyFill="1" applyBorder="1" applyAlignment="1">
      <alignment vertical="center"/>
    </xf>
    <xf numFmtId="0" fontId="33" fillId="9" borderId="7" xfId="13" applyFont="1" applyFill="1" applyBorder="1" applyAlignment="1">
      <alignment horizontal="center" vertical="center"/>
    </xf>
    <xf numFmtId="174" fontId="33" fillId="9" borderId="7" xfId="13" applyNumberFormat="1" applyFont="1" applyFill="1" applyBorder="1" applyAlignment="1">
      <alignment horizontal="center" vertical="center"/>
    </xf>
    <xf numFmtId="174" fontId="33" fillId="9" borderId="7" xfId="13" applyNumberFormat="1" applyFont="1" applyFill="1" applyBorder="1" applyAlignment="1">
      <alignment horizontal="right" vertical="center"/>
    </xf>
    <xf numFmtId="0" fontId="33" fillId="12" borderId="7" xfId="0" applyFont="1" applyFill="1" applyBorder="1" applyAlignment="1">
      <alignment vertical="top" wrapText="1"/>
    </xf>
    <xf numFmtId="0" fontId="33" fillId="12" borderId="7" xfId="13" applyFont="1" applyFill="1" applyBorder="1" applyAlignment="1">
      <alignment horizontal="left" vertical="center"/>
    </xf>
    <xf numFmtId="0" fontId="33" fillId="12" borderId="7" xfId="13" applyFont="1" applyFill="1" applyBorder="1" applyAlignment="1">
      <alignment vertical="center"/>
    </xf>
    <xf numFmtId="0" fontId="33" fillId="12" borderId="7" xfId="13" applyFont="1" applyFill="1" applyBorder="1" applyAlignment="1">
      <alignment horizontal="left" vertical="center" indent="1"/>
    </xf>
    <xf numFmtId="164" fontId="33" fillId="9" borderId="7" xfId="1" applyNumberFormat="1" applyFont="1" applyFill="1" applyBorder="1"/>
    <xf numFmtId="3" fontId="33" fillId="5" borderId="7" xfId="0" applyNumberFormat="1" applyFont="1" applyFill="1" applyBorder="1"/>
    <xf numFmtId="44" fontId="33" fillId="5" borderId="7" xfId="2" applyFont="1" applyFill="1" applyBorder="1" applyAlignment="1">
      <alignment horizontal="right" vertical="top" wrapText="1"/>
    </xf>
    <xf numFmtId="164" fontId="33" fillId="5" borderId="7" xfId="1" applyNumberFormat="1" applyFont="1" applyFill="1" applyBorder="1"/>
    <xf numFmtId="3" fontId="33" fillId="9" borderId="7" xfId="0" applyNumberFormat="1" applyFont="1" applyFill="1" applyBorder="1"/>
    <xf numFmtId="164" fontId="33" fillId="5" borderId="7" xfId="1" applyNumberFormat="1" applyFont="1" applyFill="1" applyBorder="1" applyAlignment="1">
      <alignment horizontal="right" vertical="top" wrapText="1"/>
    </xf>
    <xf numFmtId="0" fontId="33" fillId="12" borderId="7" xfId="0" applyFont="1" applyFill="1" applyBorder="1"/>
    <xf numFmtId="1" fontId="33" fillId="9" borderId="7" xfId="0" applyNumberFormat="1" applyFont="1" applyFill="1" applyBorder="1"/>
    <xf numFmtId="0" fontId="33" fillId="12" borderId="7" xfId="0" applyFont="1" applyFill="1" applyBorder="1" applyAlignment="1">
      <alignment horizontal="right"/>
    </xf>
    <xf numFmtId="0" fontId="33" fillId="9" borderId="7" xfId="0" applyFont="1" applyFill="1" applyBorder="1" applyAlignment="1">
      <alignment horizontal="right"/>
    </xf>
    <xf numFmtId="164" fontId="35" fillId="9" borderId="7" xfId="1" applyNumberFormat="1" applyFont="1" applyFill="1" applyBorder="1" applyAlignment="1">
      <alignment vertical="center"/>
    </xf>
    <xf numFmtId="3" fontId="33" fillId="14" borderId="7" xfId="0" applyNumberFormat="1" applyFont="1" applyFill="1" applyBorder="1"/>
    <xf numFmtId="164" fontId="35" fillId="14" borderId="7" xfId="1" applyNumberFormat="1" applyFont="1" applyFill="1" applyBorder="1" applyAlignment="1">
      <alignment vertical="center"/>
    </xf>
    <xf numFmtId="164" fontId="33" fillId="9" borderId="7" xfId="0" applyNumberFormat="1" applyFont="1" applyFill="1" applyBorder="1"/>
    <xf numFmtId="0" fontId="35" fillId="9" borderId="7" xfId="0" applyFont="1" applyFill="1" applyBorder="1"/>
    <xf numFmtId="0" fontId="33" fillId="9" borderId="7" xfId="0" applyFont="1" applyFill="1" applyBorder="1" applyAlignment="1">
      <alignment horizontal="left"/>
    </xf>
    <xf numFmtId="165" fontId="35" fillId="16" borderId="7" xfId="13" applyNumberFormat="1" applyFont="1" applyFill="1" applyBorder="1" applyAlignment="1">
      <alignment horizontal="center" vertical="center"/>
    </xf>
    <xf numFmtId="0" fontId="35" fillId="16" borderId="7" xfId="13" applyFont="1" applyFill="1" applyBorder="1" applyAlignment="1">
      <alignment vertical="center"/>
    </xf>
    <xf numFmtId="0" fontId="36" fillId="16" borderId="7" xfId="0" applyFont="1" applyFill="1" applyBorder="1" applyAlignment="1">
      <alignment horizontal="center"/>
    </xf>
    <xf numFmtId="0" fontId="35" fillId="16" borderId="7" xfId="13" applyFont="1" applyFill="1" applyBorder="1" applyAlignment="1">
      <alignment horizontal="center" vertical="center"/>
    </xf>
    <xf numFmtId="174" fontId="35" fillId="16" borderId="7" xfId="13" applyNumberFormat="1" applyFont="1" applyFill="1" applyBorder="1" applyAlignment="1">
      <alignment horizontal="right" vertical="center"/>
    </xf>
    <xf numFmtId="168" fontId="35" fillId="16" borderId="7" xfId="0" applyNumberFormat="1" applyFont="1" applyFill="1" applyBorder="1"/>
    <xf numFmtId="166" fontId="33" fillId="5" borderId="7" xfId="2" applyNumberFormat="1" applyFont="1" applyFill="1" applyBorder="1" applyAlignment="1">
      <alignment horizontal="right" vertical="top" wrapText="1"/>
    </xf>
    <xf numFmtId="0" fontId="36" fillId="9" borderId="7" xfId="0" applyFont="1" applyFill="1" applyBorder="1" applyAlignment="1">
      <alignment horizontal="center"/>
    </xf>
    <xf numFmtId="0" fontId="35" fillId="12" borderId="7" xfId="0" applyFont="1" applyFill="1" applyBorder="1" applyAlignment="1">
      <alignment horizontal="left"/>
    </xf>
    <xf numFmtId="0" fontId="35" fillId="12" borderId="7" xfId="0" applyFont="1" applyFill="1" applyBorder="1"/>
    <xf numFmtId="0" fontId="35" fillId="12" borderId="7" xfId="0" applyFont="1" applyFill="1" applyBorder="1" applyAlignment="1">
      <alignment horizontal="right"/>
    </xf>
    <xf numFmtId="0" fontId="35" fillId="9" borderId="7" xfId="0" applyFont="1" applyFill="1" applyBorder="1" applyAlignment="1">
      <alignment horizontal="right"/>
    </xf>
    <xf numFmtId="0" fontId="35" fillId="16" borderId="7" xfId="0" applyFont="1" applyFill="1" applyBorder="1"/>
    <xf numFmtId="0" fontId="33" fillId="9" borderId="7" xfId="0" applyFont="1" applyFill="1" applyBorder="1" applyAlignment="1">
      <alignment horizontal="centerContinuous"/>
    </xf>
    <xf numFmtId="3" fontId="35" fillId="14" borderId="7" xfId="0" applyNumberFormat="1" applyFont="1" applyFill="1" applyBorder="1"/>
    <xf numFmtId="3" fontId="35" fillId="9" borderId="7" xfId="0" applyNumberFormat="1" applyFont="1" applyFill="1" applyBorder="1"/>
    <xf numFmtId="4" fontId="33" fillId="12" borderId="7" xfId="1" applyNumberFormat="1" applyFont="1" applyFill="1" applyBorder="1" applyAlignment="1">
      <alignment horizontal="center"/>
    </xf>
    <xf numFmtId="9" fontId="33" fillId="12" borderId="7" xfId="3" applyFont="1" applyFill="1" applyBorder="1" applyAlignment="1">
      <alignment horizontal="center"/>
    </xf>
    <xf numFmtId="9" fontId="33" fillId="9" borderId="7" xfId="3" applyFont="1" applyFill="1" applyBorder="1" applyAlignment="1">
      <alignment horizontal="center"/>
    </xf>
    <xf numFmtId="9" fontId="33" fillId="9" borderId="7" xfId="1" applyNumberFormat="1" applyFont="1" applyFill="1" applyBorder="1" applyAlignment="1">
      <alignment horizontal="center"/>
    </xf>
    <xf numFmtId="9" fontId="33" fillId="9" borderId="7" xfId="0" applyNumberFormat="1" applyFont="1" applyFill="1" applyBorder="1"/>
    <xf numFmtId="9" fontId="33" fillId="9" borderId="7" xfId="3" applyFont="1" applyFill="1" applyBorder="1"/>
    <xf numFmtId="9" fontId="33" fillId="9" borderId="7" xfId="0" applyNumberFormat="1" applyFont="1" applyFill="1" applyBorder="1" applyAlignment="1">
      <alignment horizontal="center"/>
    </xf>
    <xf numFmtId="3" fontId="33" fillId="5" borderId="7" xfId="1" applyNumberFormat="1" applyFont="1" applyFill="1" applyBorder="1"/>
    <xf numFmtId="0" fontId="35" fillId="9" borderId="7" xfId="0" applyFont="1" applyFill="1" applyBorder="1" applyAlignment="1">
      <alignment horizontal="centerContinuous"/>
    </xf>
    <xf numFmtId="3" fontId="33" fillId="9" borderId="7" xfId="1" applyNumberFormat="1" applyFont="1" applyFill="1" applyBorder="1"/>
    <xf numFmtId="0" fontId="35" fillId="9" borderId="7" xfId="13" applyFont="1" applyFill="1" applyBorder="1" applyAlignment="1">
      <alignment horizontal="left" vertical="center" indent="1"/>
    </xf>
    <xf numFmtId="3" fontId="33" fillId="9" borderId="7" xfId="0" applyNumberFormat="1" applyFont="1" applyFill="1" applyBorder="1" applyAlignment="1">
      <alignment horizontal="center"/>
    </xf>
    <xf numFmtId="164" fontId="33" fillId="9" borderId="7" xfId="0" applyNumberFormat="1" applyFont="1" applyFill="1" applyBorder="1" applyAlignment="1">
      <alignment horizontal="center"/>
    </xf>
    <xf numFmtId="44" fontId="33" fillId="9" borderId="7" xfId="2" applyFont="1" applyFill="1" applyBorder="1" applyAlignment="1">
      <alignment horizontal="right" vertical="top" wrapText="1"/>
    </xf>
    <xf numFmtId="166" fontId="33" fillId="9" borderId="7" xfId="2" applyNumberFormat="1" applyFont="1" applyFill="1" applyBorder="1" applyAlignment="1">
      <alignment horizontal="right" vertical="top" wrapText="1"/>
    </xf>
    <xf numFmtId="0" fontId="35" fillId="9" borderId="7" xfId="13" applyFont="1" applyFill="1" applyBorder="1" applyAlignment="1">
      <alignment horizontal="right" vertical="center" indent="1"/>
    </xf>
    <xf numFmtId="168" fontId="32" fillId="16" borderId="7" xfId="3" applyNumberFormat="1" applyFont="1" applyFill="1" applyBorder="1" applyAlignment="1">
      <alignment horizontal="left" vertical="center"/>
    </xf>
    <xf numFmtId="168" fontId="32" fillId="16" borderId="7" xfId="3" applyNumberFormat="1" applyFont="1" applyFill="1" applyBorder="1" applyAlignment="1">
      <alignment vertical="center"/>
    </xf>
    <xf numFmtId="10" fontId="33" fillId="9" borderId="7" xfId="0" applyNumberFormat="1" applyFont="1" applyFill="1" applyBorder="1"/>
    <xf numFmtId="168" fontId="33" fillId="5" borderId="7" xfId="0" applyNumberFormat="1" applyFont="1" applyFill="1" applyBorder="1"/>
    <xf numFmtId="0" fontId="33" fillId="9" borderId="7" xfId="13" applyFont="1" applyFill="1" applyBorder="1" applyAlignment="1">
      <alignment horizontal="left" vertical="center"/>
    </xf>
    <xf numFmtId="0" fontId="33" fillId="9" borderId="7" xfId="13" applyFont="1" applyFill="1" applyBorder="1" applyAlignment="1">
      <alignment vertical="center"/>
    </xf>
    <xf numFmtId="0" fontId="33" fillId="9" borderId="7" xfId="13" applyFont="1" applyFill="1" applyBorder="1" applyAlignment="1">
      <alignment horizontal="left" vertical="center" indent="1"/>
    </xf>
    <xf numFmtId="10" fontId="33" fillId="5" borderId="7" xfId="0" applyNumberFormat="1" applyFont="1" applyFill="1" applyBorder="1"/>
    <xf numFmtId="0" fontId="35" fillId="9" borderId="7" xfId="0" applyFont="1" applyFill="1" applyBorder="1" applyAlignment="1">
      <alignment horizontal="left"/>
    </xf>
    <xf numFmtId="165" fontId="33" fillId="9" borderId="7" xfId="13" applyNumberFormat="1" applyFont="1" applyFill="1" applyBorder="1" applyAlignment="1">
      <alignment horizontal="right" vertical="center"/>
    </xf>
    <xf numFmtId="165" fontId="33" fillId="9" borderId="7" xfId="13" applyNumberFormat="1" applyFont="1" applyFill="1" applyBorder="1" applyAlignment="1">
      <alignment horizontal="center" vertical="center"/>
    </xf>
    <xf numFmtId="0" fontId="33" fillId="9" borderId="7" xfId="13" applyFont="1" applyFill="1" applyBorder="1" applyAlignment="1">
      <alignment horizontal="right" vertical="center"/>
    </xf>
    <xf numFmtId="0" fontId="35" fillId="16" borderId="7" xfId="0" applyFont="1" applyFill="1" applyBorder="1" applyAlignment="1">
      <alignment horizontal="left"/>
    </xf>
    <xf numFmtId="4" fontId="33" fillId="16" borderId="7" xfId="0" applyNumberFormat="1" applyFont="1" applyFill="1" applyBorder="1" applyAlignment="1">
      <alignment horizontal="centerContinuous"/>
    </xf>
    <xf numFmtId="0" fontId="33" fillId="16" borderId="7" xfId="0" applyFont="1" applyFill="1" applyBorder="1" applyAlignment="1">
      <alignment horizontal="centerContinuous"/>
    </xf>
    <xf numFmtId="4" fontId="33" fillId="16" borderId="7" xfId="1" applyNumberFormat="1" applyFont="1" applyFill="1" applyBorder="1" applyAlignment="1">
      <alignment horizontal="center"/>
    </xf>
    <xf numFmtId="9" fontId="33" fillId="16" borderId="7" xfId="3" applyFont="1" applyFill="1" applyBorder="1" applyAlignment="1">
      <alignment horizontal="center"/>
    </xf>
    <xf numFmtId="9" fontId="33" fillId="5" borderId="7" xfId="1" applyNumberFormat="1" applyFont="1" applyFill="1" applyBorder="1" applyAlignment="1">
      <alignment horizontal="center"/>
    </xf>
    <xf numFmtId="9" fontId="33" fillId="5" borderId="7" xfId="0" applyNumberFormat="1" applyFont="1" applyFill="1" applyBorder="1"/>
    <xf numFmtId="9" fontId="33" fillId="5" borderId="7" xfId="3" applyFont="1" applyFill="1" applyBorder="1"/>
    <xf numFmtId="9" fontId="33" fillId="5" borderId="7" xfId="0" applyNumberFormat="1" applyFont="1" applyFill="1" applyBorder="1" applyAlignment="1">
      <alignment horizontal="center"/>
    </xf>
    <xf numFmtId="0" fontId="33" fillId="9" borderId="5" xfId="0" applyFont="1" applyFill="1" applyAlignment="1">
      <alignment horizontal="center"/>
    </xf>
    <xf numFmtId="0" fontId="0" fillId="0" borderId="0" xfId="0" applyBorder="1"/>
    <xf numFmtId="0" fontId="0" fillId="0" borderId="7" xfId="0" applyBorder="1"/>
    <xf numFmtId="0" fontId="33" fillId="12" borderId="5" xfId="0" applyFont="1" applyFill="1" applyAlignment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50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51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52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53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54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52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53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55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56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57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54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58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59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52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53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55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52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53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55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52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53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55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60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61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62</v>
      </c>
      <c r="B46" s="50">
        <f>+'c12_hm'!E60</f>
        <v>0</v>
      </c>
      <c r="C46" s="51">
        <f>+'c12_hm'!F60</f>
        <v>721136.47368421056</v>
      </c>
      <c r="D46" s="51">
        <f>+'c12_hm'!G60</f>
        <v>721136.47368421056</v>
      </c>
      <c r="E46" s="51">
        <f>+'c12_hm'!H60</f>
        <v>721136.47368421056</v>
      </c>
      <c r="F46" s="51">
        <f>+'c12_hm'!I60</f>
        <v>833991.73684210517</v>
      </c>
      <c r="G46" s="50">
        <f>+'c12_hm'!J60</f>
        <v>310715.78947368416</v>
      </c>
      <c r="H46" s="50">
        <f>+'c12_hm'!K60</f>
        <v>902637.28947368416</v>
      </c>
      <c r="I46" s="50">
        <f>+'c12_hm'!L60</f>
        <v>948110.97368421056</v>
      </c>
      <c r="J46" s="50">
        <f>+'c12_hm'!M60</f>
        <v>2385063.6052631577</v>
      </c>
      <c r="K46" s="50">
        <f>+'c12_hm'!N60</f>
        <v>4592895.5273684207</v>
      </c>
      <c r="L46" s="50">
        <f>+'c12_hm'!O60</f>
        <v>6222237.0247684205</v>
      </c>
      <c r="M46" s="50">
        <f>+'c12_hm'!P60</f>
        <v>8981799.0470904205</v>
      </c>
      <c r="N46" s="50">
        <f>+'c12_hm'!Q60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63</v>
      </c>
      <c r="B47" s="50">
        <f>+'c12_hm'!E70</f>
        <v>0</v>
      </c>
      <c r="C47" s="51">
        <f>+'c12_hm'!F70</f>
        <v>567056.47368421056</v>
      </c>
      <c r="D47" s="51">
        <f>+'c12_hm'!G70</f>
        <v>567056.47368421056</v>
      </c>
      <c r="E47" s="51">
        <f>+'c12_hm'!H70</f>
        <v>567056.47368421056</v>
      </c>
      <c r="F47" s="51">
        <f>+'c12_hm'!I70</f>
        <v>466916.73684210528</v>
      </c>
      <c r="G47" s="50">
        <f>+'c12_hm'!J70</f>
        <v>63035.789473684214</v>
      </c>
      <c r="H47" s="50">
        <f>+'c12_hm'!K70</f>
        <v>398173.6519736842</v>
      </c>
      <c r="I47" s="50">
        <f>+'c12_hm'!L70</f>
        <v>400447.33618421049</v>
      </c>
      <c r="J47" s="50">
        <f>+'c12_hm'!M70</f>
        <v>662529.63026315777</v>
      </c>
      <c r="K47" s="50">
        <f>+'c12_hm'!N70</f>
        <v>1158059.7503684212</v>
      </c>
      <c r="L47" s="50">
        <f>+'c12_hm'!O70</f>
        <v>1728329.2744584209</v>
      </c>
      <c r="M47" s="50">
        <f>+'c12_hm'!P70</f>
        <v>2694175.9822711209</v>
      </c>
      <c r="N47" s="50">
        <f>+'c12_hm'!Q70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64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65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66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67</v>
      </c>
      <c r="B55" s="50">
        <f>'c12_d&amp;s'!E60</f>
        <v>1480300</v>
      </c>
      <c r="C55" s="50">
        <f>'c12_d&amp;s'!F60</f>
        <v>218167.0789473684</v>
      </c>
      <c r="D55" s="50">
        <f>'c12_d&amp;s'!G60</f>
        <v>218167.0789473684</v>
      </c>
      <c r="E55" s="50">
        <f>'c12_d&amp;s'!H60</f>
        <v>788567.07894736843</v>
      </c>
      <c r="F55" s="50">
        <f>'c12_d&amp;s'!I60</f>
        <v>1041680.2368421053</v>
      </c>
      <c r="G55" s="50">
        <f>'c12_d&amp;s'!J60</f>
        <v>1735259.1270175439</v>
      </c>
      <c r="H55" s="50">
        <f>'c12_d&amp;s'!K60</f>
        <v>2473819.8070175434</v>
      </c>
      <c r="I55" s="50">
        <f>'c12_d&amp;s'!L60</f>
        <v>2205638.8070175434</v>
      </c>
      <c r="J55" s="50">
        <f>'c12_d&amp;s'!M60</f>
        <v>5828630.333333333</v>
      </c>
      <c r="K55" s="50">
        <f>'c12_d&amp;s'!N60</f>
        <v>10772271.074385963</v>
      </c>
      <c r="L55" s="50">
        <f>'c12_d&amp;s'!O60</f>
        <v>7224030.4869192978</v>
      </c>
      <c r="M55" s="50">
        <f>'c12_d&amp;s'!P60</f>
        <v>4401398.0988952974</v>
      </c>
      <c r="N55" s="50">
        <f>'c12_d&amp;s'!Q60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68</v>
      </c>
      <c r="B56" s="50">
        <f>'c12_d&amp;s'!E70</f>
        <v>740150</v>
      </c>
      <c r="C56" s="50">
        <f>'c12_d&amp;s'!F70</f>
        <v>68839.328947368427</v>
      </c>
      <c r="D56" s="50">
        <f>'c12_d&amp;s'!G70</f>
        <v>68839.328947368427</v>
      </c>
      <c r="E56" s="50">
        <f>'c12_d&amp;s'!H70</f>
        <v>354039.32894736843</v>
      </c>
      <c r="F56" s="50">
        <f>'c12_d&amp;s'!I70</f>
        <v>462139.98684210528</v>
      </c>
      <c r="G56" s="50">
        <f>'c12_d&amp;s'!J70</f>
        <v>806580.95035087725</v>
      </c>
      <c r="H56" s="50">
        <f>'c12_d&amp;s'!K70</f>
        <v>1015405.0903508773</v>
      </c>
      <c r="I56" s="50">
        <f>'c12_d&amp;s'!L70</f>
        <v>935314.59035087726</v>
      </c>
      <c r="J56" s="50">
        <f>'c12_d&amp;s'!M70</f>
        <v>2208920.6166666662</v>
      </c>
      <c r="K56" s="50">
        <f>'c12_d&amp;s'!N70</f>
        <v>3652224.3497192976</v>
      </c>
      <c r="L56" s="50">
        <f>'c12_d&amp;s'!O70</f>
        <v>2410340.1441059648</v>
      </c>
      <c r="M56" s="50">
        <f>'c12_d&amp;s'!P70</f>
        <v>1422418.8082975647</v>
      </c>
      <c r="N56" s="50">
        <f>'c12_d&amp;s'!Q70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69</v>
      </c>
      <c r="B58" s="50">
        <f>'c12_oc'!E10</f>
        <v>2452451</v>
      </c>
      <c r="C58" s="50">
        <f>'c12_oc'!F10</f>
        <v>638700.01315789483</v>
      </c>
      <c r="D58" s="50">
        <f>'c12_oc'!G10</f>
        <v>638700.01315789483</v>
      </c>
      <c r="E58" s="50">
        <f>'c12_oc'!H10</f>
        <v>927158.96052631584</v>
      </c>
      <c r="F58" s="50">
        <f>'c12_oc'!I10</f>
        <v>937170.53947368427</v>
      </c>
      <c r="G58" s="50">
        <f>'c12_oc'!J10</f>
        <v>886331.47666666668</v>
      </c>
      <c r="H58" s="50">
        <f>'c12_oc'!K10</f>
        <v>1430293.4791666667</v>
      </c>
      <c r="I58" s="50">
        <f>'c12_oc'!L10</f>
        <v>1358160.8739035088</v>
      </c>
      <c r="J58" s="50">
        <f>'c12_oc'!M10</f>
        <v>2898497.3521929821</v>
      </c>
      <c r="K58" s="50">
        <f>'c12_oc'!N10</f>
        <v>4916121.7316666665</v>
      </c>
      <c r="L58" s="50">
        <f>'c12_oc'!O10</f>
        <v>4276007.0501433332</v>
      </c>
      <c r="M58" s="50">
        <f>'c12_oc'!P10</f>
        <v>4253932.4221476335</v>
      </c>
      <c r="N58" s="50">
        <f>'c12_oc'!Q10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70</v>
      </c>
      <c r="B59" s="65">
        <f>'c12_oc'!E88</f>
        <v>0</v>
      </c>
      <c r="C59" s="65">
        <f>'c12_oc'!F88</f>
        <v>995387.76315789472</v>
      </c>
      <c r="D59" s="65">
        <f>'c12_oc'!G88</f>
        <v>995387.76315789472</v>
      </c>
      <c r="E59" s="65">
        <f>'c12_oc'!H88</f>
        <v>1630966.7105263157</v>
      </c>
      <c r="F59" s="65">
        <f>'c12_oc'!I88</f>
        <v>2037948.289473684</v>
      </c>
      <c r="G59" s="65">
        <f>'c12_oc'!J88</f>
        <v>2200269.6533333333</v>
      </c>
      <c r="H59" s="65">
        <f>'c12_oc'!K88</f>
        <v>3530751.8333333326</v>
      </c>
      <c r="I59" s="65">
        <f>'c12_oc'!L88</f>
        <v>3421728.7280701748</v>
      </c>
      <c r="J59" s="65">
        <f>'c12_oc'!M88</f>
        <v>8574636.0438596494</v>
      </c>
      <c r="K59" s="65">
        <f>'c12_oc'!N88</f>
        <v>16581919.233333331</v>
      </c>
      <c r="L59" s="65">
        <f>'c12_oc'!O88</f>
        <v>14753020.143266667</v>
      </c>
      <c r="M59" s="65">
        <f>'c12_oc'!P88</f>
        <v>14689949.777564667</v>
      </c>
      <c r="N59" s="65">
        <f>'c12_oc'!Q88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71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72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73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74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75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76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72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77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78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79</v>
      </c>
      <c r="B77" s="50">
        <f>+lgh_other_assets!B45</f>
        <v>3570254</v>
      </c>
      <c r="C77" s="50">
        <f>+lgh_other_assets!C45</f>
        <v>4252788.9307706766</v>
      </c>
      <c r="D77" s="50">
        <f>+lgh_other_assets!D45</f>
        <v>5986171.8615413532</v>
      </c>
      <c r="E77" s="50">
        <f>+lgh_other_assets!E45</f>
        <v>4752346.8449436091</v>
      </c>
      <c r="F77" s="50">
        <f>+lgh_other_assets!F45</f>
        <v>4042423.249398496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80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81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82</v>
      </c>
      <c r="B82" s="50">
        <f>lgh_oc!B73</f>
        <v>251128</v>
      </c>
      <c r="C82" s="50">
        <f>lgh_oc!C73</f>
        <v>2637541.5022251867</v>
      </c>
      <c r="D82" s="50">
        <f>lgh_oc!D73</f>
        <v>-866943.45354548842</v>
      </c>
      <c r="E82" s="50">
        <f>lgh_oc!E73</f>
        <v>-2782648.5794753465</v>
      </c>
      <c r="F82" s="50">
        <f>lgh_oc!F73</f>
        <v>420309.59358124249</v>
      </c>
      <c r="G82" s="50">
        <f>lgh_oc!G73</f>
        <v>5306064.9844554076</v>
      </c>
      <c r="H82" s="50">
        <f>lgh_oc!H73</f>
        <v>10576671.726005489</v>
      </c>
      <c r="I82" s="50">
        <f>lgh_oc!I73</f>
        <v>7017080.2817227002</v>
      </c>
      <c r="J82" s="50">
        <f>lgh_oc!J73</f>
        <v>2766709.9181634923</v>
      </c>
      <c r="K82" s="50">
        <f>lgh_oc!K73</f>
        <v>5785838.5976136215</v>
      </c>
      <c r="L82" s="50">
        <f>lgh_oc!L73</f>
        <v>13083444.852195369</v>
      </c>
      <c r="M82" s="50">
        <f>lgh_oc!M73</f>
        <v>22908452.133995276</v>
      </c>
      <c r="N82" s="50">
        <f>lgh_oc!N73</f>
        <v>27568985.250305906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83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84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3805056.3962850193</v>
      </c>
      <c r="F86" s="50">
        <f>+lgh_ci!F11</f>
        <v>1096872.1624405503</v>
      </c>
      <c r="G86" s="50">
        <f>+lgh_ci!G11</f>
        <v>2875854.6108091921</v>
      </c>
      <c r="H86" s="50">
        <f>+lgh_ci!H11</f>
        <v>5765639.9247744558</v>
      </c>
      <c r="I86" s="50">
        <f>+lgh_ci!I11</f>
        <v>8978320.2330150567</v>
      </c>
      <c r="J86" s="50">
        <f>+lgh_ci!J11</f>
        <v>14696696.555051286</v>
      </c>
      <c r="K86" s="50">
        <f>+lgh_ci!K11</f>
        <v>26464989.598317362</v>
      </c>
      <c r="L86" s="50">
        <f>+lgh_ci!L11</f>
        <v>43538866.205702864</v>
      </c>
      <c r="M86" s="50">
        <f>+lgh_ci!M11</f>
        <v>63507124.093002379</v>
      </c>
      <c r="N86" s="50">
        <f>+lgh_ci!N11</f>
        <v>83160178.89187412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85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3499999.9999999893</v>
      </c>
      <c r="F87" s="50">
        <f>+lgh_ci!F15</f>
        <v>-682606.08930401201</v>
      </c>
      <c r="G87" s="50">
        <f>+lgh_ci!G15</f>
        <v>-25542.99505696306</v>
      </c>
      <c r="H87" s="50">
        <f>+lgh_ci!H15</f>
        <v>1190779.7135209152</v>
      </c>
      <c r="I87" s="50">
        <f>+lgh_ci!I15</f>
        <v>3568214.6442801598</v>
      </c>
      <c r="J87" s="50">
        <f>+lgh_ci!J15</f>
        <v>4979389.1340277717</v>
      </c>
      <c r="K87" s="50">
        <f>+lgh_ci!K15</f>
        <v>9585559.606137298</v>
      </c>
      <c r="L87" s="50">
        <f>+lgh_ci!L15</f>
        <v>25237527.523959778</v>
      </c>
      <c r="M87" s="50">
        <f>+lgh_ci!M15</f>
        <v>38277952.12354517</v>
      </c>
      <c r="N87" s="50">
        <f>+lgh_ci!N15</f>
        <v>64005390.399476603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86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87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88</v>
      </c>
      <c r="B95" s="50">
        <f>+'c12_oc'!E40</f>
        <v>-5450569</v>
      </c>
      <c r="C95" s="50">
        <f>+'c12_oc'!F40</f>
        <v>-1262185</v>
      </c>
      <c r="D95" s="50">
        <f>+'c12_oc'!G40</f>
        <v>-1358476</v>
      </c>
      <c r="E95" s="50">
        <f>+'c12_oc'!H40</f>
        <v>-1319123</v>
      </c>
      <c r="F95" s="50">
        <f>+'c12_oc'!I40</f>
        <v>-2542272</v>
      </c>
      <c r="G95" s="50">
        <f>+'c12_oc'!J40</f>
        <v>-4057848.8571428573</v>
      </c>
      <c r="H95" s="50">
        <f>+'c12_oc'!K40</f>
        <v>-4457406</v>
      </c>
      <c r="I95" s="50">
        <f>+'c12_oc'!L40</f>
        <v>-2834606</v>
      </c>
      <c r="J95" s="50">
        <f>+'c12_oc'!M40</f>
        <v>-4930792.25</v>
      </c>
      <c r="K95" s="50">
        <f>+'c12_oc'!N40</f>
        <v>-12027142.110000001</v>
      </c>
      <c r="L95" s="50">
        <f>+'c12_oc'!O40</f>
        <v>-11730728.823299998</v>
      </c>
      <c r="M95" s="50">
        <f>+'c12_oc'!P40</f>
        <v>-12082650.687999001</v>
      </c>
      <c r="N95" s="50">
        <f>+'c12_oc'!Q40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89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90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91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92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93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94</v>
      </c>
      <c r="B101" s="50">
        <f>+lgh_other_assets!B26</f>
        <v>-1540999</v>
      </c>
      <c r="C101" s="50">
        <f>+lgh_other_assets!C26</f>
        <v>-531057.55577067658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1093900.9705451131</v>
      </c>
      <c r="G101" s="50">
        <f>+lgh_other_assets!G26</f>
        <v>1641513.7493984955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95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88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96</v>
      </c>
      <c r="B106" s="59">
        <f>-'c12_oc'!E63</f>
        <v>1540999</v>
      </c>
      <c r="C106" s="59">
        <f>-'c12_oc'!F63</f>
        <v>2072056.5557706766</v>
      </c>
      <c r="D106" s="59">
        <f>-'c12_oc'!G63</f>
        <v>2528962.1115413532</v>
      </c>
      <c r="E106" s="59">
        <f>-'c12_oc'!H63</f>
        <v>2735414.7199436086</v>
      </c>
      <c r="F106" s="59">
        <f>-'c12_oc'!I63</f>
        <v>1641513.7493984955</v>
      </c>
      <c r="G106" s="59">
        <f>-'c12_oc'!J63</f>
        <v>0</v>
      </c>
      <c r="H106" s="59">
        <f>-'c12_oc'!K63</f>
        <v>0</v>
      </c>
      <c r="I106" s="59">
        <f>-'c12_oc'!L63</f>
        <v>0</v>
      </c>
      <c r="J106" s="59">
        <f>-'c12_oc'!M63</f>
        <v>0</v>
      </c>
      <c r="K106" s="59">
        <f>-'c12_oc'!N63</f>
        <v>0</v>
      </c>
      <c r="L106" s="59">
        <f>-'c12_oc'!O63</f>
        <v>0</v>
      </c>
      <c r="M106" s="59">
        <f>-'c12_oc'!P63</f>
        <v>0</v>
      </c>
      <c r="N106" s="59">
        <f>-'c12_oc'!Q63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97</v>
      </c>
      <c r="B107" s="50">
        <f>+'c12_oc'!E69</f>
        <v>0</v>
      </c>
      <c r="C107" s="50">
        <f>+'c12_oc'!F69</f>
        <v>416032.5</v>
      </c>
      <c r="D107" s="50">
        <f>+'c12_oc'!G69</f>
        <v>3082065</v>
      </c>
      <c r="E107" s="50">
        <f>+'c12_oc'!H69</f>
        <v>4373097.5</v>
      </c>
      <c r="F107" s="50">
        <f>+'c12_oc'!I69</f>
        <v>5365480</v>
      </c>
      <c r="G107" s="50">
        <f>+'c12_oc'!J69</f>
        <v>6120868.2725</v>
      </c>
      <c r="H107" s="50">
        <f>+'c12_oc'!K69</f>
        <v>5640774.3650000002</v>
      </c>
      <c r="I107" s="50">
        <f>+'c12_oc'!L69</f>
        <v>5378861.4574999996</v>
      </c>
      <c r="J107" s="50">
        <f>+'c12_oc'!M69</f>
        <v>4945267.55</v>
      </c>
      <c r="K107" s="50">
        <f>+'c12_oc'!N69</f>
        <v>4796719.9710999997</v>
      </c>
      <c r="L107" s="50">
        <f>+'c12_oc'!O69</f>
        <v>3728148.465233</v>
      </c>
      <c r="M107" s="50">
        <f>+'c12_oc'!P69</f>
        <v>6110519.8141899901</v>
      </c>
      <c r="N107" s="50">
        <f>+'c12_oc'!Q69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98</v>
      </c>
      <c r="B108" s="50">
        <f>-'c12_oc'!E75</f>
        <v>0</v>
      </c>
      <c r="C108" s="50">
        <f>-'c12_oc'!F75</f>
        <v>-264555.125</v>
      </c>
      <c r="D108" s="50">
        <f>-'c12_oc'!G75</f>
        <v>-1654110.25</v>
      </c>
      <c r="E108" s="50">
        <f>-'c12_oc'!H75</f>
        <v>-2356165.375</v>
      </c>
      <c r="F108" s="50">
        <f>-'c12_oc'!I75</f>
        <v>-2964570.5</v>
      </c>
      <c r="G108" s="50">
        <f>-'c12_oc'!J75</f>
        <v>-2970159.2973749996</v>
      </c>
      <c r="H108" s="50">
        <f>-'c12_oc'!K75</f>
        <v>-2465036.0922499998</v>
      </c>
      <c r="I108" s="50">
        <f>-'c12_oc'!L75</f>
        <v>-2022503.3871249997</v>
      </c>
      <c r="J108" s="50">
        <f>-'c12_oc'!M75</f>
        <v>-1664945.5194999997</v>
      </c>
      <c r="K108" s="50">
        <f>-'c12_oc'!N75</f>
        <v>-1612953.8668849997</v>
      </c>
      <c r="L108" s="50">
        <f>-'c12_oc'!O75</f>
        <v>-1238953.8398315497</v>
      </c>
      <c r="M108" s="50">
        <f>-'c12_oc'!P75</f>
        <v>-2072783.8119664963</v>
      </c>
      <c r="N108" s="50">
        <f>-'c12_oc'!Q75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99</v>
      </c>
      <c r="E2" s="62"/>
      <c r="F2" s="43"/>
      <c r="G2" s="43"/>
      <c r="H2" s="43"/>
      <c r="I2" s="43"/>
      <c r="J2" s="43"/>
      <c r="K2" s="87" t="s">
        <v>100</v>
      </c>
      <c r="L2" s="62"/>
      <c r="M2" s="43"/>
      <c r="N2" s="43"/>
      <c r="O2" s="43"/>
      <c r="P2" s="43"/>
      <c r="Q2" s="43"/>
      <c r="R2" s="87" t="s">
        <v>100</v>
      </c>
      <c r="S2" s="62"/>
      <c r="T2" s="43"/>
      <c r="U2" s="43"/>
    </row>
    <row r="3" spans="1:21">
      <c r="A3" s="43"/>
      <c r="B3" s="43"/>
      <c r="C3" s="43"/>
      <c r="D3" s="88" t="s">
        <v>101</v>
      </c>
      <c r="E3" s="89">
        <f>(lgh_bs!I51*E4)/1000000</f>
        <v>107.56403079546101</v>
      </c>
      <c r="F3" s="43"/>
      <c r="G3" s="43"/>
      <c r="H3" s="43"/>
      <c r="I3" s="43"/>
      <c r="J3" s="43"/>
      <c r="K3" s="88" t="s">
        <v>102</v>
      </c>
      <c r="L3" s="89">
        <f>(lgh_bs!I53*$L$4)/1000000</f>
        <v>155.29343585782559</v>
      </c>
      <c r="M3" s="43"/>
      <c r="N3" s="43"/>
      <c r="O3" s="43"/>
      <c r="P3" s="43"/>
      <c r="Q3" s="43"/>
      <c r="R3" s="88" t="s">
        <v>102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103</v>
      </c>
      <c r="E4" s="91">
        <f>1-E5</f>
        <v>1</v>
      </c>
      <c r="F4" s="43"/>
      <c r="G4" s="43"/>
      <c r="H4" s="43"/>
      <c r="I4" s="43"/>
      <c r="J4" s="43"/>
      <c r="K4" s="92" t="s">
        <v>103</v>
      </c>
      <c r="L4" s="91">
        <f>1-L5</f>
        <v>1</v>
      </c>
      <c r="M4" s="43"/>
      <c r="N4" s="43"/>
      <c r="O4" s="43"/>
      <c r="P4" s="43"/>
      <c r="Q4" s="43"/>
      <c r="R4" s="92" t="s">
        <v>103</v>
      </c>
      <c r="S4" s="93">
        <v>1</v>
      </c>
      <c r="T4" s="43"/>
      <c r="U4" s="43"/>
    </row>
    <row r="5" spans="1:21">
      <c r="A5" s="43"/>
      <c r="B5" s="43"/>
      <c r="C5" s="43"/>
      <c r="D5" s="86" t="s">
        <v>104</v>
      </c>
      <c r="E5" s="78">
        <v>0</v>
      </c>
      <c r="F5" s="43"/>
      <c r="G5" s="43"/>
      <c r="H5" s="43"/>
      <c r="I5" s="43"/>
      <c r="J5" s="43"/>
      <c r="K5" s="94" t="s">
        <v>104</v>
      </c>
      <c r="L5" s="78">
        <v>0</v>
      </c>
      <c r="M5" s="43"/>
      <c r="N5" s="43"/>
      <c r="O5" s="43"/>
      <c r="P5" s="43"/>
      <c r="Q5" s="43"/>
      <c r="R5" s="94" t="s">
        <v>104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105</v>
      </c>
      <c r="F8" s="43"/>
      <c r="G8" s="43"/>
      <c r="H8" s="43"/>
      <c r="I8" s="43"/>
      <c r="J8" s="43"/>
      <c r="K8" s="43"/>
      <c r="L8" s="95" t="s">
        <v>106</v>
      </c>
      <c r="M8" s="43"/>
      <c r="N8" s="43"/>
      <c r="O8" s="43"/>
      <c r="P8" s="43"/>
      <c r="Q8" s="43"/>
      <c r="R8" s="43"/>
      <c r="S8" s="95" t="s">
        <v>106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107</v>
      </c>
      <c r="D10" s="98"/>
      <c r="E10" s="98"/>
      <c r="F10" s="98"/>
      <c r="G10" s="98"/>
      <c r="H10" s="43"/>
      <c r="I10" s="43"/>
      <c r="J10" s="97" t="s">
        <v>108</v>
      </c>
      <c r="K10" s="98"/>
      <c r="L10" s="98"/>
      <c r="M10" s="98"/>
      <c r="N10" s="98"/>
      <c r="O10" s="43"/>
      <c r="P10" s="43"/>
      <c r="Q10" s="97" t="s">
        <v>108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113.01807553478606</v>
      </c>
      <c r="D11" s="99">
        <f>(+lgh_bs!M38)/1000000</f>
        <v>129.73141374116975</v>
      </c>
      <c r="E11" s="99">
        <f>(+lgh_bs!N38)/1000000</f>
        <v>155.88661351385784</v>
      </c>
      <c r="F11" s="99">
        <f>(+lgh_bs!O38)/1000000</f>
        <v>186.97281854938973</v>
      </c>
      <c r="G11" s="99">
        <f>(+lgh_bs!P38)/1000000</f>
        <v>216.99383022314225</v>
      </c>
      <c r="H11" s="43"/>
      <c r="I11" s="43"/>
      <c r="J11" s="99">
        <f>(lgh_bs!L39-lgh_bs!L35+lgh_bs!L41+lgh_bs!L40)/1000000</f>
        <v>169.39255016803173</v>
      </c>
      <c r="K11" s="99">
        <f>(lgh_bs!M39-lgh_bs!M35+lgh_bs!M41+lgh_bs!M40)/1000000</f>
        <v>195.19759992266739</v>
      </c>
      <c r="L11" s="99">
        <f>(lgh_bs!N39-lgh_bs!N35+lgh_bs!N41+lgh_bs!N40)/1000000</f>
        <v>229.88256257623556</v>
      </c>
      <c r="M11" s="99">
        <f>(lgh_bs!O39-lgh_bs!O35+lgh_bs!O41+lgh_bs!O40)/1000000</f>
        <v>267.16984307340221</v>
      </c>
      <c r="N11" s="99">
        <f>(lgh_bs!P39-lgh_bs!P35+lgh_bs!P41+lgh_bs!P40)/1000000</f>
        <v>304.44033222776619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109</v>
      </c>
      <c r="C12" s="102">
        <f>+C11/$E3</f>
        <v>1.0507050981540123</v>
      </c>
      <c r="D12" s="102">
        <f>+D11/$E3</f>
        <v>1.2060854616713022</v>
      </c>
      <c r="E12" s="102">
        <f>+E11/$E3</f>
        <v>1.4492448113095064</v>
      </c>
      <c r="F12" s="102">
        <f>+F11/$E3</f>
        <v>1.7382466719281742</v>
      </c>
      <c r="G12" s="102">
        <f>+G11/$E3</f>
        <v>2.0173456555915807</v>
      </c>
      <c r="H12" s="43"/>
      <c r="I12" s="101" t="s">
        <v>109</v>
      </c>
      <c r="J12" s="102">
        <f>+J11/$L$3</f>
        <v>1.0907901498368171</v>
      </c>
      <c r="K12" s="102">
        <f>+K11/$L$3</f>
        <v>1.2569597603685896</v>
      </c>
      <c r="L12" s="102">
        <f>+L11/$L$3</f>
        <v>1.4803108792486108</v>
      </c>
      <c r="M12" s="102">
        <f>+M11/$L$3</f>
        <v>1.7204194214493511</v>
      </c>
      <c r="N12" s="102">
        <f>+N11/$L$3</f>
        <v>1.9604198371043045</v>
      </c>
      <c r="O12" s="43"/>
      <c r="P12" s="101" t="s">
        <v>109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110</v>
      </c>
      <c r="C13" s="104">
        <f>+C11/E3-1</f>
        <v>5.0705098154012251E-2</v>
      </c>
      <c r="D13" s="104">
        <f>+D11/C11-1</f>
        <v>0.14788199256887413</v>
      </c>
      <c r="E13" s="104">
        <f>+E11/D11-1</f>
        <v>0.20161038115926933</v>
      </c>
      <c r="F13" s="104">
        <f>+F11/E11-1</f>
        <v>0.19941548754453131</v>
      </c>
      <c r="G13" s="104">
        <f>+G11/F11-1</f>
        <v>0.16056350814341669</v>
      </c>
      <c r="H13" s="43"/>
      <c r="I13" s="101" t="s">
        <v>110</v>
      </c>
      <c r="J13" s="104">
        <f>+J11/L3-1</f>
        <v>9.0790149836817102E-2</v>
      </c>
      <c r="K13" s="104">
        <f>+K11/J11-1</f>
        <v>0.15233875237746819</v>
      </c>
      <c r="L13" s="104">
        <f>+L11/K11-1</f>
        <v>0.17769154265887233</v>
      </c>
      <c r="M13" s="104">
        <f>+M11/L11-1</f>
        <v>0.16220143050128533</v>
      </c>
      <c r="N13" s="104">
        <f>+N11/M11-1</f>
        <v>0.13950110808024196</v>
      </c>
      <c r="O13" s="43"/>
      <c r="P13" s="101" t="s">
        <v>110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111</v>
      </c>
      <c r="C14" s="104">
        <f>(C11/$E3)^(1/((lgh_bs!L$2-lgh_bs!$I$2)/365))-1</f>
        <v>6.7851673111378075E-2</v>
      </c>
      <c r="D14" s="104">
        <f>(D11/$E3)^(1/((lgh_bs!M$2-lgh_bs!$I$2)/365))-1</f>
        <v>0.11278416668814528</v>
      </c>
      <c r="E14" s="104">
        <f>($E$11/$E$3)^(1/((lgh_bs!$N$2-lgh_bs!$I$2)/365))-1</f>
        <v>0.1441051607666779</v>
      </c>
      <c r="F14" s="104">
        <f>(F11/$E3)^(1/((lgh_bs!O$2-lgh_bs!$I$2)/365))-1</f>
        <v>0.15857626417442861</v>
      </c>
      <c r="G14" s="104">
        <f>($G$11/$E$3)^(1/((lgh_bs!$P$2-lgh_bs!$I$2)/365))-1</f>
        <v>0.15899380638158789</v>
      </c>
      <c r="H14" s="43"/>
      <c r="I14" s="106" t="s">
        <v>111</v>
      </c>
      <c r="J14" s="104">
        <f>+(J11/$L$3)^(1/((lgh_bs!L$2-lgh_bs!$I$2)/365))-1</f>
        <v>0.1222584274933487</v>
      </c>
      <c r="K14" s="104">
        <f>+(K11/$L$3)^(1/((lgh_bs!M$2-lgh_bs!$I$2)/365))-1</f>
        <v>0.13931606566551102</v>
      </c>
      <c r="L14" s="104">
        <f>+(L11/$L$3)^(1/((lgh_bs!N$2-lgh_bs!$I$2)/365))-1</f>
        <v>0.15294335860075869</v>
      </c>
      <c r="M14" s="104">
        <f>+(M11/$L$3)^(1/((lgh_bs!O$2-lgh_bs!$I$2)/365))-1</f>
        <v>0.15540089823728098</v>
      </c>
      <c r="N14" s="104">
        <f>+(N11/$L$3)^(1/((lgh_bs!P$2-lgh_bs!$I$2)/365))-1</f>
        <v>0.15203959617100971</v>
      </c>
      <c r="O14" s="43"/>
      <c r="P14" s="106" t="s">
        <v>111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112</v>
      </c>
      <c r="D16" s="98"/>
      <c r="E16" s="98"/>
      <c r="F16" s="98"/>
      <c r="G16" s="98"/>
      <c r="H16" s="43"/>
      <c r="I16" s="43"/>
      <c r="J16" s="97" t="s">
        <v>113</v>
      </c>
      <c r="K16" s="107"/>
      <c r="L16" s="107"/>
      <c r="M16" s="107"/>
      <c r="N16" s="107"/>
      <c r="O16" s="43"/>
      <c r="P16" s="43"/>
      <c r="Q16" s="97" t="s">
        <v>113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130.97300603213284</v>
      </c>
      <c r="D17" s="99">
        <f>D11+(SUM(lgh_bs!M40:M42)/1000000)*(1-lgh_inputs!$D$4)+(lgh_bs!M46/1000000)</f>
        <v>154.71452847383441</v>
      </c>
      <c r="E17" s="99">
        <f>E11+(SUM(lgh_bs!N40:N42)/1000000)*(1-lgh_inputs!$D$4)+(lgh_bs!N46/1000000)</f>
        <v>191.76577234374858</v>
      </c>
      <c r="F17" s="99">
        <f>F11+(SUM(lgh_bs!O40:O42)/1000000)*(1-lgh_inputs!$D$4)+(lgh_bs!O46/1000000)</f>
        <v>228.45219332660272</v>
      </c>
      <c r="G17" s="99">
        <f>G11+(SUM(lgh_bs!P40:P42)/1000000)*(1-lgh_inputs!$D$4)+(lgh_bs!P46/1000000)</f>
        <v>270.86098382217028</v>
      </c>
      <c r="H17" s="43"/>
      <c r="I17" s="43"/>
      <c r="J17" s="99">
        <f>J11+(lgh_bs!L42/1000000)*(1-lgh_inputs!$D$4)</f>
        <v>183.77584179203174</v>
      </c>
      <c r="K17" s="99">
        <f>K11+(lgh_bs!M42/1000000)*(1-lgh_inputs!$D$4)</f>
        <v>215.56793668515741</v>
      </c>
      <c r="L17" s="99">
        <f>L11+(lgh_bs!N42/1000000)*(1-lgh_inputs!$D$4)</f>
        <v>261.13622222306338</v>
      </c>
      <c r="M17" s="99">
        <f>M11+(lgh_bs!O42/1000000)*(1-lgh_inputs!$D$4)</f>
        <v>306.25924167454184</v>
      </c>
      <c r="N17" s="99">
        <f>N11+(lgh_bs!P42/1000000)*(1-lgh_inputs!$D$4)</f>
        <v>358.30748582679422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109</v>
      </c>
      <c r="C18" s="102">
        <f>+C17/$E$3</f>
        <v>1.2176282820898121</v>
      </c>
      <c r="D18" s="102">
        <f>+D17/$E$3</f>
        <v>1.438348185073435</v>
      </c>
      <c r="E18" s="102">
        <f>+E17/$E$3</f>
        <v>1.7828057476611476</v>
      </c>
      <c r="F18" s="102">
        <f>+F17/$E$3</f>
        <v>2.1238716291788777</v>
      </c>
      <c r="G18" s="102">
        <f>+G17/$E$3</f>
        <v>2.5181371674070818</v>
      </c>
      <c r="H18" s="43"/>
      <c r="I18" s="101" t="s">
        <v>109</v>
      </c>
      <c r="J18" s="108">
        <f>+J17/$L$3</f>
        <v>1.1834102373797846</v>
      </c>
      <c r="K18" s="108">
        <f>+K17/$L$3</f>
        <v>1.3881329593513174</v>
      </c>
      <c r="L18" s="108">
        <f>+L17/$L$3</f>
        <v>1.681566389336244</v>
      </c>
      <c r="M18" s="108">
        <f>+M17/$L$3</f>
        <v>1.9721325629946693</v>
      </c>
      <c r="N18" s="108">
        <f>+N17/$L$3</f>
        <v>2.3072931824036162</v>
      </c>
      <c r="O18" s="43"/>
      <c r="P18" s="101" t="s">
        <v>109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110</v>
      </c>
      <c r="C19" s="104">
        <f>+C17/E3-1</f>
        <v>0.21762828208981211</v>
      </c>
      <c r="D19" s="104">
        <f>+D17/C17-1</f>
        <v>0.18127034845544299</v>
      </c>
      <c r="E19" s="104">
        <f>+E17/D17-1</f>
        <v>0.2394813482314968</v>
      </c>
      <c r="F19" s="104">
        <f>+F17/E17-1</f>
        <v>0.19130849334829225</v>
      </c>
      <c r="G19" s="104">
        <f>+G17/F17-1</f>
        <v>0.18563529584913452</v>
      </c>
      <c r="H19" s="43"/>
      <c r="I19" s="101" t="s">
        <v>110</v>
      </c>
      <c r="J19" s="104">
        <f>+J17/L3-1</f>
        <v>0.18341023737978457</v>
      </c>
      <c r="K19" s="104">
        <f>+K17/J17-1</f>
        <v>0.17299387440218017</v>
      </c>
      <c r="L19" s="104">
        <f>+L17/K17-1</f>
        <v>0.21138712110261393</v>
      </c>
      <c r="M19" s="104">
        <f>+M17/L17-1</f>
        <v>0.17279494612943513</v>
      </c>
      <c r="N19" s="104">
        <f>+N17/M17-1</f>
        <v>0.16994832178015851</v>
      </c>
      <c r="O19" s="43"/>
      <c r="P19" s="101" t="s">
        <v>110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111</v>
      </c>
      <c r="C20" s="104">
        <f>(C17/$E$3)^(1/((lgh_bs!L$2-lgh_bs!$I$2)/365))-1</f>
        <v>0.29867764533220287</v>
      </c>
      <c r="D20" s="104">
        <f>(D17/$E$3)^(1/((lgh_bs!M$2-lgh_bs!$I$2)/365))-1</f>
        <v>0.23035894047891814</v>
      </c>
      <c r="E20" s="104">
        <f>(E17/$E$3)^(1/((lgh_bs!N$2-lgh_bs!$I$2)/365))-1</f>
        <v>0.23340677982805946</v>
      </c>
      <c r="F20" s="104">
        <f>(F17/$E$3)^(1/((lgh_bs!O$2-lgh_bs!$I$2)/365))-1</f>
        <v>0.22205581041731226</v>
      </c>
      <c r="G20" s="104">
        <f>(G17/$E$3)^(1/((lgh_bs!P$2-lgh_bs!$I$2)/365))-1</f>
        <v>0.21430651902032061</v>
      </c>
      <c r="H20" s="43"/>
      <c r="I20" s="106" t="s">
        <v>111</v>
      </c>
      <c r="J20" s="104">
        <f>(J17/$L3)^(1/((lgh_bs!L$2-lgh_bs!$I$2)/365))-1</f>
        <v>0.25046205644158337</v>
      </c>
      <c r="K20" s="104">
        <f>(K17/$L3)^(1/((lgh_bs!M$2-lgh_bs!$I$2)/365))-1</f>
        <v>0.20567489334969835</v>
      </c>
      <c r="L20" s="104">
        <f>(L17/$L3)^(1/((lgh_bs!N$2-lgh_bs!$I$2)/365))-1</f>
        <v>0.20751977338331073</v>
      </c>
      <c r="M20" s="104">
        <f>(M17/$L3)^(1/((lgh_bs!O$2-lgh_bs!$I$2)/365))-1</f>
        <v>0.19817582517355303</v>
      </c>
      <c r="N20" s="104">
        <f>(N17/$L3)^(1/((lgh_bs!P$2-lgh_bs!$I$2)/365))-1</f>
        <v>0.1921848951124272</v>
      </c>
      <c r="O20" s="43"/>
      <c r="P20" s="106" t="s">
        <v>111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114</v>
      </c>
      <c r="D22" s="98"/>
      <c r="E22" s="98"/>
      <c r="F22" s="98"/>
      <c r="G22" s="98"/>
      <c r="H22" s="43"/>
      <c r="I22" s="72"/>
      <c r="J22" s="97" t="s">
        <v>115</v>
      </c>
      <c r="K22" s="82"/>
      <c r="L22" s="82"/>
      <c r="M22" s="82"/>
      <c r="N22" s="82"/>
      <c r="O22" s="43"/>
      <c r="P22" s="72"/>
      <c r="Q22" s="97" t="s">
        <v>115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130.97300603213287</v>
      </c>
      <c r="D23" s="99">
        <f>(+lgh_bs!M51)/1000000</f>
        <v>154.71452847383441</v>
      </c>
      <c r="E23" s="99">
        <f>(+lgh_bs!N51)/1000000</f>
        <v>208.01577234374861</v>
      </c>
      <c r="F23" s="99">
        <f>(+lgh_bs!O51)/1000000</f>
        <v>260.95219332660275</v>
      </c>
      <c r="G23" s="99">
        <f>(+lgh_bs!P51)/1000000</f>
        <v>335.86098382217034</v>
      </c>
      <c r="H23" s="43"/>
      <c r="I23" s="72"/>
      <c r="J23" s="99">
        <f>+lgh_bs!L53/1000000</f>
        <v>186.54130199400402</v>
      </c>
      <c r="K23" s="99">
        <f>+lgh_bs!M53/1000000</f>
        <v>216.95101995113009</v>
      </c>
      <c r="L23" s="99">
        <f>+lgh_bs!N53/1000000</f>
        <v>277.72758835508773</v>
      </c>
      <c r="M23" s="99">
        <f>+lgh_bs!O53/1000000</f>
        <v>339.02942725930268</v>
      </c>
      <c r="N23" s="99">
        <f>+lgh_bs!P53/1000000</f>
        <v>423.30748582679428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109</v>
      </c>
      <c r="C24" s="102">
        <f>+C23/$E3</f>
        <v>1.2176282820898126</v>
      </c>
      <c r="D24" s="102">
        <f>+D23/$E3</f>
        <v>1.438348185073435</v>
      </c>
      <c r="E24" s="102">
        <f>+E23/$E3</f>
        <v>1.9338785540614611</v>
      </c>
      <c r="F24" s="102">
        <f>+F23/$E3</f>
        <v>2.4260172419795039</v>
      </c>
      <c r="G24" s="102">
        <f>+G23/$E3</f>
        <v>3.1224283930083345</v>
      </c>
      <c r="H24" s="43"/>
      <c r="I24" s="101" t="s">
        <v>109</v>
      </c>
      <c r="J24" s="108">
        <f>+J23/$L3</f>
        <v>1.2012182032264809</v>
      </c>
      <c r="K24" s="108">
        <f>+K23/$L3</f>
        <v>1.3970392164531238</v>
      </c>
      <c r="L24" s="108">
        <f>+L23/$L3</f>
        <v>1.7884052009085123</v>
      </c>
      <c r="M24" s="108">
        <f>+M23/$L3</f>
        <v>2.1831536238897518</v>
      </c>
      <c r="N24" s="108">
        <f>+N23/$L3</f>
        <v>2.7258556260828772</v>
      </c>
      <c r="O24" s="43"/>
      <c r="P24" s="101" t="s">
        <v>109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110</v>
      </c>
      <c r="C25" s="104">
        <f>+C23/E3-1</f>
        <v>0.21762828208981255</v>
      </c>
      <c r="D25" s="104">
        <f>+D23/C23-1</f>
        <v>0.18127034845544276</v>
      </c>
      <c r="E25" s="104">
        <f>+E23/D23-1</f>
        <v>0.34451350106353207</v>
      </c>
      <c r="F25" s="104">
        <f>+F23/E23-1</f>
        <v>0.2544827268933052</v>
      </c>
      <c r="G25" s="104">
        <f>+G23/F23-1</f>
        <v>0.28705944004775308</v>
      </c>
      <c r="H25" s="43"/>
      <c r="I25" s="101" t="s">
        <v>110</v>
      </c>
      <c r="J25" s="104">
        <f>+J23/L3-1</f>
        <v>0.20121820322648087</v>
      </c>
      <c r="K25" s="104">
        <f>+K23/J23-1</f>
        <v>0.16301868611436809</v>
      </c>
      <c r="L25" s="104">
        <f>+L23/K23-1</f>
        <v>0.28013958366108649</v>
      </c>
      <c r="M25" s="104">
        <f>+M23/L23-1</f>
        <v>0.22072650134360328</v>
      </c>
      <c r="N25" s="104">
        <f>+N23/M23-1</f>
        <v>0.24858626358423019</v>
      </c>
      <c r="O25" s="43"/>
      <c r="P25" s="101" t="s">
        <v>110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111</v>
      </c>
      <c r="C26" s="104">
        <f>(C23/$E3)^(1/((lgh_bs!L$2-lgh_bs!$I$2)/365))-1</f>
        <v>0.29867764533220353</v>
      </c>
      <c r="D26" s="104">
        <f>(D23/$E3)^(1/((lgh_bs!M$2-lgh_bs!$I$2)/365))-1</f>
        <v>0.23035894047891814</v>
      </c>
      <c r="E26" s="104">
        <f>(E23/$E3)^(1/((lgh_bs!N$2-lgh_bs!$I$2)/365))-1</f>
        <v>0.27034919961999315</v>
      </c>
      <c r="F26" s="104">
        <f>(F23/$E3)^(1/((lgh_bs!O$2-lgh_bs!$I$2)/365))-1</f>
        <v>0.26610558670041162</v>
      </c>
      <c r="G26" s="104">
        <f>(G23/$E3)^(1/((lgh_bs!P$2-lgh_bs!$I$2)/365))-1</f>
        <v>0.2704826966790248</v>
      </c>
      <c r="H26" s="43"/>
      <c r="I26" s="106" t="s">
        <v>111</v>
      </c>
      <c r="J26" s="104">
        <f>(J23/$L3)^(1/((lgh_bs!L$2-lgh_bs!$I$2)/365))-1</f>
        <v>0.27549858989133047</v>
      </c>
      <c r="K26" s="104">
        <f>(K23/$L3)^(1/((lgh_bs!M$2-lgh_bs!$I$2)/365))-1</f>
        <v>0.21008054378347252</v>
      </c>
      <c r="L26" s="104">
        <f>(L23/$L3)^(1/((lgh_bs!N$2-lgh_bs!$I$2)/365))-1</f>
        <v>0.23481091452990999</v>
      </c>
      <c r="M26" s="104">
        <f>(M23/$L3)^(1/((lgh_bs!O$2-lgh_bs!$I$2)/365))-1</f>
        <v>0.23104543917424492</v>
      </c>
      <c r="N26" s="104">
        <f>(N23/$L3)^(1/((lgh_bs!P$2-lgh_bs!$I$2)/365))-1</f>
        <v>0.23471288237119325</v>
      </c>
      <c r="O26" s="43"/>
      <c r="P26" s="106" t="s">
        <v>111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116</v>
      </c>
      <c r="K27" s="75"/>
      <c r="L27" s="75"/>
      <c r="M27" s="75"/>
      <c r="N27" s="75"/>
      <c r="O27" s="43"/>
      <c r="P27" s="43"/>
      <c r="Q27" s="46" t="s">
        <v>116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117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118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119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120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121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122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123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124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125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W1" zoomScale="81" workbookViewId="0">
      <selection activeCell="AE40" sqref="AE40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126</v>
      </c>
      <c r="B1" s="83" t="s">
        <v>127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50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50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128</v>
      </c>
      <c r="D3" s="114" t="s">
        <v>129</v>
      </c>
      <c r="E3" s="114" t="s">
        <v>130</v>
      </c>
      <c r="F3" s="114" t="s">
        <v>131</v>
      </c>
      <c r="G3" s="114" t="s">
        <v>132</v>
      </c>
      <c r="H3" s="114" t="s">
        <v>129</v>
      </c>
      <c r="I3" s="114" t="s">
        <v>130</v>
      </c>
      <c r="J3" s="114" t="s">
        <v>131</v>
      </c>
      <c r="K3" s="114" t="s">
        <v>132</v>
      </c>
      <c r="L3" s="114" t="s">
        <v>129</v>
      </c>
      <c r="M3" s="114" t="s">
        <v>129</v>
      </c>
      <c r="N3" s="114" t="s">
        <v>129</v>
      </c>
      <c r="O3" s="114" t="s">
        <v>129</v>
      </c>
      <c r="P3" s="114" t="s">
        <v>129</v>
      </c>
      <c r="Q3" s="43"/>
      <c r="R3" s="114" t="s">
        <v>129</v>
      </c>
      <c r="S3" s="114" t="s">
        <v>130</v>
      </c>
      <c r="T3" s="114" t="s">
        <v>131</v>
      </c>
      <c r="U3" s="114" t="s">
        <v>132</v>
      </c>
      <c r="V3" s="114" t="s">
        <v>129</v>
      </c>
      <c r="W3" s="114" t="s">
        <v>129</v>
      </c>
      <c r="X3" s="114" t="s">
        <v>129</v>
      </c>
      <c r="Y3" s="114" t="s">
        <v>129</v>
      </c>
      <c r="Z3" s="114" t="s">
        <v>129</v>
      </c>
      <c r="AA3" s="115"/>
      <c r="AB3" s="101" t="s">
        <v>128</v>
      </c>
      <c r="AC3" s="114" t="s">
        <v>129</v>
      </c>
      <c r="AD3" s="114" t="s">
        <v>130</v>
      </c>
      <c r="AE3" s="114" t="s">
        <v>131</v>
      </c>
      <c r="AF3" s="114" t="s">
        <v>132</v>
      </c>
      <c r="AG3" s="114" t="s">
        <v>129</v>
      </c>
      <c r="AH3" s="114" t="s">
        <v>129</v>
      </c>
      <c r="AI3" s="114" t="s">
        <v>129</v>
      </c>
      <c r="AJ3" s="114" t="s">
        <v>129</v>
      </c>
      <c r="AK3" s="114" t="s">
        <v>129</v>
      </c>
    </row>
    <row r="4" spans="1:37" ht="15" customHeight="1" thickBot="1">
      <c r="A4" s="43"/>
      <c r="B4" s="43"/>
      <c r="C4" s="83" t="s">
        <v>133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133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134</v>
      </c>
      <c r="B5" s="46" t="s">
        <v>82</v>
      </c>
      <c r="C5" s="46" t="s">
        <v>135</v>
      </c>
      <c r="D5" s="50">
        <f>lgh_bs!D5</f>
        <v>251128</v>
      </c>
      <c r="E5" s="50">
        <f>lgh_bs!E5</f>
        <v>2637541.5022251867</v>
      </c>
      <c r="F5" s="50">
        <f>lgh_bs!F5</f>
        <v>-866943.45354548842</v>
      </c>
      <c r="G5" s="50">
        <f>lgh_bs!G5</f>
        <v>-2782648.5794753465</v>
      </c>
      <c r="H5" s="50">
        <f>lgh_bs!H5</f>
        <v>420309.59358124249</v>
      </c>
      <c r="I5" s="50">
        <f>lgh_bs!I5</f>
        <v>5306064.9844554076</v>
      </c>
      <c r="J5" s="50">
        <f>lgh_bs!J5</f>
        <v>10576671.726005489</v>
      </c>
      <c r="K5" s="50">
        <f>lgh_bs!K5</f>
        <v>7017080.2817227002</v>
      </c>
      <c r="L5" s="50">
        <f>lgh_bs!L5</f>
        <v>2766709.9181634923</v>
      </c>
      <c r="M5" s="50">
        <f>lgh_bs!M5</f>
        <v>5785838.5976136215</v>
      </c>
      <c r="N5" s="50">
        <f>lgh_bs!N5</f>
        <v>13083444.852195369</v>
      </c>
      <c r="O5" s="50">
        <f>lgh_bs!O5</f>
        <v>22908452.133995276</v>
      </c>
      <c r="P5" s="50">
        <f>lgh_bs!P5</f>
        <v>27568985.250305906</v>
      </c>
      <c r="Q5" s="43"/>
      <c r="R5" s="421">
        <v>420309.59358124249</v>
      </c>
      <c r="S5" s="68">
        <v>5306064.9844554076</v>
      </c>
      <c r="T5" s="68">
        <v>10576671.726005491</v>
      </c>
      <c r="U5" s="68">
        <v>7017080.2817227002</v>
      </c>
      <c r="V5" s="68">
        <v>2766709.9181634919</v>
      </c>
      <c r="W5" s="68">
        <v>5785838.5976136224</v>
      </c>
      <c r="X5" s="68">
        <v>13083444.852195369</v>
      </c>
      <c r="Y5" s="68">
        <v>22908452.13399528</v>
      </c>
      <c r="Z5" s="68">
        <v>27568985.25030591</v>
      </c>
      <c r="AA5" s="50"/>
      <c r="AB5" s="46" t="s">
        <v>135</v>
      </c>
      <c r="AC5" s="50">
        <f t="shared" ref="AC5:AC36" si="0">H5-R5</f>
        <v>0</v>
      </c>
      <c r="AD5" s="50">
        <f t="shared" ref="AD5:AD36" si="1">I5-S5</f>
        <v>0</v>
      </c>
      <c r="AE5" s="50">
        <f t="shared" ref="AE5:AE36" si="2">J5-T5</f>
        <v>0</v>
      </c>
      <c r="AF5" s="50">
        <f t="shared" ref="AF5:AF36" si="3">K5-U5</f>
        <v>0</v>
      </c>
      <c r="AG5" s="50">
        <f t="shared" ref="AG5:AG36" si="4">L5-V5</f>
        <v>0</v>
      </c>
      <c r="AH5" s="50">
        <f t="shared" ref="AH5:AH36" si="5">M5-W5</f>
        <v>0</v>
      </c>
      <c r="AI5" s="50">
        <f t="shared" ref="AI5:AI36" si="6">N5-X5</f>
        <v>0</v>
      </c>
      <c r="AJ5" s="50">
        <f t="shared" ref="AJ5:AJ36" si="7">O5-Y5</f>
        <v>0</v>
      </c>
      <c r="AK5" s="50">
        <f t="shared" ref="AK5:AK36" si="8">P5-Z5</f>
        <v>0</v>
      </c>
    </row>
    <row r="6" spans="1:37">
      <c r="A6" s="43"/>
      <c r="B6" s="43"/>
      <c r="C6" s="46" t="s">
        <v>136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47318458.658028983</v>
      </c>
      <c r="U6" s="68">
        <v>47193848.832517847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136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137</v>
      </c>
      <c r="B7" s="46" t="s">
        <v>138</v>
      </c>
      <c r="C7" s="46" t="s">
        <v>139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47318458.658028983</v>
      </c>
      <c r="U7" s="68">
        <v>47193848.832517847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139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140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18560900.092840679</v>
      </c>
      <c r="S8" s="68">
        <v>18168834.975128651</v>
      </c>
      <c r="T8" s="68">
        <v>20455751.332310472</v>
      </c>
      <c r="U8" s="68">
        <v>20019625.632090211</v>
      </c>
      <c r="V8" s="68">
        <v>20380869.458477151</v>
      </c>
      <c r="W8" s="68">
        <v>20527641.94701767</v>
      </c>
      <c r="X8" s="68">
        <v>17612726.1428825</v>
      </c>
      <c r="Y8" s="68">
        <v>39638789.311446823</v>
      </c>
      <c r="Z8" s="68">
        <v>47083185.362348847</v>
      </c>
      <c r="AA8" s="50"/>
      <c r="AB8" s="46" t="s">
        <v>140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141</v>
      </c>
      <c r="B9" s="46" t="s">
        <v>55</v>
      </c>
      <c r="C9" s="46" t="s">
        <v>139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3116853.7677923311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139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141</v>
      </c>
      <c r="B10" s="46" t="s">
        <v>57</v>
      </c>
      <c r="C10" s="46" t="s">
        <v>142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142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141</v>
      </c>
      <c r="B11" s="46" t="s">
        <v>56</v>
      </c>
      <c r="C11" s="46" t="s">
        <v>143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10662926.24100245</v>
      </c>
      <c r="X11" s="68">
        <v>9864765.5848319475</v>
      </c>
      <c r="Y11" s="68">
        <v>34687482.435074747</v>
      </c>
      <c r="Z11" s="68">
        <v>42318728.5707912</v>
      </c>
      <c r="AA11" s="50"/>
      <c r="AB11" s="46" t="s">
        <v>143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144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3058419.25</v>
      </c>
      <c r="X12" s="68">
        <v>3517182.1374999988</v>
      </c>
      <c r="Y12" s="68">
        <v>0</v>
      </c>
      <c r="Z12" s="68">
        <v>0</v>
      </c>
      <c r="AA12" s="50"/>
      <c r="AB12" s="46" t="s">
        <v>144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11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40032700.798691437</v>
      </c>
      <c r="S13" s="68">
        <v>36265000.089758404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11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145</v>
      </c>
      <c r="B14" s="46" t="s">
        <v>55</v>
      </c>
      <c r="C14" s="46" t="s">
        <v>139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40032700.798691437</v>
      </c>
      <c r="S14" s="68">
        <v>36265000.089758404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139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146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28009536.13666467</v>
      </c>
      <c r="T15" s="68">
        <v>30460556.806394599</v>
      </c>
      <c r="U15" s="68">
        <v>33156609.146139551</v>
      </c>
      <c r="V15" s="68">
        <v>36091288.056792043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146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147</v>
      </c>
      <c r="B16" s="46" t="s">
        <v>55</v>
      </c>
      <c r="C16" s="46" t="s">
        <v>148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28009536.13666467</v>
      </c>
      <c r="T16" s="68">
        <v>30460556.806394599</v>
      </c>
      <c r="U16" s="68">
        <v>33156609.146139551</v>
      </c>
      <c r="V16" s="68">
        <v>36091288.056792043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148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149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</v>
      </c>
      <c r="T17" s="68">
        <v>15182357.23099955</v>
      </c>
      <c r="U17" s="68">
        <v>17072719.8789321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149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149</v>
      </c>
      <c r="B18" s="46" t="s">
        <v>55</v>
      </c>
      <c r="C18" s="46" t="s">
        <v>149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</v>
      </c>
      <c r="T18" s="68">
        <v>15182357.23099955</v>
      </c>
      <c r="U18" s="68">
        <v>17072719.8789321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149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20333333.333333328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150</v>
      </c>
      <c r="B20" s="46" t="s">
        <v>80</v>
      </c>
      <c r="C20" s="46" t="s">
        <v>151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20333333.333333328</v>
      </c>
      <c r="Y20" s="68">
        <v>22077380.952380951</v>
      </c>
      <c r="Z20" s="68">
        <v>21709415.5844156</v>
      </c>
      <c r="AA20" s="50"/>
      <c r="AB20" s="46" t="s">
        <v>151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150</v>
      </c>
      <c r="B22" s="46" t="s">
        <v>81</v>
      </c>
      <c r="C22" s="46" t="s">
        <v>152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152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34344680.930580013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153</v>
      </c>
      <c r="B24" s="46" t="s">
        <v>64</v>
      </c>
      <c r="C24" s="46" t="s">
        <v>64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34344680.930580013</v>
      </c>
      <c r="Y24" s="68">
        <v>35375021.358497404</v>
      </c>
      <c r="Z24" s="68">
        <v>41436271.999252327</v>
      </c>
      <c r="AA24" s="50"/>
      <c r="AB24" s="46" t="s">
        <v>64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154</v>
      </c>
      <c r="D25" s="50">
        <f>lgh_bs!D25</f>
        <v>3570254</v>
      </c>
      <c r="E25" s="50">
        <f>lgh_bs!E25</f>
        <v>4252788.9307706766</v>
      </c>
      <c r="F25" s="50">
        <f>lgh_bs!F25</f>
        <v>5986171.8615413532</v>
      </c>
      <c r="G25" s="50">
        <f>lgh_bs!G25</f>
        <v>4752346.8449436091</v>
      </c>
      <c r="H25" s="50">
        <f>lgh_bs!H25</f>
        <v>4042423.249398496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3150708.9751249999</v>
      </c>
      <c r="T25" s="68">
        <v>3175738.27275</v>
      </c>
      <c r="U25" s="68">
        <v>3356358.0703750001</v>
      </c>
      <c r="V25" s="68">
        <v>3280322.0304999999</v>
      </c>
      <c r="W25" s="68">
        <v>3183766.1042149998</v>
      </c>
      <c r="X25" s="68">
        <v>2489194.6254014499</v>
      </c>
      <c r="Y25" s="68">
        <v>4037736.002223494</v>
      </c>
      <c r="Z25" s="68">
        <v>5265898.3396666665</v>
      </c>
      <c r="AA25" s="50"/>
      <c r="AB25" s="46" t="s">
        <v>154</v>
      </c>
      <c r="AC25" s="50">
        <f t="shared" si="0"/>
        <v>0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150</v>
      </c>
      <c r="B26" s="46" t="s">
        <v>79</v>
      </c>
      <c r="C26" s="46" t="s">
        <v>155</v>
      </c>
      <c r="D26" s="50">
        <f>lgh_bs!D26</f>
        <v>3570254</v>
      </c>
      <c r="E26" s="50">
        <f>lgh_bs!E26</f>
        <v>4252788.9307706766</v>
      </c>
      <c r="F26" s="50">
        <f>lgh_bs!F26</f>
        <v>5986171.8615413532</v>
      </c>
      <c r="G26" s="50">
        <f>lgh_bs!G26</f>
        <v>4752346.8449436091</v>
      </c>
      <c r="H26" s="50">
        <f>lgh_bs!H26</f>
        <v>4042423.249398496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3150708.9751249999</v>
      </c>
      <c r="T26" s="68">
        <v>3175738.27275</v>
      </c>
      <c r="U26" s="68">
        <v>3356358.0703750001</v>
      </c>
      <c r="V26" s="68">
        <v>3280322.0304999999</v>
      </c>
      <c r="W26" s="68">
        <v>3183766.1042149998</v>
      </c>
      <c r="X26" s="68">
        <v>2489194.6254014499</v>
      </c>
      <c r="Y26" s="68">
        <v>4037736.002223494</v>
      </c>
      <c r="Z26" s="68">
        <v>5265898.3396666665</v>
      </c>
      <c r="AA26" s="50"/>
      <c r="AB26" s="46" t="s">
        <v>155</v>
      </c>
      <c r="AC26" s="50">
        <f t="shared" si="0"/>
        <v>0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156</v>
      </c>
      <c r="D27" s="50">
        <f>lgh_bs!D27</f>
        <v>145972328.25160721</v>
      </c>
      <c r="E27" s="50">
        <f>lgh_bs!E27</f>
        <v>166481228.46205112</v>
      </c>
      <c r="F27" s="50">
        <f>lgh_bs!F27</f>
        <v>172268145.25405335</v>
      </c>
      <c r="G27" s="50">
        <f>lgh_bs!G27</f>
        <v>175090391.11241519</v>
      </c>
      <c r="H27" s="50">
        <f>lgh_bs!H27</f>
        <v>168699386.67016548</v>
      </c>
      <c r="I27" s="50">
        <f>lgh_bs!I27</f>
        <v>174118200.7159701</v>
      </c>
      <c r="J27" s="50">
        <f>lgh_bs!J27</f>
        <v>187288281.19630039</v>
      </c>
      <c r="K27" s="50">
        <f>lgh_bs!K27</f>
        <v>196431027.13885584</v>
      </c>
      <c r="L27" s="50">
        <f>lgh_bs!L27</f>
        <v>216677549.11459273</v>
      </c>
      <c r="M27" s="50">
        <f>lgh_bs!M27</f>
        <v>244411701.20552328</v>
      </c>
      <c r="N27" s="50">
        <f>lgh_bs!N27</f>
        <v>295565322.5796029</v>
      </c>
      <c r="O27" s="50">
        <f>lgh_bs!O27</f>
        <v>355792772.27066934</v>
      </c>
      <c r="P27" s="50">
        <f>lgh_bs!P27</f>
        <v>415595934.35390222</v>
      </c>
      <c r="Q27" s="43"/>
      <c r="R27" s="68">
        <v>168699386.67016551</v>
      </c>
      <c r="S27" s="68">
        <v>174118200.7159701</v>
      </c>
      <c r="T27" s="68">
        <v>187288281.19630039</v>
      </c>
      <c r="U27" s="68">
        <v>196431027.13885579</v>
      </c>
      <c r="V27" s="68">
        <v>216677549.1145927</v>
      </c>
      <c r="W27" s="68">
        <v>244411701.20552331</v>
      </c>
      <c r="X27" s="68">
        <v>295565322.5796029</v>
      </c>
      <c r="Y27" s="68">
        <v>355792772.27066928</v>
      </c>
      <c r="Z27" s="68">
        <v>415595934.35390222</v>
      </c>
      <c r="AA27" s="50"/>
      <c r="AB27" s="46" t="s">
        <v>156</v>
      </c>
      <c r="AC27" s="50">
        <f t="shared" si="0"/>
        <v>0</v>
      </c>
      <c r="AD27" s="50">
        <f t="shared" si="1"/>
        <v>0</v>
      </c>
      <c r="AE27" s="50">
        <f t="shared" si="2"/>
        <v>0</v>
      </c>
      <c r="AF27" s="50">
        <f t="shared" si="3"/>
        <v>0</v>
      </c>
      <c r="AG27" s="50">
        <f t="shared" si="4"/>
        <v>0</v>
      </c>
      <c r="AH27" s="50">
        <f t="shared" si="5"/>
        <v>0</v>
      </c>
      <c r="AI27" s="50">
        <f t="shared" si="6"/>
        <v>0</v>
      </c>
      <c r="AJ27" s="50">
        <f t="shared" si="7"/>
        <v>0</v>
      </c>
      <c r="AK27" s="50">
        <f t="shared" si="8"/>
        <v>0</v>
      </c>
    </row>
    <row r="28" spans="1:37">
      <c r="A28" s="43"/>
      <c r="B28" s="43"/>
      <c r="C28" s="83" t="s">
        <v>157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157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158</v>
      </c>
      <c r="B29" s="46" t="s">
        <v>74</v>
      </c>
      <c r="C29" s="46" t="s">
        <v>159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12239223.025316531</v>
      </c>
      <c r="U29" s="68">
        <v>12195991.877848441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159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150</v>
      </c>
      <c r="B30" s="46" t="s">
        <v>86</v>
      </c>
      <c r="C30" s="46" t="s">
        <v>160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160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161</v>
      </c>
      <c r="B31" s="46" t="s">
        <v>72</v>
      </c>
      <c r="C31" s="46" t="s">
        <v>162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17286474.095939841</v>
      </c>
      <c r="W31" s="68">
        <v>18797445.21033081</v>
      </c>
      <c r="X31" s="68">
        <v>21168561.991880439</v>
      </c>
      <c r="Y31" s="68">
        <v>24343846.290662501</v>
      </c>
      <c r="Z31" s="68">
        <v>27995423.23426187</v>
      </c>
      <c r="AA31" s="50"/>
      <c r="AB31" s="46" t="s">
        <v>162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163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</v>
      </c>
      <c r="S32" s="68">
        <v>15901473.25651527</v>
      </c>
      <c r="T32" s="68">
        <v>20815024.268373389</v>
      </c>
      <c r="U32" s="68">
        <v>20778683.615955692</v>
      </c>
      <c r="V32" s="68">
        <v>24686987.528731901</v>
      </c>
      <c r="W32" s="68">
        <v>18797445.21033081</v>
      </c>
      <c r="X32" s="68">
        <v>21168561.991880439</v>
      </c>
      <c r="Y32" s="68">
        <v>24343846.290662501</v>
      </c>
      <c r="Z32" s="68">
        <v>27995423.23426187</v>
      </c>
      <c r="AA32" s="50"/>
      <c r="AB32" s="46" t="s">
        <v>163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54</v>
      </c>
      <c r="D33" s="50">
        <f>lgh_bs!D33</f>
        <v>119773010.1849418</v>
      </c>
      <c r="E33" s="50">
        <f>lgh_bs!E33</f>
        <v>134090930.36738586</v>
      </c>
      <c r="F33" s="50">
        <f>lgh_bs!F33</f>
        <v>137097576.85874093</v>
      </c>
      <c r="G33" s="50">
        <f>lgh_bs!G33</f>
        <v>160871589.70367149</v>
      </c>
      <c r="H33" s="50">
        <f>lgh_bs!H33</f>
        <v>153133920.46411586</v>
      </c>
      <c r="I33" s="50">
        <f>lgh_bs!I33</f>
        <v>158216727.45945483</v>
      </c>
      <c r="J33" s="50">
        <f>lgh_bs!J33</f>
        <v>166473256.92792702</v>
      </c>
      <c r="K33" s="50">
        <f>lgh_bs!K33</f>
        <v>175652343.52290016</v>
      </c>
      <c r="L33" s="50">
        <f>lgh_bs!L33</f>
        <v>191990561.58586082</v>
      </c>
      <c r="M33" s="50">
        <f>lgh_bs!M33</f>
        <v>225614255.99519247</v>
      </c>
      <c r="N33" s="50">
        <f>lgh_bs!N33</f>
        <v>274396760.58772248</v>
      </c>
      <c r="O33" s="50">
        <f>lgh_bs!O33</f>
        <v>331448925.98000681</v>
      </c>
      <c r="P33" s="50">
        <f>lgh_bs!P33</f>
        <v>387600511.11964035</v>
      </c>
      <c r="Q33" s="43"/>
      <c r="R33" s="68">
        <v>153133920.46411589</v>
      </c>
      <c r="S33" s="68">
        <v>158216727.4594548</v>
      </c>
      <c r="T33" s="68">
        <v>166473256.92792699</v>
      </c>
      <c r="U33" s="68">
        <v>175652343.52290019</v>
      </c>
      <c r="V33" s="68">
        <v>191990561.58586079</v>
      </c>
      <c r="W33" s="68">
        <v>225614255.9951925</v>
      </c>
      <c r="X33" s="68">
        <v>274396760.58772248</v>
      </c>
      <c r="Y33" s="68">
        <v>331448925.98000681</v>
      </c>
      <c r="Z33" s="68">
        <v>387600511.11964041</v>
      </c>
      <c r="AA33" s="50"/>
      <c r="AB33" s="46" t="s">
        <v>54</v>
      </c>
      <c r="AC33" s="50">
        <f t="shared" si="0"/>
        <v>0</v>
      </c>
      <c r="AD33" s="50">
        <f t="shared" si="1"/>
        <v>0</v>
      </c>
      <c r="AE33" s="50">
        <f t="shared" si="2"/>
        <v>0</v>
      </c>
      <c r="AF33" s="50">
        <f t="shared" si="3"/>
        <v>0</v>
      </c>
      <c r="AG33" s="50">
        <f t="shared" si="4"/>
        <v>0</v>
      </c>
      <c r="AH33" s="50">
        <f t="shared" si="5"/>
        <v>0</v>
      </c>
      <c r="AI33" s="50">
        <f t="shared" si="6"/>
        <v>0</v>
      </c>
      <c r="AJ33" s="50">
        <f t="shared" si="7"/>
        <v>0</v>
      </c>
      <c r="AK33" s="50">
        <f t="shared" si="8"/>
        <v>0</v>
      </c>
    </row>
    <row r="34" spans="1:37">
      <c r="A34" s="43"/>
      <c r="B34" s="43"/>
      <c r="C34" s="83" t="s">
        <v>164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164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165</v>
      </c>
      <c r="B35" s="46" t="s">
        <v>84</v>
      </c>
      <c r="C35" s="83" t="s">
        <v>166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3805056.3962850193</v>
      </c>
      <c r="H35" s="50">
        <f>lgh_bs!H35</f>
        <v>1096872.1624405503</v>
      </c>
      <c r="I35" s="50">
        <f>lgh_bs!I35</f>
        <v>2875854.6108091921</v>
      </c>
      <c r="J35" s="50">
        <f>lgh_bs!J35</f>
        <v>5765639.9247744558</v>
      </c>
      <c r="K35" s="50">
        <f>lgh_bs!K35</f>
        <v>8978320.2330150567</v>
      </c>
      <c r="L35" s="50">
        <f>lgh_bs!L35</f>
        <v>14696696.555051286</v>
      </c>
      <c r="M35" s="50">
        <f>lgh_bs!M35</f>
        <v>26464989.598317362</v>
      </c>
      <c r="N35" s="50">
        <f>lgh_bs!N35</f>
        <v>43538866.205702864</v>
      </c>
      <c r="O35" s="50">
        <f>lgh_bs!O35</f>
        <v>63507124.093002379</v>
      </c>
      <c r="P35" s="50">
        <f>lgh_bs!P35</f>
        <v>83160178.89187412</v>
      </c>
      <c r="Q35" s="43"/>
      <c r="R35" s="68">
        <v>1096872.16244055</v>
      </c>
      <c r="S35" s="68">
        <v>2875854.6108091921</v>
      </c>
      <c r="T35" s="68">
        <v>5765639.9247744558</v>
      </c>
      <c r="U35" s="68">
        <v>8978320.2330150567</v>
      </c>
      <c r="V35" s="68">
        <v>14696696.555051289</v>
      </c>
      <c r="W35" s="68">
        <v>26464989.598317359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166</v>
      </c>
      <c r="AC35" s="50">
        <f t="shared" si="0"/>
        <v>0</v>
      </c>
      <c r="AD35" s="50">
        <f t="shared" si="1"/>
        <v>0</v>
      </c>
      <c r="AE35" s="50">
        <f t="shared" si="2"/>
        <v>0</v>
      </c>
      <c r="AF35" s="50">
        <f t="shared" si="3"/>
        <v>0</v>
      </c>
      <c r="AG35" s="50">
        <f t="shared" si="4"/>
        <v>0</v>
      </c>
      <c r="AH35" s="50">
        <f t="shared" si="5"/>
        <v>0</v>
      </c>
      <c r="AI35" s="50">
        <f t="shared" si="6"/>
        <v>0</v>
      </c>
      <c r="AJ35" s="50">
        <f t="shared" si="7"/>
        <v>0</v>
      </c>
      <c r="AK35" s="50">
        <f t="shared" si="8"/>
        <v>0</v>
      </c>
    </row>
    <row r="36" spans="1:37">
      <c r="A36" s="46" t="s">
        <v>167</v>
      </c>
      <c r="B36" s="46" t="s">
        <v>72</v>
      </c>
      <c r="C36" s="83" t="s">
        <v>142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142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168</v>
      </c>
      <c r="B37" s="46" t="s">
        <v>87</v>
      </c>
      <c r="C37" s="83" t="s">
        <v>169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169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107</v>
      </c>
      <c r="D38" s="50">
        <f>lgh_bs!D38</f>
        <v>74692800.798804909</v>
      </c>
      <c r="E38" s="50">
        <f>lgh_bs!E38</f>
        <v>78150043.976237357</v>
      </c>
      <c r="F38" s="50">
        <f>lgh_bs!F38</f>
        <v>86208872.739769444</v>
      </c>
      <c r="G38" s="50">
        <f>lgh_bs!G38</f>
        <v>105160055.10603553</v>
      </c>
      <c r="H38" s="50">
        <f>lgh_bs!H38</f>
        <v>97892179.374335766</v>
      </c>
      <c r="I38" s="50">
        <f>lgh_bs!I38</f>
        <v>98598675.218722284</v>
      </c>
      <c r="J38" s="50">
        <f>lgh_bs!J38</f>
        <v>101811241.09386434</v>
      </c>
      <c r="K38" s="50">
        <f>lgh_bs!K38</f>
        <v>106599719.86241113</v>
      </c>
      <c r="L38" s="50">
        <f>lgh_bs!L38</f>
        <v>113018075.53478606</v>
      </c>
      <c r="M38" s="50">
        <f>lgh_bs!M38</f>
        <v>129731413.74116975</v>
      </c>
      <c r="N38" s="50">
        <f>lgh_bs!N38</f>
        <v>155886613.51385784</v>
      </c>
      <c r="O38" s="50">
        <f>lgh_bs!O38</f>
        <v>186972818.54938972</v>
      </c>
      <c r="P38" s="50">
        <f>lgh_bs!P38</f>
        <v>216993830.22314227</v>
      </c>
      <c r="Q38" s="43"/>
      <c r="R38" s="68">
        <v>97892179.374335766</v>
      </c>
      <c r="S38" s="68">
        <v>98598675.218722284</v>
      </c>
      <c r="T38" s="68">
        <v>101811241.09386431</v>
      </c>
      <c r="U38" s="68">
        <v>106599719.8624111</v>
      </c>
      <c r="V38" s="68">
        <v>113018075.53478611</v>
      </c>
      <c r="W38" s="68">
        <v>129731413.7411698</v>
      </c>
      <c r="X38" s="68">
        <v>155886613.51385781</v>
      </c>
      <c r="Y38" s="68">
        <v>186972818.54938969</v>
      </c>
      <c r="Z38" s="68">
        <v>216993830.2231423</v>
      </c>
      <c r="AA38" s="50"/>
      <c r="AB38" s="83" t="s">
        <v>107</v>
      </c>
      <c r="AC38" s="50">
        <f t="shared" si="9"/>
        <v>0</v>
      </c>
      <c r="AD38" s="50">
        <f t="shared" si="10"/>
        <v>0</v>
      </c>
      <c r="AE38" s="50">
        <f t="shared" si="11"/>
        <v>0</v>
      </c>
      <c r="AF38" s="50">
        <f t="shared" si="12"/>
        <v>0</v>
      </c>
      <c r="AG38" s="50">
        <f t="shared" si="13"/>
        <v>0</v>
      </c>
      <c r="AH38" s="50">
        <f t="shared" si="14"/>
        <v>0</v>
      </c>
      <c r="AI38" s="50">
        <f t="shared" si="15"/>
        <v>0</v>
      </c>
      <c r="AJ38" s="50">
        <f t="shared" si="16"/>
        <v>0</v>
      </c>
      <c r="AK38" s="50">
        <f t="shared" si="17"/>
        <v>0</v>
      </c>
    </row>
    <row r="39" spans="1:37">
      <c r="A39" s="43"/>
      <c r="B39" s="43"/>
      <c r="C39" s="46" t="s">
        <v>170</v>
      </c>
      <c r="D39" s="50">
        <f>lgh_bs!D39</f>
        <v>119773010.1849418</v>
      </c>
      <c r="E39" s="50">
        <f>lgh_bs!E39</f>
        <v>134090930.36738586</v>
      </c>
      <c r="F39" s="50">
        <f>lgh_bs!F39</f>
        <v>137097576.85874093</v>
      </c>
      <c r="G39" s="50">
        <f>lgh_bs!G39</f>
        <v>160871589.70367146</v>
      </c>
      <c r="H39" s="50">
        <f>lgh_bs!H39</f>
        <v>153133920.46411589</v>
      </c>
      <c r="I39" s="50">
        <f>lgh_bs!I39</f>
        <v>158216727.45945483</v>
      </c>
      <c r="J39" s="50">
        <f>lgh_bs!J39</f>
        <v>166473256.92792702</v>
      </c>
      <c r="K39" s="50">
        <f>lgh_bs!K39</f>
        <v>175652343.52290016</v>
      </c>
      <c r="L39" s="50">
        <f>lgh_bs!L39</f>
        <v>191990561.58586079</v>
      </c>
      <c r="M39" s="50">
        <f>lgh_bs!M39</f>
        <v>225614255.99519247</v>
      </c>
      <c r="N39" s="50">
        <f>lgh_bs!N39</f>
        <v>274396760.58772248</v>
      </c>
      <c r="O39" s="50">
        <f>lgh_bs!O39</f>
        <v>331448925.98000681</v>
      </c>
      <c r="P39" s="50">
        <f>lgh_bs!P39</f>
        <v>387600511.11964035</v>
      </c>
      <c r="Q39" s="43"/>
      <c r="R39" s="68">
        <v>153133920.46411589</v>
      </c>
      <c r="S39" s="68">
        <v>158216727.4594548</v>
      </c>
      <c r="T39" s="68">
        <v>166473256.92792699</v>
      </c>
      <c r="U39" s="68">
        <v>175652343.52290019</v>
      </c>
      <c r="V39" s="68">
        <v>191990561.58586079</v>
      </c>
      <c r="W39" s="68">
        <v>225614255.9951925</v>
      </c>
      <c r="X39" s="68">
        <v>274396760.58772248</v>
      </c>
      <c r="Y39" s="68">
        <v>331448925.98000681</v>
      </c>
      <c r="Z39" s="68">
        <v>387600511.11964041</v>
      </c>
      <c r="AA39" s="50"/>
      <c r="AB39" s="46" t="s">
        <v>170</v>
      </c>
      <c r="AC39" s="50">
        <f t="shared" si="9"/>
        <v>0</v>
      </c>
      <c r="AD39" s="50">
        <f t="shared" si="10"/>
        <v>0</v>
      </c>
      <c r="AE39" s="50">
        <f t="shared" si="11"/>
        <v>0</v>
      </c>
      <c r="AF39" s="50">
        <f t="shared" si="12"/>
        <v>0</v>
      </c>
      <c r="AG39" s="50">
        <f t="shared" si="13"/>
        <v>0</v>
      </c>
      <c r="AH39" s="50">
        <f t="shared" si="14"/>
        <v>0</v>
      </c>
      <c r="AI39" s="50">
        <f t="shared" si="15"/>
        <v>0</v>
      </c>
      <c r="AJ39" s="50">
        <f t="shared" si="16"/>
        <v>0</v>
      </c>
      <c r="AK39" s="50">
        <f t="shared" si="17"/>
        <v>0</v>
      </c>
    </row>
    <row r="40" spans="1:37">
      <c r="A40" s="46" t="s">
        <v>141</v>
      </c>
      <c r="B40" s="46" t="s">
        <v>58</v>
      </c>
      <c r="C40" s="46" t="s">
        <v>171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171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141</v>
      </c>
      <c r="B41" s="46" t="s">
        <v>59</v>
      </c>
      <c r="C41" s="46" t="s">
        <v>172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-3116853.7677923311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172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153</v>
      </c>
      <c r="B42" s="46" t="s">
        <v>65</v>
      </c>
      <c r="C42" s="46" t="s">
        <v>173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31338979.634599999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173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153</v>
      </c>
      <c r="B43" s="46" t="s">
        <v>66</v>
      </c>
      <c r="C43" s="46" t="s">
        <v>174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174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175</v>
      </c>
      <c r="D44" s="50">
        <f>lgh_bs!D44</f>
        <v>129773010.1849418</v>
      </c>
      <c r="E44" s="50">
        <f>lgh_bs!E44</f>
        <v>144090930.36738586</v>
      </c>
      <c r="F44" s="50">
        <f>lgh_bs!F44</f>
        <v>147097576.85874093</v>
      </c>
      <c r="G44" s="50">
        <f>lgh_bs!G44</f>
        <v>170871589.70367146</v>
      </c>
      <c r="H44" s="50">
        <f>lgh_bs!H44</f>
        <v>151183617.35181868</v>
      </c>
      <c r="I44" s="50">
        <f>lgh_bs!I44</f>
        <v>158143747.4735778</v>
      </c>
      <c r="J44" s="50">
        <f>lgh_bs!J44</f>
        <v>169875484.68084392</v>
      </c>
      <c r="K44" s="50">
        <f>lgh_bs!K44</f>
        <v>185847242.50655776</v>
      </c>
      <c r="L44" s="50">
        <f>lgh_bs!L44</f>
        <v>206217387.68308303</v>
      </c>
      <c r="M44" s="50">
        <f>lgh_bs!M44</f>
        <v>253001569.15558475</v>
      </c>
      <c r="N44" s="50">
        <f>lgh_bs!N44</f>
        <v>346503982.08475041</v>
      </c>
      <c r="O44" s="50">
        <f>lgh_bs!O44</f>
        <v>440814503.47585016</v>
      </c>
      <c r="P44" s="50">
        <f>lgh_bs!P44</f>
        <v>570473055.11814499</v>
      </c>
      <c r="Q44" s="43"/>
      <c r="R44" s="68">
        <v>151183617.35181871</v>
      </c>
      <c r="S44" s="68">
        <v>158143747.4735778</v>
      </c>
      <c r="T44" s="68">
        <v>169875484.68084389</v>
      </c>
      <c r="U44" s="68">
        <v>185847242.50655779</v>
      </c>
      <c r="V44" s="68">
        <v>206217387.683083</v>
      </c>
      <c r="W44" s="68">
        <v>253001569.15558481</v>
      </c>
      <c r="X44" s="68">
        <v>346503982.08475041</v>
      </c>
      <c r="Y44" s="68">
        <v>440814503.47585022</v>
      </c>
      <c r="Z44" s="68">
        <v>570473055.11814499</v>
      </c>
      <c r="AA44" s="50"/>
      <c r="AB44" s="46" t="s">
        <v>175</v>
      </c>
      <c r="AC44" s="50">
        <f t="shared" si="9"/>
        <v>0</v>
      </c>
      <c r="AD44" s="50">
        <f t="shared" si="10"/>
        <v>0</v>
      </c>
      <c r="AE44" s="50">
        <f t="shared" si="11"/>
        <v>0</v>
      </c>
      <c r="AF44" s="50">
        <f t="shared" si="12"/>
        <v>0</v>
      </c>
      <c r="AG44" s="50">
        <f t="shared" si="13"/>
        <v>0</v>
      </c>
      <c r="AH44" s="50">
        <f t="shared" si="14"/>
        <v>0</v>
      </c>
      <c r="AI44" s="50">
        <f t="shared" si="15"/>
        <v>0</v>
      </c>
      <c r="AJ44" s="50">
        <f t="shared" si="16"/>
        <v>0</v>
      </c>
      <c r="AK44" s="50">
        <f t="shared" si="17"/>
        <v>0</v>
      </c>
    </row>
    <row r="45" spans="1:37">
      <c r="A45" s="43"/>
      <c r="B45" s="43"/>
      <c r="C45" s="46" t="s">
        <v>176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3499999.9999999893</v>
      </c>
      <c r="H45" s="50">
        <f>lgh_bs!H45</f>
        <v>-682606.08930401201</v>
      </c>
      <c r="I45" s="50">
        <f>lgh_bs!I45</f>
        <v>-25542.99505696306</v>
      </c>
      <c r="J45" s="50">
        <f>lgh_bs!J45</f>
        <v>1190779.7135209152</v>
      </c>
      <c r="K45" s="50">
        <f>lgh_bs!K45</f>
        <v>3568214.6442801598</v>
      </c>
      <c r="L45" s="50">
        <f>lgh_bs!L45</f>
        <v>4979389.1340277717</v>
      </c>
      <c r="M45" s="50">
        <f>lgh_bs!M45</f>
        <v>9585559.606137298</v>
      </c>
      <c r="N45" s="50">
        <f>lgh_bs!N45</f>
        <v>25237527.523959778</v>
      </c>
      <c r="O45" s="50">
        <f>lgh_bs!O45</f>
        <v>38277952.12354517</v>
      </c>
      <c r="P45" s="50">
        <f>lgh_bs!P45</f>
        <v>64005390.399476603</v>
      </c>
      <c r="Q45" s="43"/>
      <c r="R45" s="68">
        <v>-682606.08930401201</v>
      </c>
      <c r="S45" s="68">
        <v>-25542.99505696306</v>
      </c>
      <c r="T45" s="68">
        <v>1190779.713520915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176</v>
      </c>
      <c r="AC45" s="50">
        <f t="shared" si="9"/>
        <v>0</v>
      </c>
      <c r="AD45" s="50">
        <f t="shared" si="10"/>
        <v>0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177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177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178</v>
      </c>
      <c r="D47" s="50">
        <f>lgh_bs!D47</f>
        <v>43497765.475407854</v>
      </c>
      <c r="E47" s="50">
        <f>lgh_bs!E47</f>
        <v>49728069.602873735</v>
      </c>
      <c r="F47" s="50">
        <f>lgh_bs!F47</f>
        <v>13405097.319150345</v>
      </c>
      <c r="G47" s="50">
        <f>lgh_bs!G47</f>
        <v>15679493.244307863</v>
      </c>
      <c r="H47" s="50">
        <f>lgh_bs!H47</f>
        <v>14925334.397542065</v>
      </c>
      <c r="I47" s="50">
        <f>lgh_bs!I47</f>
        <v>15840009.051074654</v>
      </c>
      <c r="J47" s="50">
        <f>lgh_bs!J47</f>
        <v>16666618.876793489</v>
      </c>
      <c r="K47" s="50">
        <f>lgh_bs!K47</f>
        <v>17585591.333623193</v>
      </c>
      <c r="L47" s="50">
        <f>lgh_bs!L47</f>
        <v>19221306.63472528</v>
      </c>
      <c r="M47" s="50">
        <f>lgh_bs!M47</f>
        <v>22587572.846437108</v>
      </c>
      <c r="N47" s="50">
        <f>lgh_bs!N47</f>
        <v>27471476.885457158</v>
      </c>
      <c r="O47" s="50">
        <f>lgh_bs!O47</f>
        <v>33183305.405161437</v>
      </c>
      <c r="P47" s="50">
        <f>lgh_bs!P47</f>
        <v>38804971.528118722</v>
      </c>
      <c r="Q47" s="43"/>
      <c r="R47" s="68">
        <v>14925334.397542071</v>
      </c>
      <c r="S47" s="68">
        <v>15840009.05107465</v>
      </c>
      <c r="T47" s="68">
        <v>16666618.876793491</v>
      </c>
      <c r="U47" s="68">
        <v>17585591.333623189</v>
      </c>
      <c r="V47" s="68">
        <v>19221306.63472528</v>
      </c>
      <c r="W47" s="68">
        <v>22587572.846437111</v>
      </c>
      <c r="X47" s="68">
        <v>27471476.885457162</v>
      </c>
      <c r="Y47" s="68">
        <v>33183305.40516144</v>
      </c>
      <c r="Z47" s="68">
        <v>38804971.528118722</v>
      </c>
      <c r="AA47" s="50"/>
      <c r="AB47" s="46" t="s">
        <v>178</v>
      </c>
      <c r="AC47" s="50">
        <f t="shared" si="9"/>
        <v>0</v>
      </c>
      <c r="AD47" s="50">
        <f t="shared" si="10"/>
        <v>0</v>
      </c>
      <c r="AE47" s="50">
        <f t="shared" si="11"/>
        <v>0</v>
      </c>
      <c r="AF47" s="50">
        <f t="shared" si="12"/>
        <v>0</v>
      </c>
      <c r="AG47" s="50">
        <f t="shared" si="13"/>
        <v>0</v>
      </c>
      <c r="AH47" s="50">
        <f t="shared" si="14"/>
        <v>0</v>
      </c>
      <c r="AI47" s="50">
        <f t="shared" si="15"/>
        <v>0</v>
      </c>
      <c r="AJ47" s="50">
        <f t="shared" si="16"/>
        <v>0</v>
      </c>
      <c r="AK47" s="50">
        <f t="shared" si="17"/>
        <v>0</v>
      </c>
    </row>
    <row r="48" spans="1:37">
      <c r="A48" s="43"/>
      <c r="B48" s="43"/>
      <c r="C48" s="46" t="s">
        <v>169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169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179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179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180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7305056.3962850086</v>
      </c>
      <c r="H50" s="55">
        <f>lgh_bs!H50</f>
        <v>414266.07313653827</v>
      </c>
      <c r="I50" s="55">
        <f>lgh_bs!I50</f>
        <v>2850311.615752229</v>
      </c>
      <c r="J50" s="55">
        <f>lgh_bs!J50</f>
        <v>6956419.6382953711</v>
      </c>
      <c r="K50" s="55">
        <f>lgh_bs!K50</f>
        <v>12546534.877295217</v>
      </c>
      <c r="L50" s="55">
        <f>lgh_bs!L50</f>
        <v>19676085.689079057</v>
      </c>
      <c r="M50" s="55">
        <f>lgh_bs!M50</f>
        <v>36050549.20445466</v>
      </c>
      <c r="N50" s="55">
        <f>lgh_bs!N50</f>
        <v>68776393.729662642</v>
      </c>
      <c r="O50" s="55">
        <f>lgh_bs!O50</f>
        <v>101785076.21654755</v>
      </c>
      <c r="P50" s="55">
        <f>lgh_bs!P50</f>
        <v>147165569.29135072</v>
      </c>
      <c r="Q50" s="43"/>
      <c r="R50" s="119">
        <v>414266.07313653833</v>
      </c>
      <c r="S50" s="119">
        <v>2850311.615752229</v>
      </c>
      <c r="T50" s="119">
        <v>6956419.6382953711</v>
      </c>
      <c r="U50" s="119">
        <v>12546534.87729522</v>
      </c>
      <c r="V50" s="119">
        <v>19676085.689079061</v>
      </c>
      <c r="W50" s="119">
        <v>36050549.20445466</v>
      </c>
      <c r="X50" s="119">
        <v>68776393.729662642</v>
      </c>
      <c r="Y50" s="119">
        <v>101785076.2165475</v>
      </c>
      <c r="Z50" s="119">
        <v>147165569.29135069</v>
      </c>
      <c r="AA50" s="55"/>
      <c r="AB50" s="46" t="s">
        <v>180</v>
      </c>
      <c r="AC50" s="50">
        <f t="shared" si="9"/>
        <v>0</v>
      </c>
      <c r="AD50" s="50">
        <f t="shared" si="10"/>
        <v>0</v>
      </c>
      <c r="AE50" s="50">
        <f t="shared" si="11"/>
        <v>0</v>
      </c>
      <c r="AF50" s="50">
        <f t="shared" si="12"/>
        <v>0</v>
      </c>
      <c r="AG50" s="50">
        <f t="shared" si="13"/>
        <v>0</v>
      </c>
      <c r="AH50" s="50">
        <f t="shared" si="14"/>
        <v>0</v>
      </c>
      <c r="AI50" s="50">
        <f t="shared" si="15"/>
        <v>0</v>
      </c>
      <c r="AJ50" s="50">
        <f t="shared" si="16"/>
        <v>0</v>
      </c>
      <c r="AK50" s="50">
        <f t="shared" si="17"/>
        <v>0</v>
      </c>
    </row>
    <row r="51" spans="1:37">
      <c r="A51" s="43"/>
      <c r="B51" s="43"/>
      <c r="C51" s="46" t="s">
        <v>181</v>
      </c>
      <c r="D51" s="50">
        <f>lgh_bs!D51</f>
        <v>102509946.9743284</v>
      </c>
      <c r="E51" s="50">
        <f>lgh_bs!E51</f>
        <v>97573388.778555498</v>
      </c>
      <c r="F51" s="50">
        <f>lgh_bs!F51</f>
        <v>105444724.94747163</v>
      </c>
      <c r="G51" s="50">
        <f>lgh_bs!G51</f>
        <v>120689380.91047411</v>
      </c>
      <c r="H51" s="50">
        <f>lgh_bs!H51</f>
        <v>105631311.09391254</v>
      </c>
      <c r="I51" s="50">
        <f>lgh_bs!I51</f>
        <v>107564030.79546101</v>
      </c>
      <c r="J51" s="50">
        <f>lgh_bs!J51</f>
        <v>112926411.42477575</v>
      </c>
      <c r="K51" s="50">
        <f>lgh_bs!K51</f>
        <v>121838622.09280127</v>
      </c>
      <c r="L51" s="50">
        <f>lgh_bs!L51</f>
        <v>130973006.03213286</v>
      </c>
      <c r="M51" s="50">
        <f>lgh_bs!M51</f>
        <v>154714528.4738344</v>
      </c>
      <c r="N51" s="50">
        <f>lgh_bs!N51</f>
        <v>208015772.3437486</v>
      </c>
      <c r="O51" s="50">
        <f>lgh_bs!O51</f>
        <v>260952193.32660276</v>
      </c>
      <c r="P51" s="50">
        <f>lgh_bs!P51</f>
        <v>335860983.82217032</v>
      </c>
      <c r="Q51" s="43"/>
      <c r="R51" s="68">
        <v>105631311.0939125</v>
      </c>
      <c r="S51" s="68">
        <v>107564030.795461</v>
      </c>
      <c r="T51" s="68">
        <v>112926411.4247757</v>
      </c>
      <c r="U51" s="68">
        <v>121838622.0928013</v>
      </c>
      <c r="V51" s="68">
        <v>130973006.03213289</v>
      </c>
      <c r="W51" s="68">
        <v>154714528.4738344</v>
      </c>
      <c r="X51" s="68">
        <v>208015772.3437486</v>
      </c>
      <c r="Y51" s="68">
        <v>260952193.32660279</v>
      </c>
      <c r="Z51" s="68">
        <v>335860983.82217032</v>
      </c>
      <c r="AA51" s="50"/>
      <c r="AB51" s="46" t="s">
        <v>181</v>
      </c>
      <c r="AC51" s="50">
        <f t="shared" si="9"/>
        <v>0</v>
      </c>
      <c r="AD51" s="50">
        <f t="shared" si="10"/>
        <v>0</v>
      </c>
      <c r="AE51" s="50">
        <f t="shared" si="11"/>
        <v>0</v>
      </c>
      <c r="AF51" s="50">
        <f t="shared" si="12"/>
        <v>0</v>
      </c>
      <c r="AG51" s="50">
        <f t="shared" si="13"/>
        <v>0</v>
      </c>
      <c r="AH51" s="50">
        <f t="shared" si="14"/>
        <v>0</v>
      </c>
      <c r="AI51" s="50">
        <f t="shared" si="15"/>
        <v>0</v>
      </c>
      <c r="AJ51" s="50">
        <f t="shared" si="16"/>
        <v>0</v>
      </c>
      <c r="AK51" s="50">
        <f t="shared" si="17"/>
        <v>0</v>
      </c>
    </row>
    <row r="52" spans="1:37">
      <c r="A52" s="43"/>
      <c r="B52" s="43"/>
      <c r="C52" s="46" t="s">
        <v>182</v>
      </c>
      <c r="D52" s="50">
        <f>lgh_bs!D52</f>
        <v>129773010.1849418</v>
      </c>
      <c r="E52" s="50">
        <f>lgh_bs!E52</f>
        <v>144090930.36738586</v>
      </c>
      <c r="F52" s="50">
        <f>lgh_bs!F52</f>
        <v>147097576.85874093</v>
      </c>
      <c r="G52" s="50">
        <f>lgh_bs!G52</f>
        <v>170871589.70367146</v>
      </c>
      <c r="H52" s="50">
        <f>lgh_bs!H52</f>
        <v>151183617.35181868</v>
      </c>
      <c r="I52" s="50">
        <f>lgh_bs!I52</f>
        <v>158143747.4735778</v>
      </c>
      <c r="J52" s="50">
        <f>lgh_bs!J52</f>
        <v>169875484.68084389</v>
      </c>
      <c r="K52" s="50">
        <f>lgh_bs!K52</f>
        <v>185847242.50655776</v>
      </c>
      <c r="L52" s="50">
        <f>lgh_bs!L52</f>
        <v>206217387.68308306</v>
      </c>
      <c r="M52" s="50">
        <f>lgh_bs!M52</f>
        <v>253001569.15558475</v>
      </c>
      <c r="N52" s="50">
        <f>lgh_bs!N52</f>
        <v>346503982.08475041</v>
      </c>
      <c r="O52" s="50">
        <f>lgh_bs!O52</f>
        <v>440814503.47585022</v>
      </c>
      <c r="P52" s="50">
        <f>lgh_bs!P52</f>
        <v>570473055.11814499</v>
      </c>
      <c r="Q52" s="43"/>
      <c r="R52" s="68">
        <v>151183617.35181871</v>
      </c>
      <c r="S52" s="68">
        <v>158143747.4735778</v>
      </c>
      <c r="T52" s="68">
        <v>169875484.68084389</v>
      </c>
      <c r="U52" s="68">
        <v>185847242.50655779</v>
      </c>
      <c r="V52" s="68">
        <v>206217387.68308309</v>
      </c>
      <c r="W52" s="68">
        <v>253001569.15558481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182</v>
      </c>
      <c r="AC52" s="50">
        <f t="shared" si="9"/>
        <v>0</v>
      </c>
      <c r="AD52" s="50">
        <f t="shared" si="10"/>
        <v>0</v>
      </c>
      <c r="AE52" s="50">
        <f t="shared" si="11"/>
        <v>0</v>
      </c>
      <c r="AF52" s="50">
        <f t="shared" si="12"/>
        <v>0</v>
      </c>
      <c r="AG52" s="50">
        <f t="shared" si="13"/>
        <v>0</v>
      </c>
      <c r="AH52" s="50">
        <f t="shared" si="14"/>
        <v>0</v>
      </c>
      <c r="AI52" s="50">
        <f t="shared" si="15"/>
        <v>0</v>
      </c>
      <c r="AJ52" s="50">
        <f t="shared" si="16"/>
        <v>0</v>
      </c>
      <c r="AK52" s="50">
        <f t="shared" si="17"/>
        <v>0</v>
      </c>
    </row>
    <row r="53" spans="1:37">
      <c r="A53" s="43"/>
      <c r="B53" s="43"/>
      <c r="C53" s="46" t="s">
        <v>183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150769351.27868214</v>
      </c>
      <c r="I53" s="50">
        <f>lgh_bs!I53</f>
        <v>155293435.85782558</v>
      </c>
      <c r="J53" s="50">
        <f>lgh_bs!J53</f>
        <v>162919065.04254851</v>
      </c>
      <c r="K53" s="50">
        <f>lgh_bs!K53</f>
        <v>173300707.62926254</v>
      </c>
      <c r="L53" s="50">
        <f>lgh_bs!L53</f>
        <v>186541301.99400401</v>
      </c>
      <c r="M53" s="50">
        <f>lgh_bs!M53</f>
        <v>216951019.95113009</v>
      </c>
      <c r="N53" s="50">
        <f>lgh_bs!N53</f>
        <v>277727588.35508776</v>
      </c>
      <c r="O53" s="50">
        <f>lgh_bs!O53</f>
        <v>339029427.25930268</v>
      </c>
      <c r="P53" s="50">
        <f>lgh_bs!P53</f>
        <v>423307485.82679427</v>
      </c>
      <c r="Q53" s="43"/>
      <c r="R53" s="68">
        <v>150769351.27868211</v>
      </c>
      <c r="S53" s="68">
        <v>155293435.85782561</v>
      </c>
      <c r="T53" s="68">
        <v>162919065.04254851</v>
      </c>
      <c r="U53" s="68">
        <v>173300707.62926251</v>
      </c>
      <c r="V53" s="68">
        <v>186541301.99400401</v>
      </c>
      <c r="W53" s="68">
        <v>216951019.95113009</v>
      </c>
      <c r="X53" s="68">
        <v>277727588.35508782</v>
      </c>
      <c r="Y53" s="68">
        <v>339029427.25930268</v>
      </c>
      <c r="Z53" s="68">
        <v>423307485.82679433</v>
      </c>
      <c r="AA53" s="50"/>
      <c r="AB53" s="46" t="s">
        <v>183</v>
      </c>
      <c r="AC53" s="50">
        <f t="shared" si="9"/>
        <v>0</v>
      </c>
      <c r="AD53" s="50">
        <f t="shared" si="10"/>
        <v>0</v>
      </c>
      <c r="AE53" s="50">
        <f t="shared" si="11"/>
        <v>0</v>
      </c>
      <c r="AF53" s="50">
        <f t="shared" si="12"/>
        <v>0</v>
      </c>
      <c r="AG53" s="50">
        <f t="shared" si="13"/>
        <v>0</v>
      </c>
      <c r="AH53" s="50">
        <f t="shared" si="14"/>
        <v>0</v>
      </c>
      <c r="AI53" s="50">
        <f t="shared" si="15"/>
        <v>0</v>
      </c>
      <c r="AJ53" s="50">
        <f t="shared" si="16"/>
        <v>0</v>
      </c>
      <c r="AK53" s="50">
        <f t="shared" si="17"/>
        <v>0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126</v>
      </c>
      <c r="B1" s="83" t="s">
        <v>127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50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128</v>
      </c>
      <c r="D3" s="135" t="s">
        <v>129</v>
      </c>
      <c r="E3" s="135" t="s">
        <v>130</v>
      </c>
      <c r="F3" s="135" t="s">
        <v>131</v>
      </c>
      <c r="G3" s="135" t="s">
        <v>132</v>
      </c>
      <c r="H3" s="135" t="s">
        <v>129</v>
      </c>
      <c r="I3" s="135" t="s">
        <v>130</v>
      </c>
      <c r="J3" s="135" t="s">
        <v>131</v>
      </c>
      <c r="K3" s="135" t="s">
        <v>132</v>
      </c>
      <c r="L3" s="135" t="s">
        <v>129</v>
      </c>
      <c r="M3" s="135" t="s">
        <v>129</v>
      </c>
      <c r="N3" s="135" t="s">
        <v>129</v>
      </c>
      <c r="O3" s="135" t="s">
        <v>129</v>
      </c>
      <c r="P3" s="135" t="s">
        <v>129</v>
      </c>
    </row>
    <row r="4" spans="1:16">
      <c r="A4" s="43"/>
      <c r="B4" s="43"/>
      <c r="C4" s="83" t="s">
        <v>133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134</v>
      </c>
      <c r="B5" s="46" t="s">
        <v>82</v>
      </c>
      <c r="C5" s="46" t="s">
        <v>135</v>
      </c>
      <c r="D5" s="68">
        <v>251128</v>
      </c>
      <c r="E5" s="50">
        <f>+registry!C82</f>
        <v>2637541.5022251867</v>
      </c>
      <c r="F5" s="50">
        <f>+registry!D82</f>
        <v>-866943.45354548842</v>
      </c>
      <c r="G5" s="50">
        <f>+registry!E82</f>
        <v>-2782648.5794753465</v>
      </c>
      <c r="H5" s="50">
        <f>+registry!F82</f>
        <v>420309.59358124249</v>
      </c>
      <c r="I5" s="50">
        <f>+registry!G82</f>
        <v>5306064.9844554076</v>
      </c>
      <c r="J5" s="50">
        <f>+registry!H82</f>
        <v>10576671.726005489</v>
      </c>
      <c r="K5" s="50">
        <f>+registry!I82</f>
        <v>7017080.2817227002</v>
      </c>
      <c r="L5" s="50">
        <f>+registry!J82</f>
        <v>2766709.9181634923</v>
      </c>
      <c r="M5" s="50">
        <f>+registry!K82</f>
        <v>5785838.5976136215</v>
      </c>
      <c r="N5" s="50">
        <f>+registry!L82</f>
        <v>13083444.852195369</v>
      </c>
      <c r="O5" s="50">
        <f>+registry!M82</f>
        <v>22908452.133995276</v>
      </c>
      <c r="P5" s="50">
        <f>+registry!N82</f>
        <v>27568985.250305906</v>
      </c>
    </row>
    <row r="6" spans="1:16">
      <c r="A6" s="43"/>
      <c r="B6" s="43"/>
      <c r="C6" s="46" t="s">
        <v>136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137</v>
      </c>
      <c r="B7" s="46" t="s">
        <v>138</v>
      </c>
      <c r="C7" s="46" t="s">
        <v>139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140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141</v>
      </c>
      <c r="B9" s="46" t="s">
        <v>55</v>
      </c>
      <c r="C9" s="46" t="s">
        <v>139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141</v>
      </c>
      <c r="B10" s="46" t="s">
        <v>57</v>
      </c>
      <c r="C10" s="46" t="s">
        <v>142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141</v>
      </c>
      <c r="B11" s="46" t="s">
        <v>56</v>
      </c>
      <c r="C11" s="46" t="s">
        <v>143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144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11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145</v>
      </c>
      <c r="B14" s="46" t="s">
        <v>55</v>
      </c>
      <c r="C14" s="46" t="s">
        <v>139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146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147</v>
      </c>
      <c r="B16" s="46" t="s">
        <v>55</v>
      </c>
      <c r="C16" s="46" t="s">
        <v>148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149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149</v>
      </c>
      <c r="B18" s="46" t="s">
        <v>55</v>
      </c>
      <c r="C18" s="46" t="s">
        <v>149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150</v>
      </c>
      <c r="B20" s="46" t="s">
        <v>80</v>
      </c>
      <c r="C20" s="46" t="s">
        <v>151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150</v>
      </c>
      <c r="B22" s="46" t="s">
        <v>81</v>
      </c>
      <c r="C22" s="46" t="s">
        <v>152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153</v>
      </c>
      <c r="B24" s="46" t="s">
        <v>64</v>
      </c>
      <c r="C24" s="46" t="s">
        <v>64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154</v>
      </c>
      <c r="D25" s="68">
        <v>3570254</v>
      </c>
      <c r="E25" s="136">
        <f t="shared" ref="E25:P25" si="8">SUM(E26:E26)</f>
        <v>4252788.9307706766</v>
      </c>
      <c r="F25" s="136">
        <f t="shared" si="8"/>
        <v>5986171.8615413532</v>
      </c>
      <c r="G25" s="136">
        <f t="shared" si="8"/>
        <v>4752346.8449436091</v>
      </c>
      <c r="H25" s="136">
        <f t="shared" si="8"/>
        <v>4042423.249398496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150</v>
      </c>
      <c r="B26" s="46" t="s">
        <v>79</v>
      </c>
      <c r="C26" s="46" t="s">
        <v>155</v>
      </c>
      <c r="D26" s="68">
        <v>3570254</v>
      </c>
      <c r="E26" s="50">
        <f>+registry!C77</f>
        <v>4252788.9307706766</v>
      </c>
      <c r="F26" s="50">
        <f>+registry!D77</f>
        <v>5986171.8615413532</v>
      </c>
      <c r="G26" s="50">
        <f>+registry!E77</f>
        <v>4752346.8449436091</v>
      </c>
      <c r="H26" s="50">
        <f>+registry!F77</f>
        <v>4042423.249398496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156</v>
      </c>
      <c r="D27" s="68">
        <v>145972328.25160721</v>
      </c>
      <c r="E27" s="136">
        <f t="shared" ref="E27:P27" si="9">SUM(E5,E6,E8,E13,E15,E17,E19,E21,E23,E25)</f>
        <v>166481228.46205112</v>
      </c>
      <c r="F27" s="136">
        <f t="shared" si="9"/>
        <v>172268145.25405335</v>
      </c>
      <c r="G27" s="136">
        <f t="shared" si="9"/>
        <v>175090391.11241519</v>
      </c>
      <c r="H27" s="136">
        <f t="shared" si="9"/>
        <v>168699386.67016548</v>
      </c>
      <c r="I27" s="136">
        <f t="shared" si="9"/>
        <v>174118200.7159701</v>
      </c>
      <c r="J27" s="136">
        <f t="shared" si="9"/>
        <v>187288281.19630039</v>
      </c>
      <c r="K27" s="136">
        <f t="shared" si="9"/>
        <v>196431027.13885584</v>
      </c>
      <c r="L27" s="136">
        <f t="shared" si="9"/>
        <v>216677549.11459273</v>
      </c>
      <c r="M27" s="136">
        <f t="shared" si="9"/>
        <v>244411701.20552328</v>
      </c>
      <c r="N27" s="136">
        <f t="shared" si="9"/>
        <v>295565322.5796029</v>
      </c>
      <c r="O27" s="136">
        <f t="shared" si="9"/>
        <v>355792772.27066934</v>
      </c>
      <c r="P27" s="136">
        <f t="shared" si="9"/>
        <v>415595934.35390222</v>
      </c>
    </row>
    <row r="28" spans="1:16">
      <c r="A28" s="43"/>
      <c r="B28" s="43"/>
      <c r="C28" s="83" t="s">
        <v>157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158</v>
      </c>
      <c r="B29" s="46" t="s">
        <v>74</v>
      </c>
      <c r="C29" s="46" t="s">
        <v>159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150</v>
      </c>
      <c r="B30" s="46" t="s">
        <v>86</v>
      </c>
      <c r="C30" s="46" t="s">
        <v>160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161</v>
      </c>
      <c r="B31" s="46" t="s">
        <v>72</v>
      </c>
      <c r="C31" s="46" t="s">
        <v>162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163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54</v>
      </c>
      <c r="D33" s="68">
        <v>119773010.1849418</v>
      </c>
      <c r="E33" s="50">
        <f t="shared" ref="E33:P33" si="11">+E27-E32</f>
        <v>134090930.36738586</v>
      </c>
      <c r="F33" s="50">
        <f t="shared" si="11"/>
        <v>137097576.85874093</v>
      </c>
      <c r="G33" s="50">
        <f t="shared" si="11"/>
        <v>160871589.70367149</v>
      </c>
      <c r="H33" s="50">
        <f t="shared" si="11"/>
        <v>153133920.46411586</v>
      </c>
      <c r="I33" s="50">
        <f t="shared" si="11"/>
        <v>158216727.45945483</v>
      </c>
      <c r="J33" s="50">
        <f t="shared" si="11"/>
        <v>166473256.92792702</v>
      </c>
      <c r="K33" s="50">
        <f t="shared" si="11"/>
        <v>175652343.52290016</v>
      </c>
      <c r="L33" s="50">
        <f t="shared" si="11"/>
        <v>191990561.58586082</v>
      </c>
      <c r="M33" s="50">
        <f t="shared" si="11"/>
        <v>225614255.99519247</v>
      </c>
      <c r="N33" s="50">
        <f t="shared" si="11"/>
        <v>274396760.58772248</v>
      </c>
      <c r="O33" s="50">
        <f t="shared" si="11"/>
        <v>331448925.98000681</v>
      </c>
      <c r="P33" s="50">
        <f t="shared" si="11"/>
        <v>387600511.11964035</v>
      </c>
    </row>
    <row r="34" spans="1:16">
      <c r="A34" s="43"/>
      <c r="B34" s="43"/>
      <c r="C34" s="83" t="s">
        <v>164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165</v>
      </c>
      <c r="B35" s="46" t="s">
        <v>84</v>
      </c>
      <c r="C35" s="83" t="s">
        <v>166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3805056.3962850193</v>
      </c>
      <c r="H35" s="50">
        <f>+registry!F86</f>
        <v>1096872.1624405503</v>
      </c>
      <c r="I35" s="50">
        <f>+registry!G86</f>
        <v>2875854.6108091921</v>
      </c>
      <c r="J35" s="50">
        <f>+registry!H86</f>
        <v>5765639.9247744558</v>
      </c>
      <c r="K35" s="50">
        <f>+registry!I86</f>
        <v>8978320.2330150567</v>
      </c>
      <c r="L35" s="50">
        <f>+registry!J86</f>
        <v>14696696.555051286</v>
      </c>
      <c r="M35" s="50">
        <f>+registry!K86</f>
        <v>26464989.598317362</v>
      </c>
      <c r="N35" s="50">
        <f>+registry!L86</f>
        <v>43538866.205702864</v>
      </c>
      <c r="O35" s="50">
        <f>+registry!M86</f>
        <v>63507124.093002379</v>
      </c>
      <c r="P35" s="50">
        <f>+registry!N86</f>
        <v>83160178.89187412</v>
      </c>
    </row>
    <row r="36" spans="1:16">
      <c r="A36" s="46" t="s">
        <v>167</v>
      </c>
      <c r="B36" s="46" t="s">
        <v>72</v>
      </c>
      <c r="C36" s="83" t="s">
        <v>142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168</v>
      </c>
      <c r="B37" s="46" t="s">
        <v>87</v>
      </c>
      <c r="C37" s="83" t="s">
        <v>169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107</v>
      </c>
      <c r="D38" s="68">
        <v>74692800.798804909</v>
      </c>
      <c r="E38" s="50">
        <f t="shared" ref="E38:P38" si="12">+E33-E35-E36-E37</f>
        <v>78150043.976237357</v>
      </c>
      <c r="F38" s="50">
        <f t="shared" si="12"/>
        <v>86208872.739769444</v>
      </c>
      <c r="G38" s="50">
        <f t="shared" si="12"/>
        <v>105160055.10603553</v>
      </c>
      <c r="H38" s="50">
        <f t="shared" si="12"/>
        <v>97892179.374335766</v>
      </c>
      <c r="I38" s="50">
        <f t="shared" si="12"/>
        <v>98598675.218722284</v>
      </c>
      <c r="J38" s="50">
        <f t="shared" si="12"/>
        <v>101811241.09386434</v>
      </c>
      <c r="K38" s="50">
        <f t="shared" si="12"/>
        <v>106599719.86241113</v>
      </c>
      <c r="L38" s="50">
        <f t="shared" si="12"/>
        <v>113018075.53478606</v>
      </c>
      <c r="M38" s="50">
        <f t="shared" si="12"/>
        <v>129731413.74116975</v>
      </c>
      <c r="N38" s="50">
        <f t="shared" si="12"/>
        <v>155886613.51385784</v>
      </c>
      <c r="O38" s="50">
        <f t="shared" si="12"/>
        <v>186972818.54938972</v>
      </c>
      <c r="P38" s="50">
        <f t="shared" si="12"/>
        <v>216993830.22314227</v>
      </c>
    </row>
    <row r="39" spans="1:16">
      <c r="A39" s="43"/>
      <c r="B39" s="43"/>
      <c r="C39" s="46" t="s">
        <v>170</v>
      </c>
      <c r="D39" s="68">
        <v>119773010.1849418</v>
      </c>
      <c r="E39" s="136">
        <f t="shared" ref="E39:P39" si="13">SUM(E35:E38)</f>
        <v>134090930.36738586</v>
      </c>
      <c r="F39" s="136">
        <f t="shared" si="13"/>
        <v>137097576.85874093</v>
      </c>
      <c r="G39" s="136">
        <f t="shared" si="13"/>
        <v>160871589.70367146</v>
      </c>
      <c r="H39" s="136">
        <f t="shared" si="13"/>
        <v>153133920.46411589</v>
      </c>
      <c r="I39" s="136">
        <f t="shared" si="13"/>
        <v>158216727.45945483</v>
      </c>
      <c r="J39" s="136">
        <f t="shared" si="13"/>
        <v>166473256.92792702</v>
      </c>
      <c r="K39" s="136">
        <f t="shared" si="13"/>
        <v>175652343.52290016</v>
      </c>
      <c r="L39" s="136">
        <f t="shared" si="13"/>
        <v>191990561.58586079</v>
      </c>
      <c r="M39" s="136">
        <f t="shared" si="13"/>
        <v>225614255.99519247</v>
      </c>
      <c r="N39" s="136">
        <f t="shared" si="13"/>
        <v>274396760.58772248</v>
      </c>
      <c r="O39" s="136">
        <f t="shared" si="13"/>
        <v>331448925.98000681</v>
      </c>
      <c r="P39" s="136">
        <f t="shared" si="13"/>
        <v>387600511.11964035</v>
      </c>
    </row>
    <row r="40" spans="1:16">
      <c r="A40" s="46" t="s">
        <v>141</v>
      </c>
      <c r="B40" s="46" t="s">
        <v>58</v>
      </c>
      <c r="C40" s="46" t="s">
        <v>171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141</v>
      </c>
      <c r="B41" s="46" t="s">
        <v>59</v>
      </c>
      <c r="C41" s="46" t="s">
        <v>172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153</v>
      </c>
      <c r="B42" s="46" t="s">
        <v>65</v>
      </c>
      <c r="C42" s="46" t="s">
        <v>173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153</v>
      </c>
      <c r="B43" s="46" t="s">
        <v>66</v>
      </c>
      <c r="C43" s="46" t="s">
        <v>174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175</v>
      </c>
      <c r="D44" s="68">
        <v>129773010.1849418</v>
      </c>
      <c r="E44" s="136">
        <f t="shared" ref="E44:P44" si="14">SUM(E39:E43)</f>
        <v>144090930.36738586</v>
      </c>
      <c r="F44" s="136">
        <f t="shared" si="14"/>
        <v>147097576.85874093</v>
      </c>
      <c r="G44" s="136">
        <f t="shared" si="14"/>
        <v>170871589.70367146</v>
      </c>
      <c r="H44" s="136">
        <f t="shared" si="14"/>
        <v>151183617.35181868</v>
      </c>
      <c r="I44" s="136">
        <f t="shared" si="14"/>
        <v>158143747.4735778</v>
      </c>
      <c r="J44" s="136">
        <f t="shared" si="14"/>
        <v>169875484.68084392</v>
      </c>
      <c r="K44" s="136">
        <f t="shared" si="14"/>
        <v>185847242.50655776</v>
      </c>
      <c r="L44" s="136">
        <f t="shared" si="14"/>
        <v>206217387.68308303</v>
      </c>
      <c r="M44" s="136">
        <f t="shared" si="14"/>
        <v>253001569.15558475</v>
      </c>
      <c r="N44" s="136">
        <f t="shared" si="14"/>
        <v>346503982.08475041</v>
      </c>
      <c r="O44" s="136">
        <f t="shared" si="14"/>
        <v>440814503.47585016</v>
      </c>
      <c r="P44" s="136">
        <f t="shared" si="14"/>
        <v>570473055.11814499</v>
      </c>
    </row>
    <row r="45" spans="1:16">
      <c r="A45" s="43"/>
      <c r="B45" s="43"/>
      <c r="C45" s="46" t="s">
        <v>176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3499999.9999999893</v>
      </c>
      <c r="H45" s="50">
        <f>+registry!F87</f>
        <v>-682606.08930401201</v>
      </c>
      <c r="I45" s="50">
        <f>+registry!G87</f>
        <v>-25542.99505696306</v>
      </c>
      <c r="J45" s="50">
        <f>+registry!H87</f>
        <v>1190779.7135209152</v>
      </c>
      <c r="K45" s="50">
        <f>+registry!I87</f>
        <v>3568214.6442801598</v>
      </c>
      <c r="L45" s="50">
        <f>+registry!J87</f>
        <v>4979389.1340277717</v>
      </c>
      <c r="M45" s="50">
        <f>+registry!K87</f>
        <v>9585559.606137298</v>
      </c>
      <c r="N45" s="50">
        <f>+registry!L87</f>
        <v>25237527.523959778</v>
      </c>
      <c r="O45" s="50">
        <f>+registry!M87</f>
        <v>38277952.12354517</v>
      </c>
      <c r="P45" s="50">
        <f>+registry!N87</f>
        <v>64005390.399476603</v>
      </c>
    </row>
    <row r="46" spans="1:16">
      <c r="A46" s="43"/>
      <c r="B46" s="43"/>
      <c r="C46" s="46" t="s">
        <v>177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178</v>
      </c>
      <c r="D47" s="68">
        <v>43497765.475407854</v>
      </c>
      <c r="E47" s="50">
        <f>+lgh_pref_equity!C184</f>
        <v>49728069.602873735</v>
      </c>
      <c r="F47" s="50">
        <f>+lgh_pref_equity!D184</f>
        <v>13405097.319150345</v>
      </c>
      <c r="G47" s="50">
        <f>+lgh_pref_equity!E184</f>
        <v>15679493.244307863</v>
      </c>
      <c r="H47" s="50">
        <f>+lgh_pref_equity!F184</f>
        <v>14925334.397542065</v>
      </c>
      <c r="I47" s="50">
        <f>+lgh_pref_equity!G184</f>
        <v>15840009.051074654</v>
      </c>
      <c r="J47" s="50">
        <f>+lgh_pref_equity!H184</f>
        <v>16666618.876793489</v>
      </c>
      <c r="K47" s="50">
        <f>+lgh_pref_equity!I184</f>
        <v>17585591.333623193</v>
      </c>
      <c r="L47" s="50">
        <f>+lgh_pref_equity!J184</f>
        <v>19221306.63472528</v>
      </c>
      <c r="M47" s="50">
        <f>+lgh_pref_equity!K184</f>
        <v>22587572.846437108</v>
      </c>
      <c r="N47" s="50">
        <f>+lgh_pref_equity!L184</f>
        <v>27471476.885457158</v>
      </c>
      <c r="O47" s="50">
        <f>+lgh_pref_equity!M184</f>
        <v>33183305.405161437</v>
      </c>
      <c r="P47" s="50">
        <f>+lgh_pref_equity!N184</f>
        <v>38804971.528118722</v>
      </c>
    </row>
    <row r="48" spans="1:16">
      <c r="A48" s="43"/>
      <c r="B48" s="43"/>
      <c r="C48" s="46" t="s">
        <v>169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179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180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7305056.3962850086</v>
      </c>
      <c r="H50" s="55">
        <f t="shared" si="17"/>
        <v>414266.07313653827</v>
      </c>
      <c r="I50" s="55">
        <f t="shared" si="17"/>
        <v>2850311.615752229</v>
      </c>
      <c r="J50" s="55">
        <f t="shared" si="17"/>
        <v>6956419.6382953711</v>
      </c>
      <c r="K50" s="55">
        <f t="shared" si="17"/>
        <v>12546534.877295217</v>
      </c>
      <c r="L50" s="55">
        <f t="shared" si="17"/>
        <v>19676085.689079057</v>
      </c>
      <c r="M50" s="55">
        <f t="shared" si="17"/>
        <v>36050549.20445466</v>
      </c>
      <c r="N50" s="55">
        <f t="shared" si="17"/>
        <v>68776393.729662642</v>
      </c>
      <c r="O50" s="55">
        <f t="shared" si="17"/>
        <v>101785076.21654755</v>
      </c>
      <c r="P50" s="55">
        <f t="shared" si="17"/>
        <v>147165569.29135072</v>
      </c>
    </row>
    <row r="51" spans="1:16">
      <c r="A51" s="43"/>
      <c r="B51" s="43"/>
      <c r="C51" s="46" t="s">
        <v>181</v>
      </c>
      <c r="D51" s="68">
        <v>102509946.9743284</v>
      </c>
      <c r="E51" s="50">
        <f t="shared" ref="E51:P51" si="18">E38+SUM(E40:E43)+E46-E45</f>
        <v>97573388.778555498</v>
      </c>
      <c r="F51" s="50">
        <f t="shared" si="18"/>
        <v>105444724.94747163</v>
      </c>
      <c r="G51" s="50">
        <f t="shared" si="18"/>
        <v>120689380.91047411</v>
      </c>
      <c r="H51" s="50">
        <f t="shared" si="18"/>
        <v>105631311.09391254</v>
      </c>
      <c r="I51" s="50">
        <f t="shared" si="18"/>
        <v>107564030.79546101</v>
      </c>
      <c r="J51" s="50">
        <f t="shared" si="18"/>
        <v>112926411.42477575</v>
      </c>
      <c r="K51" s="50">
        <f t="shared" si="18"/>
        <v>121838622.09280127</v>
      </c>
      <c r="L51" s="50">
        <f t="shared" si="18"/>
        <v>130973006.03213286</v>
      </c>
      <c r="M51" s="50">
        <f t="shared" si="18"/>
        <v>154714528.4738344</v>
      </c>
      <c r="N51" s="50">
        <f t="shared" si="18"/>
        <v>208015772.3437486</v>
      </c>
      <c r="O51" s="50">
        <f t="shared" si="18"/>
        <v>260952193.32660276</v>
      </c>
      <c r="P51" s="50">
        <f t="shared" si="18"/>
        <v>335860983.82217032</v>
      </c>
    </row>
    <row r="52" spans="1:16">
      <c r="A52" s="43"/>
      <c r="B52" s="43"/>
      <c r="C52" s="46" t="s">
        <v>182</v>
      </c>
      <c r="D52" s="68">
        <v>129773010.1849418</v>
      </c>
      <c r="E52" s="136">
        <f t="shared" ref="E52:P52" si="19">SUM(E48:E51)</f>
        <v>144090930.36738586</v>
      </c>
      <c r="F52" s="136">
        <f t="shared" si="19"/>
        <v>147097576.85874093</v>
      </c>
      <c r="G52" s="136">
        <f t="shared" si="19"/>
        <v>170871589.70367146</v>
      </c>
      <c r="H52" s="136">
        <f t="shared" si="19"/>
        <v>151183617.35181868</v>
      </c>
      <c r="I52" s="136">
        <f t="shared" si="19"/>
        <v>158143747.4735778</v>
      </c>
      <c r="J52" s="136">
        <f t="shared" si="19"/>
        <v>169875484.68084389</v>
      </c>
      <c r="K52" s="136">
        <f t="shared" si="19"/>
        <v>185847242.50655776</v>
      </c>
      <c r="L52" s="136">
        <f t="shared" si="19"/>
        <v>206217387.68308306</v>
      </c>
      <c r="M52" s="136">
        <f t="shared" si="19"/>
        <v>253001569.15558475</v>
      </c>
      <c r="N52" s="136">
        <f t="shared" si="19"/>
        <v>346503982.08475041</v>
      </c>
      <c r="O52" s="136">
        <f t="shared" si="19"/>
        <v>440814503.47585022</v>
      </c>
      <c r="P52" s="136">
        <f t="shared" si="19"/>
        <v>570473055.11814499</v>
      </c>
    </row>
    <row r="53" spans="1:16">
      <c r="A53" s="43"/>
      <c r="B53" s="43"/>
      <c r="C53" s="46" t="s">
        <v>183</v>
      </c>
      <c r="D53" s="68">
        <v>129773010.1849418</v>
      </c>
      <c r="E53" s="50"/>
      <c r="F53" s="50"/>
      <c r="G53" s="50"/>
      <c r="H53" s="50">
        <f t="shared" ref="H53:P53" si="20">+H52-H50</f>
        <v>150769351.27868214</v>
      </c>
      <c r="I53" s="50">
        <f t="shared" si="20"/>
        <v>155293435.85782558</v>
      </c>
      <c r="J53" s="50">
        <f t="shared" si="20"/>
        <v>162919065.04254851</v>
      </c>
      <c r="K53" s="50">
        <f t="shared" si="20"/>
        <v>173300707.62926254</v>
      </c>
      <c r="L53" s="50">
        <f t="shared" si="20"/>
        <v>186541301.99400401</v>
      </c>
      <c r="M53" s="50">
        <f t="shared" si="20"/>
        <v>216951019.95113009</v>
      </c>
      <c r="N53" s="50">
        <f t="shared" si="20"/>
        <v>277727588.35508776</v>
      </c>
      <c r="O53" s="50">
        <f t="shared" si="20"/>
        <v>339029427.25930268</v>
      </c>
      <c r="P53" s="50">
        <f t="shared" si="20"/>
        <v>423307485.82679427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50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128</v>
      </c>
      <c r="B3" s="114" t="s">
        <v>129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184</v>
      </c>
      <c r="B4" s="68">
        <v>119773010.1849418</v>
      </c>
      <c r="C4" s="50">
        <f>+lgh_bs!E33</f>
        <v>134090930.36738586</v>
      </c>
      <c r="D4" s="50">
        <f>+lgh_bs!F33</f>
        <v>137097576.85874093</v>
      </c>
      <c r="E4" s="50">
        <f>+lgh_bs!G33</f>
        <v>160871589.70367149</v>
      </c>
      <c r="F4" s="50">
        <f>+lgh_bs!H33</f>
        <v>153133920.46411586</v>
      </c>
      <c r="G4" s="50">
        <f>+lgh_bs!I33</f>
        <v>158216727.45945483</v>
      </c>
      <c r="H4" s="50">
        <f>+lgh_bs!J33</f>
        <v>166473256.92792702</v>
      </c>
      <c r="I4" s="50">
        <f>+lgh_bs!K33</f>
        <v>175652343.52290016</v>
      </c>
      <c r="J4" s="50">
        <f>+lgh_bs!L33</f>
        <v>191990561.58586082</v>
      </c>
      <c r="K4" s="50">
        <f>+lgh_bs!M33</f>
        <v>225614255.99519247</v>
      </c>
      <c r="L4" s="50">
        <f>+lgh_bs!N33</f>
        <v>274396760.58772248</v>
      </c>
      <c r="M4" s="50">
        <f>+lgh_bs!O33</f>
        <v>331448925.98000681</v>
      </c>
      <c r="N4" s="50">
        <f>+lgh_bs!P33</f>
        <v>387600511.11964035</v>
      </c>
    </row>
    <row r="5" spans="1:14" s="4" customFormat="1">
      <c r="A5" s="46" t="s">
        <v>185</v>
      </c>
      <c r="B5" s="68">
        <v>129773010.1849418</v>
      </c>
      <c r="C5" s="50">
        <f>lgh_bs!E44</f>
        <v>144090930.36738586</v>
      </c>
      <c r="D5" s="50">
        <f>lgh_bs!F44</f>
        <v>147097576.85874093</v>
      </c>
      <c r="E5" s="50">
        <f>lgh_bs!G44</f>
        <v>170871589.70367146</v>
      </c>
      <c r="F5" s="50">
        <f>lgh_bs!H44</f>
        <v>151183617.35181868</v>
      </c>
      <c r="G5" s="50">
        <f>lgh_bs!I44</f>
        <v>158143747.4735778</v>
      </c>
      <c r="H5" s="50">
        <f>lgh_bs!J44</f>
        <v>169875484.68084392</v>
      </c>
      <c r="I5" s="50">
        <f>lgh_bs!K44</f>
        <v>185847242.50655776</v>
      </c>
      <c r="J5" s="50">
        <f>lgh_bs!L44</f>
        <v>206217387.68308303</v>
      </c>
      <c r="K5" s="50">
        <f>lgh_bs!M44</f>
        <v>253001569.15558475</v>
      </c>
      <c r="L5" s="50">
        <f>lgh_bs!N44</f>
        <v>346503982.08475041</v>
      </c>
      <c r="M5" s="50">
        <f>lgh_bs!O44</f>
        <v>440814503.47585016</v>
      </c>
      <c r="N5" s="50">
        <f>lgh_bs!P44</f>
        <v>570473055.11814499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186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3805056.3962850193</v>
      </c>
      <c r="F10" s="50">
        <f t="shared" si="1"/>
        <v>1096872.1624405503</v>
      </c>
      <c r="G10" s="50">
        <f t="shared" si="1"/>
        <v>2875854.6108091921</v>
      </c>
      <c r="H10" s="50">
        <f t="shared" si="1"/>
        <v>5765639.9247744558</v>
      </c>
      <c r="I10" s="50">
        <f t="shared" si="1"/>
        <v>8978320.2330150567</v>
      </c>
      <c r="J10" s="50">
        <f t="shared" si="1"/>
        <v>14696696.555051286</v>
      </c>
      <c r="K10" s="50">
        <f t="shared" si="1"/>
        <v>26464989.598317362</v>
      </c>
      <c r="L10" s="50">
        <f t="shared" si="1"/>
        <v>43538866.205702864</v>
      </c>
      <c r="M10" s="50">
        <f t="shared" si="1"/>
        <v>63507124.093002379</v>
      </c>
      <c r="N10" s="50">
        <f t="shared" si="1"/>
        <v>83160178.89187412</v>
      </c>
    </row>
    <row r="11" spans="1:14">
      <c r="A11" s="46" t="s">
        <v>84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3805056.3962850193</v>
      </c>
      <c r="F11" s="141">
        <f t="shared" si="2"/>
        <v>1096872.1624405503</v>
      </c>
      <c r="G11" s="141">
        <f t="shared" si="2"/>
        <v>2875854.6108091921</v>
      </c>
      <c r="H11" s="141">
        <f t="shared" si="2"/>
        <v>5765639.9247744558</v>
      </c>
      <c r="I11" s="141">
        <f t="shared" si="2"/>
        <v>8978320.2330150567</v>
      </c>
      <c r="J11" s="141">
        <f t="shared" si="2"/>
        <v>14696696.555051286</v>
      </c>
      <c r="K11" s="141">
        <f t="shared" si="2"/>
        <v>26464989.598317362</v>
      </c>
      <c r="L11" s="141">
        <f t="shared" si="2"/>
        <v>43538866.205702864</v>
      </c>
      <c r="M11" s="141">
        <f t="shared" si="2"/>
        <v>63507124.093002379</v>
      </c>
      <c r="N11" s="141">
        <f t="shared" si="2"/>
        <v>83160178.89187412</v>
      </c>
    </row>
    <row r="12" spans="1:14">
      <c r="A12" s="46" t="s">
        <v>187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3499999.9999999893</v>
      </c>
      <c r="F15" s="141">
        <f t="shared" si="4"/>
        <v>-682606.08930401201</v>
      </c>
      <c r="G15" s="141">
        <f t="shared" si="4"/>
        <v>-25542.99505696306</v>
      </c>
      <c r="H15" s="141">
        <f t="shared" si="4"/>
        <v>1190779.7135209152</v>
      </c>
      <c r="I15" s="141">
        <f t="shared" si="4"/>
        <v>3568214.6442801598</v>
      </c>
      <c r="J15" s="141">
        <f t="shared" si="4"/>
        <v>4979389.1340277717</v>
      </c>
      <c r="K15" s="141">
        <f t="shared" si="4"/>
        <v>9585559.606137298</v>
      </c>
      <c r="L15" s="141">
        <f t="shared" si="4"/>
        <v>25237527.523959778</v>
      </c>
      <c r="M15" s="141">
        <f t="shared" si="4"/>
        <v>38277952.12354517</v>
      </c>
      <c r="N15" s="141">
        <f t="shared" si="4"/>
        <v>64005390.399476603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50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128</v>
      </c>
      <c r="B3" s="150" t="s">
        <v>129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188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189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190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22" customFormat="1">
      <c r="A8" s="44" t="s">
        <v>191</v>
      </c>
      <c r="B8" s="420">
        <v>0</v>
      </c>
      <c r="C8" s="420">
        <v>50000</v>
      </c>
      <c r="D8" s="420">
        <v>50000</v>
      </c>
      <c r="E8" s="420">
        <v>50000</v>
      </c>
      <c r="F8" s="420">
        <v>50000</v>
      </c>
      <c r="G8" s="420">
        <v>50000</v>
      </c>
      <c r="H8" s="420">
        <v>50000</v>
      </c>
      <c r="I8" s="420">
        <v>50000</v>
      </c>
      <c r="J8" s="420">
        <v>50000</v>
      </c>
      <c r="K8" s="420">
        <v>250000</v>
      </c>
      <c r="L8" s="420">
        <v>250000</v>
      </c>
      <c r="M8" s="420">
        <v>250000</v>
      </c>
      <c r="N8" s="420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192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193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194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195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88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196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197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198</v>
      </c>
      <c r="B21" s="155"/>
      <c r="C21" s="155"/>
      <c r="D21" s="156"/>
      <c r="E21" s="156"/>
      <c r="F21" s="171">
        <f>-SUM(C20:F20)/lgh_bs!H44</f>
        <v>2.4897505866926E-2</v>
      </c>
      <c r="G21" s="156"/>
      <c r="H21" s="156"/>
      <c r="I21" s="156"/>
      <c r="J21" s="171">
        <f>-SUM(G20:J20)/lgh_bs!L44</f>
        <v>1.9040829071652061E-2</v>
      </c>
      <c r="K21" s="156">
        <f>-K20/lgh_bs!M44</f>
        <v>-8.6507581710718005E-3</v>
      </c>
      <c r="L21" s="156">
        <f>-L20/lgh_bs!N44</f>
        <v>2.8966932043256255E-3</v>
      </c>
      <c r="M21" s="156">
        <f>-M20/lgh_bs!O44</f>
        <v>-4.7715459696376916E-3</v>
      </c>
      <c r="N21" s="156">
        <f>-N20/lgh_bs!P44</f>
        <v>3.9821187474643506E-3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199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200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201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17" customFormat="1" ht="15.5" customHeight="1">
      <c r="A25" s="165" t="s">
        <v>202</v>
      </c>
      <c r="B25" s="420">
        <v>0</v>
      </c>
      <c r="C25" s="420">
        <v>-250000</v>
      </c>
      <c r="D25" s="420">
        <v>-250000</v>
      </c>
      <c r="E25" s="420">
        <v>-250000</v>
      </c>
      <c r="F25" s="420">
        <v>-250000</v>
      </c>
      <c r="G25" s="420">
        <v>-250000</v>
      </c>
      <c r="H25" s="420">
        <v>-250000</v>
      </c>
      <c r="I25" s="420">
        <v>-250000</v>
      </c>
      <c r="J25" s="420">
        <v>-250000</v>
      </c>
      <c r="K25" s="420">
        <v>-1000000</v>
      </c>
      <c r="L25" s="420">
        <v>-1000000</v>
      </c>
      <c r="M25" s="420">
        <v>-1000000</v>
      </c>
      <c r="N25" s="420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203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204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90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205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140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11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206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207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208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209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210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205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140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11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206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207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208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211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212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213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90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214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215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216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217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169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209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91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214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216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217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169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211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218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219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220</v>
      </c>
      <c r="B68" s="68">
        <v>-1540999</v>
      </c>
      <c r="C68" s="50">
        <f>+registry!C101</f>
        <v>-531057.55577067658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1093900.9705451131</v>
      </c>
      <c r="G68" s="50">
        <f>+registry!G101</f>
        <v>1641513.7493984955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221</v>
      </c>
      <c r="B70" s="68">
        <v>25047198.734000001</v>
      </c>
      <c r="C70" s="50">
        <f t="shared" ref="C70:N70" si="11">+C20+C26+C46+C64+C68</f>
        <v>2386413.5022251867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7224319.1730565894</v>
      </c>
      <c r="G70" s="50">
        <f t="shared" si="11"/>
        <v>4882603.0689223055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222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223</v>
      </c>
      <c r="B72" s="50"/>
      <c r="C72" s="50"/>
      <c r="D72" s="50"/>
      <c r="E72" s="50"/>
      <c r="F72" s="50"/>
      <c r="G72" s="137">
        <f>F73*lgh_inputs!$D$8/4</f>
        <v>3152.3219518593187</v>
      </c>
      <c r="H72" s="137">
        <f>G73*lgh_inputs!$D$8/4</f>
        <v>39795.487383415559</v>
      </c>
      <c r="I72" s="137">
        <f>H73*lgh_inputs!$D$8/4</f>
        <v>79325.037945041171</v>
      </c>
      <c r="J72" s="137">
        <f>I73*lgh_inputs!$D$8/4</f>
        <v>52628.102112920249</v>
      </c>
      <c r="K72" s="50">
        <f>J73*lgh_inputs!$D$8</f>
        <v>83001.297544904766</v>
      </c>
      <c r="L72" s="50">
        <f>K73*lgh_inputs!$D$8</f>
        <v>173575.15792840865</v>
      </c>
      <c r="M72" s="50">
        <f>L73*lgh_inputs!$D$8</f>
        <v>392503.34556586103</v>
      </c>
      <c r="N72" s="50">
        <f>M73*lgh_inputs!$D$8</f>
        <v>687253.56401985826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224</v>
      </c>
      <c r="B73" s="140">
        <v>251128</v>
      </c>
      <c r="C73" s="141">
        <f>+B73+C70</f>
        <v>2637541.5022251867</v>
      </c>
      <c r="D73" s="141">
        <f>+C73+D70</f>
        <v>-866943.45354548842</v>
      </c>
      <c r="E73" s="141">
        <f>+D73+E70</f>
        <v>-2782648.5794753465</v>
      </c>
      <c r="F73" s="141">
        <f>+E73+F70-F74</f>
        <v>420309.59358124249</v>
      </c>
      <c r="G73" s="141">
        <f t="shared" ref="G73:N73" si="12">+F73+G70+G72</f>
        <v>5306064.9844554076</v>
      </c>
      <c r="H73" s="141">
        <f t="shared" si="12"/>
        <v>10576671.726005489</v>
      </c>
      <c r="I73" s="141">
        <f t="shared" si="12"/>
        <v>7017080.2817227002</v>
      </c>
      <c r="J73" s="141">
        <f t="shared" si="12"/>
        <v>2766709.9181634923</v>
      </c>
      <c r="K73" s="141">
        <f t="shared" si="12"/>
        <v>5785838.5976136215</v>
      </c>
      <c r="L73" s="141">
        <f t="shared" si="12"/>
        <v>13083444.852195369</v>
      </c>
      <c r="M73" s="141">
        <f t="shared" si="12"/>
        <v>22908452.133995276</v>
      </c>
      <c r="N73" s="141">
        <f t="shared" si="12"/>
        <v>27568985.250305906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225</v>
      </c>
      <c r="B74" s="176"/>
      <c r="C74" s="176"/>
      <c r="D74" s="176"/>
      <c r="E74" s="176"/>
      <c r="F74" s="177">
        <v>4021361</v>
      </c>
      <c r="G74" s="178" t="s">
        <v>226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227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50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128</v>
      </c>
      <c r="B3" s="183" t="s">
        <v>129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228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229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87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230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231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232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84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79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233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234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235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236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237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238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50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128</v>
      </c>
      <c r="B3" s="183" t="s">
        <v>129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239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240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241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242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243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79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90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244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91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78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245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246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247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248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249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250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251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252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250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253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254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255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256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241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257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258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259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260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261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262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263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264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265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259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6" width="9.26953125" style="11" customWidth="1"/>
    <col min="47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266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267</v>
      </c>
      <c r="B4" s="205" t="s">
        <v>268</v>
      </c>
      <c r="C4" s="205" t="s">
        <v>269</v>
      </c>
      <c r="D4" s="205" t="s">
        <v>270</v>
      </c>
      <c r="E4" s="205" t="s">
        <v>271</v>
      </c>
      <c r="F4" s="205" t="s">
        <v>272</v>
      </c>
      <c r="G4" s="208" t="s">
        <v>273</v>
      </c>
      <c r="H4" s="208" t="s">
        <v>274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275</v>
      </c>
    </row>
    <row r="5" spans="1:25">
      <c r="A5" s="205" t="s">
        <v>276</v>
      </c>
      <c r="B5" s="205" t="s">
        <v>277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278</v>
      </c>
      <c r="B6" s="205" t="s">
        <v>279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280</v>
      </c>
      <c r="B7" s="205" t="s">
        <v>279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281</v>
      </c>
      <c r="B8" s="205" t="s">
        <v>282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283</v>
      </c>
      <c r="B9" s="205" t="s">
        <v>282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284</v>
      </c>
      <c r="B10" s="205" t="s">
        <v>282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285</v>
      </c>
      <c r="B11" s="205" t="s">
        <v>286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287</v>
      </c>
      <c r="B12" s="205" t="s">
        <v>286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288</v>
      </c>
      <c r="B13" s="205" t="s">
        <v>286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289</v>
      </c>
      <c r="B14" s="205" t="s">
        <v>290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291</v>
      </c>
      <c r="B15" s="205" t="s">
        <v>290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292</v>
      </c>
      <c r="B16" s="205" t="s">
        <v>293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294</v>
      </c>
      <c r="B17" s="205" t="s">
        <v>293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295</v>
      </c>
      <c r="B18" s="205" t="s">
        <v>293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296</v>
      </c>
      <c r="B19" s="205" t="s">
        <v>297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298</v>
      </c>
      <c r="B20" s="205" t="s">
        <v>297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299</v>
      </c>
      <c r="B21" s="205" t="s">
        <v>300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301</v>
      </c>
      <c r="B22" s="205" t="s">
        <v>302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303</v>
      </c>
      <c r="B23" s="205" t="s">
        <v>302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304</v>
      </c>
      <c r="B24" s="205" t="s">
        <v>302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305</v>
      </c>
      <c r="B25" s="205" t="s">
        <v>302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306</v>
      </c>
      <c r="B26" s="205" t="s">
        <v>307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308</v>
      </c>
      <c r="B27" s="205" t="s">
        <v>309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310</v>
      </c>
      <c r="B28" s="205" t="s">
        <v>309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311</v>
      </c>
      <c r="B29" s="205" t="s">
        <v>312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313</v>
      </c>
      <c r="B30" s="205" t="s">
        <v>314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315</v>
      </c>
      <c r="B31" s="205" t="s">
        <v>316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317</v>
      </c>
      <c r="B32" s="205" t="s">
        <v>286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318</v>
      </c>
      <c r="B33" s="205" t="s">
        <v>286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319</v>
      </c>
      <c r="B34" s="205" t="s">
        <v>320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321</v>
      </c>
      <c r="B35" s="205" t="s">
        <v>322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323</v>
      </c>
      <c r="B36" s="205" t="s">
        <v>324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325</v>
      </c>
      <c r="B37" s="205" t="s">
        <v>277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326</v>
      </c>
      <c r="B38" s="205" t="s">
        <v>241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327</v>
      </c>
      <c r="B39" s="222" t="s">
        <v>328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329</v>
      </c>
      <c r="B40" s="222" t="s">
        <v>286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330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331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332</v>
      </c>
      <c r="B45" s="43"/>
      <c r="C45" s="43"/>
      <c r="D45" s="43"/>
      <c r="E45" s="43"/>
      <c r="F45" s="43"/>
      <c r="G45" s="43"/>
      <c r="H45" s="205" t="s">
        <v>333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334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79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335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336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337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338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339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340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341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342</v>
      </c>
      <c r="K57" s="208" t="s">
        <v>273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343</v>
      </c>
      <c r="B58" s="232"/>
      <c r="C58" s="232"/>
      <c r="D58" s="232"/>
      <c r="E58" s="232"/>
      <c r="F58" s="235" t="s">
        <v>344</v>
      </c>
      <c r="G58" s="213">
        <v>45657</v>
      </c>
      <c r="H58" s="232"/>
      <c r="I58" s="235" t="s">
        <v>345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126</v>
      </c>
      <c r="B60" s="208" t="s">
        <v>346</v>
      </c>
      <c r="C60" s="208" t="s">
        <v>346</v>
      </c>
      <c r="D60" s="208" t="s">
        <v>50</v>
      </c>
      <c r="E60" s="208" t="s">
        <v>347</v>
      </c>
      <c r="F60" s="208" t="s">
        <v>273</v>
      </c>
      <c r="G60" s="208" t="s">
        <v>348</v>
      </c>
      <c r="H60" s="208" t="s">
        <v>79</v>
      </c>
      <c r="I60" s="208" t="s">
        <v>349</v>
      </c>
      <c r="J60" s="208" t="s">
        <v>350</v>
      </c>
      <c r="K60" s="244" t="s">
        <v>351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352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130</v>
      </c>
      <c r="D101" s="96" t="s">
        <v>131</v>
      </c>
      <c r="E101" s="96" t="s">
        <v>132</v>
      </c>
      <c r="F101" s="96" t="s">
        <v>129</v>
      </c>
      <c r="G101" s="96" t="s">
        <v>130</v>
      </c>
      <c r="H101" s="96" t="s">
        <v>131</v>
      </c>
      <c r="I101" s="96" t="s">
        <v>132</v>
      </c>
      <c r="J101" s="96" t="s">
        <v>129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353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264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264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354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355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126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129</v>
      </c>
      <c r="C147" s="251" t="s">
        <v>130</v>
      </c>
      <c r="D147" s="251" t="s">
        <v>131</v>
      </c>
      <c r="E147" s="251" t="s">
        <v>132</v>
      </c>
      <c r="F147" s="251" t="s">
        <v>129</v>
      </c>
      <c r="G147" s="251" t="s">
        <v>130</v>
      </c>
      <c r="H147" s="251" t="s">
        <v>131</v>
      </c>
      <c r="I147" s="251" t="s">
        <v>132</v>
      </c>
      <c r="J147" s="251" t="s">
        <v>129</v>
      </c>
      <c r="K147" s="251" t="s">
        <v>129</v>
      </c>
      <c r="L147" s="250" t="s">
        <v>129</v>
      </c>
      <c r="M147" s="250" t="s">
        <v>129</v>
      </c>
      <c r="N147" s="250" t="s">
        <v>129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2323357.7043853989</v>
      </c>
      <c r="D148" s="253">
        <f>IFERROR((D102/SUM(D$102:D$136))*lgh_bs!F$33*D$142,0)</f>
        <v>623254.90778822929</v>
      </c>
      <c r="E148" s="253">
        <f>IFERROR((E102/SUM(E$102:E$136))*lgh_bs!G$33*E$142,0)</f>
        <v>2214182.1577573856</v>
      </c>
      <c r="F148" s="253">
        <f>IFERROR((F102/SUM(F$102:F$136))*lgh_bs!H$33*F$142,0)</f>
        <v>2107683.4950388111</v>
      </c>
      <c r="G148" s="253">
        <f>IFERROR((G102/SUM(G$102:G$136))*lgh_bs!I$33*G$142,0)</f>
        <v>2178508.1756242253</v>
      </c>
      <c r="H148" s="253">
        <f>IFERROR((H102/SUM(H$102:H$136))*lgh_bs!J$33*H$142,0)</f>
        <v>2292193.4808265995</v>
      </c>
      <c r="I148" s="253">
        <f>IFERROR((I102/SUM(I$102:I$136))*lgh_bs!K$33*I$142,0)</f>
        <v>2418581.6037071981</v>
      </c>
      <c r="J148" s="253">
        <f>IFERROR((J102/SUM(J$102:J$136))*lgh_bs!L$33*J$142,0)</f>
        <v>2643544.8057454424</v>
      </c>
      <c r="K148" s="253">
        <f>IFERROR((K102/SUM(K$102:K$136))*lgh_bs!M$33*K$142,0)</f>
        <v>3106514.1411729539</v>
      </c>
      <c r="L148" s="253">
        <f>IFERROR((L102/SUM(L$102:L$136))*lgh_bs!N$33*L$142,0)</f>
        <v>3778207.2471341225</v>
      </c>
      <c r="M148" s="253">
        <f>IFERROR((M102/SUM(M$102:M$136))*lgh_bs!O$33*M$142,0)</f>
        <v>4563766.4654285824</v>
      </c>
      <c r="N148" s="253">
        <f>IFERROR((N102/SUM(N$102:N$136))*lgh_bs!P$33*N$142,0)</f>
        <v>5336925.4686844125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1394014.6226312395</v>
      </c>
      <c r="D149" s="253">
        <f>IFERROR((D103/SUM(D$102:D$136))*lgh_bs!F$33*D$142,0)</f>
        <v>373952.94467293762</v>
      </c>
      <c r="E149" s="253">
        <f>IFERROR((E103/SUM(E$102:E$136))*lgh_bs!G$33*E$142,0)</f>
        <v>1328509.2946544318</v>
      </c>
      <c r="F149" s="253">
        <f>IFERROR((F103/SUM(F$102:F$136))*lgh_bs!H$33*F$142,0)</f>
        <v>1264610.0970232869</v>
      </c>
      <c r="G149" s="253">
        <f>IFERROR((G103/SUM(G$102:G$136))*lgh_bs!I$33*G$142,0)</f>
        <v>1307104.9053745354</v>
      </c>
      <c r="H149" s="253">
        <f>IFERROR((H103/SUM(H$102:H$136))*lgh_bs!J$33*H$142,0)</f>
        <v>1375316.0884959598</v>
      </c>
      <c r="I149" s="253">
        <f>IFERROR((I103/SUM(I$102:I$136))*lgh_bs!K$33*I$142,0)</f>
        <v>1451148.9622243189</v>
      </c>
      <c r="J149" s="253">
        <f>IFERROR((J103/SUM(J$102:J$136))*lgh_bs!L$33*J$142,0)</f>
        <v>1586126.8834472655</v>
      </c>
      <c r="K149" s="253">
        <f>IFERROR((K103/SUM(K$102:K$136))*lgh_bs!M$33*K$142,0)</f>
        <v>1863908.4847037725</v>
      </c>
      <c r="L149" s="253">
        <f>IFERROR((L103/SUM(L$102:L$136))*lgh_bs!N$33*L$142,0)</f>
        <v>2266924.3482804736</v>
      </c>
      <c r="M149" s="253">
        <f>IFERROR((M103/SUM(M$102:M$136))*lgh_bs!O$33*M$142,0)</f>
        <v>2738259.8792571495</v>
      </c>
      <c r="N149" s="253">
        <f>IFERROR((N103/SUM(N$102:N$136))*lgh_bs!P$33*N$142,0)</f>
        <v>3202155.2812106479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929343.08175415942</v>
      </c>
      <c r="D150" s="253">
        <f>IFERROR((D104/SUM(D$102:D$136))*lgh_bs!F$33*D$142,0)</f>
        <v>249301.96311529167</v>
      </c>
      <c r="E150" s="253">
        <f>IFERROR((E104/SUM(E$102:E$136))*lgh_bs!G$33*E$142,0)</f>
        <v>885672.86310295423</v>
      </c>
      <c r="F150" s="253">
        <f>IFERROR((F104/SUM(F$102:F$136))*lgh_bs!H$33*F$142,0)</f>
        <v>843073.39801552449</v>
      </c>
      <c r="G150" s="253">
        <f>IFERROR((G104/SUM(G$102:G$136))*lgh_bs!I$33*G$142,0)</f>
        <v>871403.27024968993</v>
      </c>
      <c r="H150" s="253">
        <f>IFERROR((H104/SUM(H$102:H$136))*lgh_bs!J$33*H$142,0)</f>
        <v>916877.39233063965</v>
      </c>
      <c r="I150" s="253">
        <f>IFERROR((I104/SUM(I$102:I$136))*lgh_bs!K$33*I$142,0)</f>
        <v>967432.64148287906</v>
      </c>
      <c r="J150" s="253">
        <f>IFERROR((J104/SUM(J$102:J$136))*lgh_bs!L$33*J$142,0)</f>
        <v>1057417.9222981769</v>
      </c>
      <c r="K150" s="253">
        <f>IFERROR((K104/SUM(K$102:K$136))*lgh_bs!M$33*K$142,0)</f>
        <v>1242605.6564691814</v>
      </c>
      <c r="L150" s="253">
        <f>IFERROR((L104/SUM(L$102:L$136))*lgh_bs!N$33*L$142,0)</f>
        <v>1511282.8988536489</v>
      </c>
      <c r="M150" s="253">
        <f>IFERROR((M104/SUM(M$102:M$136))*lgh_bs!O$33*M$142,0)</f>
        <v>1825506.5861714326</v>
      </c>
      <c r="N150" s="253">
        <f>IFERROR((N104/SUM(N$102:N$136))*lgh_bs!P$33*N$142,0)</f>
        <v>2134770.1874737646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1858686.1635083184</v>
      </c>
      <c r="D151" s="253">
        <f>IFERROR((D105/SUM(D$102:D$136))*lgh_bs!F$33*D$142,0)</f>
        <v>498603.92623058334</v>
      </c>
      <c r="E151" s="253">
        <f>IFERROR((E105/SUM(E$102:E$136))*lgh_bs!G$33*E$142,0)</f>
        <v>1771345.7262059085</v>
      </c>
      <c r="F151" s="253">
        <f>IFERROR((F105/SUM(F$102:F$136))*lgh_bs!H$33*F$142,0)</f>
        <v>1686146.7960310485</v>
      </c>
      <c r="G151" s="253">
        <f>IFERROR((G105/SUM(G$102:G$136))*lgh_bs!I$33*G$142,0)</f>
        <v>1742806.5404993799</v>
      </c>
      <c r="H151" s="253">
        <f>IFERROR((H105/SUM(H$102:H$136))*lgh_bs!J$33*H$142,0)</f>
        <v>1833754.7846612793</v>
      </c>
      <c r="I151" s="253">
        <f>IFERROR((I105/SUM(I$102:I$136))*lgh_bs!K$33*I$142,0)</f>
        <v>1934865.2829657577</v>
      </c>
      <c r="J151" s="253">
        <f>IFERROR((J105/SUM(J$102:J$136))*lgh_bs!L$33*J$142,0)</f>
        <v>2114835.8445963534</v>
      </c>
      <c r="K151" s="253">
        <f>IFERROR((K105/SUM(K$102:K$136))*lgh_bs!M$33*K$142,0)</f>
        <v>2485211.3129383628</v>
      </c>
      <c r="L151" s="253">
        <f>IFERROR((L105/SUM(L$102:L$136))*lgh_bs!N$33*L$142,0)</f>
        <v>3022565.7977072974</v>
      </c>
      <c r="M151" s="253">
        <f>IFERROR((M105/SUM(M$102:M$136))*lgh_bs!O$33*M$142,0)</f>
        <v>3651013.1723428648</v>
      </c>
      <c r="N151" s="253">
        <f>IFERROR((N105/SUM(N$102:N$136))*lgh_bs!P$33*N$142,0)</f>
        <v>4269540.3749475284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1486948.930806655</v>
      </c>
      <c r="D152" s="253">
        <f>IFERROR((D106/SUM(D$102:D$136))*lgh_bs!F$33*D$142,0)</f>
        <v>398883.14098446671</v>
      </c>
      <c r="E152" s="253">
        <f>IFERROR((E106/SUM(E$102:E$136))*lgh_bs!G$33*E$142,0)</f>
        <v>1417076.5809647271</v>
      </c>
      <c r="F152" s="253">
        <f>IFERROR((F106/SUM(F$102:F$136))*lgh_bs!H$33*F$142,0)</f>
        <v>1348917.4368248393</v>
      </c>
      <c r="G152" s="253">
        <f>IFERROR((G106/SUM(G$102:G$136))*lgh_bs!I$33*G$142,0)</f>
        <v>1394245.2323995039</v>
      </c>
      <c r="H152" s="253">
        <f>IFERROR((H106/SUM(H$102:H$136))*lgh_bs!J$33*H$142,0)</f>
        <v>1467003.8277290235</v>
      </c>
      <c r="I152" s="253">
        <f>IFERROR((I106/SUM(I$102:I$136))*lgh_bs!K$33*I$142,0)</f>
        <v>1547892.2263726066</v>
      </c>
      <c r="J152" s="253">
        <f>IFERROR((J106/SUM(J$102:J$136))*lgh_bs!L$33*J$142,0)</f>
        <v>1691868.6756770832</v>
      </c>
      <c r="K152" s="253">
        <f>IFERROR((K106/SUM(K$102:K$136))*lgh_bs!M$33*K$142,0)</f>
        <v>1988169.0503506905</v>
      </c>
      <c r="L152" s="253">
        <f>IFERROR((L106/SUM(L$102:L$136))*lgh_bs!N$33*L$142,0)</f>
        <v>2418052.6381658386</v>
      </c>
      <c r="M152" s="253">
        <f>IFERROR((M106/SUM(M$102:M$136))*lgh_bs!O$33*M$142,0)</f>
        <v>2920810.5378742926</v>
      </c>
      <c r="N152" s="253">
        <f>IFERROR((N106/SUM(N$102:N$136))*lgh_bs!P$33*N$142,0)</f>
        <v>3415632.2999580237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743474.46540332749</v>
      </c>
      <c r="D153" s="253">
        <f>IFERROR((D107/SUM(D$102:D$136))*lgh_bs!F$33*D$142,0)</f>
        <v>199441.57049223335</v>
      </c>
      <c r="E153" s="253">
        <f>IFERROR((E107/SUM(E$102:E$136))*lgh_bs!G$33*E$142,0)</f>
        <v>708538.29048236355</v>
      </c>
      <c r="F153" s="253">
        <f>IFERROR((F107/SUM(F$102:F$136))*lgh_bs!H$33*F$142,0)</f>
        <v>674458.71841241966</v>
      </c>
      <c r="G153" s="253">
        <f>IFERROR((G107/SUM(G$102:G$136))*lgh_bs!I$33*G$142,0)</f>
        <v>697122.61619975197</v>
      </c>
      <c r="H153" s="253">
        <f>IFERROR((H107/SUM(H$102:H$136))*lgh_bs!J$33*H$142,0)</f>
        <v>733501.91386451176</v>
      </c>
      <c r="I153" s="253">
        <f>IFERROR((I107/SUM(I$102:I$136))*lgh_bs!K$33*I$142,0)</f>
        <v>773946.11318630329</v>
      </c>
      <c r="J153" s="253">
        <f>IFERROR((J107/SUM(J$102:J$136))*lgh_bs!L$33*J$142,0)</f>
        <v>845934.3378385416</v>
      </c>
      <c r="K153" s="253">
        <f>IFERROR((K107/SUM(K$102:K$136))*lgh_bs!M$33*K$142,0)</f>
        <v>994084.52517534525</v>
      </c>
      <c r="L153" s="253">
        <f>IFERROR((L107/SUM(L$102:L$136))*lgh_bs!N$33*L$142,0)</f>
        <v>1209026.3190829193</v>
      </c>
      <c r="M153" s="253">
        <f>IFERROR((M107/SUM(M$102:M$136))*lgh_bs!O$33*M$142,0)</f>
        <v>1460405.2689371463</v>
      </c>
      <c r="N153" s="253">
        <f>IFERROR((N107/SUM(N$102:N$136))*lgh_bs!P$33*N$142,0)</f>
        <v>1707816.1499790119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829770.60870907083</v>
      </c>
      <c r="D154" s="253">
        <f>IFERROR((D108/SUM(D$102:D$136))*lgh_bs!F$33*D$142,0)</f>
        <v>222591.03849579612</v>
      </c>
      <c r="E154" s="253">
        <f>IFERROR((E108/SUM(E$102:E$136))*lgh_bs!G$33*E$142,0)</f>
        <v>790779.34205620911</v>
      </c>
      <c r="F154" s="253">
        <f>IFERROR((F108/SUM(F$102:F$136))*lgh_bs!H$33*F$142,0)</f>
        <v>752744.10537100397</v>
      </c>
      <c r="G154" s="253">
        <f>IFERROR((G108/SUM(G$102:G$136))*lgh_bs!I$33*G$142,0)</f>
        <v>778038.63415150892</v>
      </c>
      <c r="H154" s="253">
        <f>IFERROR((H108/SUM(H$102:H$136))*lgh_bs!J$33*H$142,0)</f>
        <v>818640.5288666425</v>
      </c>
      <c r="I154" s="253">
        <f>IFERROR((I108/SUM(I$102:I$136))*lgh_bs!K$33*I$142,0)</f>
        <v>863779.14418114186</v>
      </c>
      <c r="J154" s="253">
        <f>IFERROR((J108/SUM(J$102:J$136))*lgh_bs!L$33*J$142,0)</f>
        <v>944123.14490908652</v>
      </c>
      <c r="K154" s="253">
        <f>IFERROR((K108/SUM(K$102:K$136))*lgh_bs!M$33*K$142,0)</f>
        <v>1109469.3361331979</v>
      </c>
      <c r="L154" s="253">
        <f>IFERROR((L108/SUM(L$102:L$136))*lgh_bs!N$33*L$142,0)</f>
        <v>1349359.7311193293</v>
      </c>
      <c r="M154" s="253">
        <f>IFERROR((M108/SUM(M$102:M$136))*lgh_bs!O$33*M$142,0)</f>
        <v>1629916.5947959221</v>
      </c>
      <c r="N154" s="253">
        <f>IFERROR((N108/SUM(N$102:N$136))*lgh_bs!P$33*N$142,0)</f>
        <v>1906044.8102444329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829770.60870907083</v>
      </c>
      <c r="D155" s="253">
        <f>IFERROR((D109/SUM(D$102:D$136))*lgh_bs!F$33*D$142,0)</f>
        <v>222591.03849579612</v>
      </c>
      <c r="E155" s="253">
        <f>IFERROR((E109/SUM(E$102:E$136))*lgh_bs!G$33*E$142,0)</f>
        <v>790779.34205620911</v>
      </c>
      <c r="F155" s="253">
        <f>IFERROR((F109/SUM(F$102:F$136))*lgh_bs!H$33*F$142,0)</f>
        <v>752744.10537100397</v>
      </c>
      <c r="G155" s="253">
        <f>IFERROR((G109/SUM(G$102:G$136))*lgh_bs!I$33*G$142,0)</f>
        <v>778038.63415150892</v>
      </c>
      <c r="H155" s="253">
        <f>IFERROR((H109/SUM(H$102:H$136))*lgh_bs!J$33*H$142,0)</f>
        <v>818640.5288666425</v>
      </c>
      <c r="I155" s="253">
        <f>IFERROR((I109/SUM(I$102:I$136))*lgh_bs!K$33*I$142,0)</f>
        <v>863779.14418114186</v>
      </c>
      <c r="J155" s="253">
        <f>IFERROR((J109/SUM(J$102:J$136))*lgh_bs!L$33*J$142,0)</f>
        <v>944123.14490908652</v>
      </c>
      <c r="K155" s="253">
        <f>IFERROR((K109/SUM(K$102:K$136))*lgh_bs!M$33*K$142,0)</f>
        <v>1109469.3361331979</v>
      </c>
      <c r="L155" s="253">
        <f>IFERROR((L109/SUM(L$102:L$136))*lgh_bs!N$33*L$142,0)</f>
        <v>1349359.7311193293</v>
      </c>
      <c r="M155" s="253">
        <f>IFERROR((M109/SUM(M$102:M$136))*lgh_bs!O$33*M$142,0)</f>
        <v>1629916.5947959221</v>
      </c>
      <c r="N155" s="253">
        <f>IFERROR((N109/SUM(N$102:N$136))*lgh_bs!P$33*N$142,0)</f>
        <v>1906044.8102444329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335227.32591846463</v>
      </c>
      <c r="D156" s="253">
        <f>IFERROR((D110/SUM(D$102:D$136))*lgh_bs!F$33*D$142,0)</f>
        <v>89926.779552301654</v>
      </c>
      <c r="E156" s="253">
        <f>IFERROR((E110/SUM(E$102:E$136))*lgh_bs!G$33*E$142,0)</f>
        <v>319474.85419070855</v>
      </c>
      <c r="F156" s="253">
        <f>IFERROR((F110/SUM(F$102:F$136))*lgh_bs!H$33*F$142,0)</f>
        <v>304108.61856988561</v>
      </c>
      <c r="G156" s="253">
        <f>IFERROR((G110/SUM(G$102:G$136))*lgh_bs!I$33*G$142,0)</f>
        <v>314327.6081972096</v>
      </c>
      <c r="H156" s="253">
        <f>IFERROR((H110/SUM(H$102:H$136))*lgh_bs!J$33*H$142,0)</f>
        <v>330730.7736621236</v>
      </c>
      <c r="I156" s="253">
        <f>IFERROR((I110/SUM(I$102:I$136))*lgh_bs!K$33*I$142,0)</f>
        <v>348966.77424918138</v>
      </c>
      <c r="J156" s="253">
        <f>IFERROR((J110/SUM(J$102:J$136))*lgh_bs!L$33*J$142,0)</f>
        <v>381425.7505432709</v>
      </c>
      <c r="K156" s="253">
        <f>IFERROR((K110/SUM(K$102:K$136))*lgh_bs!M$33*K$142,0)</f>
        <v>448225.61179781187</v>
      </c>
      <c r="L156" s="253">
        <f>IFERROR((L110/SUM(L$102:L$136))*lgh_bs!N$33*L$142,0)</f>
        <v>545141.33137220913</v>
      </c>
      <c r="M156" s="253">
        <f>IFERROR((M110/SUM(M$102:M$136))*lgh_bs!O$33*M$142,0)</f>
        <v>658486.30429755244</v>
      </c>
      <c r="N156" s="253">
        <f>IFERROR((N110/SUM(N$102:N$136))*lgh_bs!P$33*N$142,0)</f>
        <v>770042.10333875078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119486.96765410618</v>
      </c>
      <c r="D157" s="253">
        <f>IFERROR((D111/SUM(D$102:D$136))*lgh_bs!F$33*D$142,0)</f>
        <v>32053.109543394639</v>
      </c>
      <c r="E157" s="253">
        <f>IFERROR((E111/SUM(E$102:E$136))*lgh_bs!G$33*E$142,0)</f>
        <v>113872.2252560941</v>
      </c>
      <c r="F157" s="253">
        <f>IFERROR((F111/SUM(F$102:F$136))*lgh_bs!H$33*F$142,0)</f>
        <v>108395.15117342454</v>
      </c>
      <c r="G157" s="253">
        <f>IFERROR((G111/SUM(G$102:G$136))*lgh_bs!I$33*G$142,0)</f>
        <v>112037.56331781726</v>
      </c>
      <c r="H157" s="253">
        <f>IFERROR((H111/SUM(H$102:H$136))*lgh_bs!J$33*H$142,0)</f>
        <v>117884.2361567965</v>
      </c>
      <c r="I157" s="253">
        <f>IFERROR((I111/SUM(I$102:I$136))*lgh_bs!K$33*I$142,0)</f>
        <v>124384.19676208444</v>
      </c>
      <c r="J157" s="253">
        <f>IFERROR((J111/SUM(J$102:J$136))*lgh_bs!L$33*J$142,0)</f>
        <v>135953.73286690842</v>
      </c>
      <c r="K157" s="253">
        <f>IFERROR((K111/SUM(K$102:K$136))*lgh_bs!M$33*K$142,0)</f>
        <v>159763.58440318043</v>
      </c>
      <c r="L157" s="253">
        <f>IFERROR((L111/SUM(L$102:L$136))*lgh_bs!N$33*L$142,0)</f>
        <v>194307.80128118341</v>
      </c>
      <c r="M157" s="253">
        <f>IFERROR((M111/SUM(M$102:M$136))*lgh_bs!O$33*M$142,0)</f>
        <v>234707.98965061273</v>
      </c>
      <c r="N157" s="253">
        <f>IFERROR((N111/SUM(N$102:N$136))*lgh_bs!P$33*N$142,0)</f>
        <v>274470.45267519826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13276.329739345136</v>
      </c>
      <c r="D158" s="253">
        <f>IFERROR((D112/SUM(D$102:D$136))*lgh_bs!F$33*D$142,0)</f>
        <v>3561.4566159327383</v>
      </c>
      <c r="E158" s="253">
        <f>IFERROR((E112/SUM(E$102:E$136))*lgh_bs!G$33*E$142,0)</f>
        <v>12652.469472899347</v>
      </c>
      <c r="F158" s="253">
        <f>IFERROR((F112/SUM(F$102:F$136))*lgh_bs!H$33*F$142,0)</f>
        <v>12043.905685936063</v>
      </c>
      <c r="G158" s="253">
        <f>IFERROR((G112/SUM(G$102:G$136))*lgh_bs!I$33*G$142,0)</f>
        <v>12448.618146424144</v>
      </c>
      <c r="H158" s="253">
        <f>IFERROR((H112/SUM(H$102:H$136))*lgh_bs!J$33*H$142,0)</f>
        <v>13098.248461866282</v>
      </c>
      <c r="I158" s="253">
        <f>IFERROR((I112/SUM(I$102:I$136))*lgh_bs!K$33*I$142,0)</f>
        <v>13820.466306898274</v>
      </c>
      <c r="J158" s="253">
        <f>IFERROR((J112/SUM(J$102:J$136))*lgh_bs!L$33*J$142,0)</f>
        <v>15105.970318545382</v>
      </c>
      <c r="K158" s="253">
        <f>IFERROR((K112/SUM(K$102:K$136))*lgh_bs!M$33*K$142,0)</f>
        <v>17751.509378131166</v>
      </c>
      <c r="L158" s="253">
        <f>IFERROR((L112/SUM(L$102:L$136))*lgh_bs!N$33*L$142,0)</f>
        <v>21589.75569790927</v>
      </c>
      <c r="M158" s="253">
        <f>IFERROR((M112/SUM(M$102:M$136))*lgh_bs!O$33*M$142,0)</f>
        <v>26078.665516734756</v>
      </c>
      <c r="N158" s="253">
        <f>IFERROR((N112/SUM(N$102:N$136))*lgh_bs!P$33*N$142,0)</f>
        <v>30496.716963910927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14213.638618942899</v>
      </c>
      <c r="D159" s="253">
        <f>IFERROR((D113/SUM(D$102:D$136))*lgh_bs!F$33*D$142,0)</f>
        <v>3812.8954530175902</v>
      </c>
      <c r="E159" s="253">
        <f>IFERROR((E113/SUM(E$102:E$136))*lgh_bs!G$33*E$142,0)</f>
        <v>13545.733817686039</v>
      </c>
      <c r="F159" s="253">
        <f>IFERROR((F113/SUM(F$102:F$136))*lgh_bs!H$33*F$142,0)</f>
        <v>12894.205427363149</v>
      </c>
      <c r="G159" s="253">
        <f>IFERROR((G113/SUM(G$102:G$136))*lgh_bs!I$33*G$142,0)</f>
        <v>13327.490587561686</v>
      </c>
      <c r="H159" s="253">
        <f>IFERROR((H113/SUM(H$102:H$136))*lgh_bs!J$33*H$142,0)</f>
        <v>14022.984803274041</v>
      </c>
      <c r="I159" s="253">
        <f>IFERROR((I113/SUM(I$102:I$136))*lgh_bs!K$33*I$142,0)</f>
        <v>14796.191228165288</v>
      </c>
      <c r="J159" s="253">
        <f>IFERROR((J113/SUM(J$102:J$136))*lgh_bs!L$33*J$142,0)</f>
        <v>16172.451823034684</v>
      </c>
      <c r="K159" s="253">
        <f>IFERROR((K113/SUM(K$102:K$136))*lgh_bs!M$33*K$142,0)</f>
        <v>19004.765940227222</v>
      </c>
      <c r="L159" s="253">
        <f>IFERROR((L113/SUM(L$102:L$136))*lgh_bs!N$33*L$142,0)</f>
        <v>23113.992450181664</v>
      </c>
      <c r="M159" s="253">
        <f>IFERROR((M113/SUM(M$102:M$136))*lgh_bs!O$33*M$142,0)</f>
        <v>27919.819302216223</v>
      </c>
      <c r="N159" s="253">
        <f>IFERROR((N113/SUM(N$102:N$136))*lgh_bs!P$33*N$142,0)</f>
        <v>32649.785181563031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42640.915856828702</v>
      </c>
      <c r="D160" s="253">
        <f>IFERROR((D114/SUM(D$102:D$136))*lgh_bs!F$33*D$142,0)</f>
        <v>11438.686359052766</v>
      </c>
      <c r="E160" s="253">
        <f>IFERROR((E114/SUM(E$102:E$136))*lgh_bs!G$33*E$142,0)</f>
        <v>40637.201453058107</v>
      </c>
      <c r="F160" s="253">
        <f>IFERROR((F114/SUM(F$102:F$136))*lgh_bs!H$33*F$142,0)</f>
        <v>38682.616282089439</v>
      </c>
      <c r="G160" s="253">
        <f>IFERROR((G114/SUM(G$102:G$136))*lgh_bs!I$33*G$142,0)</f>
        <v>39982.471762685047</v>
      </c>
      <c r="H160" s="253">
        <f>IFERROR((H114/SUM(H$102:H$136))*lgh_bs!J$33*H$142,0)</f>
        <v>42068.954409822109</v>
      </c>
      <c r="I160" s="253">
        <f>IFERROR((I114/SUM(I$102:I$136))*lgh_bs!K$33*I$142,0)</f>
        <v>44388.573684495859</v>
      </c>
      <c r="J160" s="253">
        <f>IFERROR((J114/SUM(J$102:J$136))*lgh_bs!L$33*J$142,0)</f>
        <v>48517.355469104048</v>
      </c>
      <c r="K160" s="253">
        <f>IFERROR((K114/SUM(K$102:K$136))*lgh_bs!M$33*K$142,0)</f>
        <v>57014.297820681662</v>
      </c>
      <c r="L160" s="253">
        <f>IFERROR((L114/SUM(L$102:L$136))*lgh_bs!N$33*L$142,0)</f>
        <v>69341.97735054497</v>
      </c>
      <c r="M160" s="253">
        <f>IFERROR((M114/SUM(M$102:M$136))*lgh_bs!O$33*M$142,0)</f>
        <v>83759.457906648662</v>
      </c>
      <c r="N160" s="253">
        <f>IFERROR((N114/SUM(N$102:N$136))*lgh_bs!P$33*N$142,0)</f>
        <v>97949.355544689068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85281.831713657404</v>
      </c>
      <c r="D161" s="253">
        <f>IFERROR((D115/SUM(D$102:D$136))*lgh_bs!F$33*D$142,0)</f>
        <v>22877.37271810554</v>
      </c>
      <c r="E161" s="253">
        <f>IFERROR((E115/SUM(E$102:E$136))*lgh_bs!G$33*E$142,0)</f>
        <v>81274.402906116244</v>
      </c>
      <c r="F161" s="253">
        <f>IFERROR((F115/SUM(F$102:F$136))*lgh_bs!H$33*F$142,0)</f>
        <v>77365.232564178892</v>
      </c>
      <c r="G161" s="253">
        <f>IFERROR((G115/SUM(G$102:G$136))*lgh_bs!I$33*G$142,0)</f>
        <v>79964.943525370109</v>
      </c>
      <c r="H161" s="253">
        <f>IFERROR((H115/SUM(H$102:H$136))*lgh_bs!J$33*H$142,0)</f>
        <v>84137.908819644232</v>
      </c>
      <c r="I161" s="253">
        <f>IFERROR((I115/SUM(I$102:I$136))*lgh_bs!K$33*I$142,0)</f>
        <v>88777.147368991733</v>
      </c>
      <c r="J161" s="253">
        <f>IFERROR((J115/SUM(J$102:J$136))*lgh_bs!L$33*J$142,0)</f>
        <v>97034.710938208111</v>
      </c>
      <c r="K161" s="253">
        <f>IFERROR((K115/SUM(K$102:K$136))*lgh_bs!M$33*K$142,0)</f>
        <v>114028.59564136332</v>
      </c>
      <c r="L161" s="253">
        <f>IFERROR((L115/SUM(L$102:L$136))*lgh_bs!N$33*L$142,0)</f>
        <v>138683.95470108997</v>
      </c>
      <c r="M161" s="253">
        <f>IFERROR((M115/SUM(M$102:M$136))*lgh_bs!O$33*M$142,0)</f>
        <v>167518.91581329732</v>
      </c>
      <c r="N161" s="253">
        <f>IFERROR((N115/SUM(N$102:N$136))*lgh_bs!P$33*N$142,0)</f>
        <v>195898.71108937819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132763.29739345133</v>
      </c>
      <c r="D162" s="253">
        <f>IFERROR((D116/SUM(D$102:D$136))*lgh_bs!F$33*D$142,0)</f>
        <v>35614.566159327376</v>
      </c>
      <c r="E162" s="253">
        <f>IFERROR((E116/SUM(E$102:E$136))*lgh_bs!G$33*E$142,0)</f>
        <v>126524.69472899345</v>
      </c>
      <c r="F162" s="253">
        <f>IFERROR((F116/SUM(F$102:F$136))*lgh_bs!H$33*F$142,0)</f>
        <v>120439.05685936063</v>
      </c>
      <c r="G162" s="253">
        <f>IFERROR((G116/SUM(G$102:G$136))*lgh_bs!I$33*G$142,0)</f>
        <v>124486.18146424142</v>
      </c>
      <c r="H162" s="253">
        <f>IFERROR((H116/SUM(H$102:H$136))*lgh_bs!J$33*H$142,0)</f>
        <v>130982.4846186628</v>
      </c>
      <c r="I162" s="253">
        <f>IFERROR((I116/SUM(I$102:I$136))*lgh_bs!K$33*I$142,0)</f>
        <v>138204.66306898271</v>
      </c>
      <c r="J162" s="253">
        <f>IFERROR((J116/SUM(J$102:J$136))*lgh_bs!L$33*J$142,0)</f>
        <v>151059.70318545381</v>
      </c>
      <c r="K162" s="253">
        <f>IFERROR((K116/SUM(K$102:K$136))*lgh_bs!M$33*K$142,0)</f>
        <v>177515.09378131162</v>
      </c>
      <c r="L162" s="253">
        <f>IFERROR((L116/SUM(L$102:L$136))*lgh_bs!N$33*L$142,0)</f>
        <v>215897.55697909271</v>
      </c>
      <c r="M162" s="253">
        <f>IFERROR((M116/SUM(M$102:M$136))*lgh_bs!O$33*M$142,0)</f>
        <v>260786.65516734749</v>
      </c>
      <c r="N162" s="253">
        <f>IFERROR((N116/SUM(N$102:N$136))*lgh_bs!P$33*N$142,0)</f>
        <v>304967.16963910923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132763.29739345133</v>
      </c>
      <c r="D163" s="253">
        <f>IFERROR((D117/SUM(D$102:D$136))*lgh_bs!F$33*D$142,0)</f>
        <v>35614.566159327376</v>
      </c>
      <c r="E163" s="253">
        <f>IFERROR((E117/SUM(E$102:E$136))*lgh_bs!G$33*E$142,0)</f>
        <v>126524.69472899345</v>
      </c>
      <c r="F163" s="253">
        <f>IFERROR((F117/SUM(F$102:F$136))*lgh_bs!H$33*F$142,0)</f>
        <v>120439.05685936063</v>
      </c>
      <c r="G163" s="253">
        <f>IFERROR((G117/SUM(G$102:G$136))*lgh_bs!I$33*G$142,0)</f>
        <v>124486.18146424142</v>
      </c>
      <c r="H163" s="253">
        <f>IFERROR((H117/SUM(H$102:H$136))*lgh_bs!J$33*H$142,0)</f>
        <v>130982.4846186628</v>
      </c>
      <c r="I163" s="253">
        <f>IFERROR((I117/SUM(I$102:I$136))*lgh_bs!K$33*I$142,0)</f>
        <v>138204.66306898271</v>
      </c>
      <c r="J163" s="253">
        <f>IFERROR((J117/SUM(J$102:J$136))*lgh_bs!L$33*J$142,0)</f>
        <v>151059.70318545381</v>
      </c>
      <c r="K163" s="253">
        <f>IFERROR((K117/SUM(K$102:K$136))*lgh_bs!M$33*K$142,0)</f>
        <v>177515.09378131162</v>
      </c>
      <c r="L163" s="253">
        <f>IFERROR((L117/SUM(L$102:L$136))*lgh_bs!N$33*L$142,0)</f>
        <v>215897.55697909271</v>
      </c>
      <c r="M163" s="253">
        <f>IFERROR((M117/SUM(M$102:M$136))*lgh_bs!O$33*M$142,0)</f>
        <v>260786.65516734749</v>
      </c>
      <c r="N163" s="253">
        <f>IFERROR((N117/SUM(N$102:N$136))*lgh_bs!P$33*N$142,0)</f>
        <v>304967.16963910923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265526.5947869026</v>
      </c>
      <c r="D164" s="253">
        <f>IFERROR((D118/SUM(D$102:D$136))*lgh_bs!F$33*D$142,0)</f>
        <v>71229.132318654738</v>
      </c>
      <c r="E164" s="253">
        <f>IFERROR((E118/SUM(E$102:E$136))*lgh_bs!G$33*E$142,0)</f>
        <v>253049.38945798684</v>
      </c>
      <c r="F164" s="253">
        <f>IFERROR((F118/SUM(F$102:F$136))*lgh_bs!H$33*F$142,0)</f>
        <v>240878.1137187212</v>
      </c>
      <c r="G164" s="253">
        <f>IFERROR((G118/SUM(G$102:G$136))*lgh_bs!I$33*G$142,0)</f>
        <v>248972.36292848276</v>
      </c>
      <c r="H164" s="253">
        <f>IFERROR((H118/SUM(H$102:H$136))*lgh_bs!J$33*H$142,0)</f>
        <v>261964.96923732554</v>
      </c>
      <c r="I164" s="253">
        <f>IFERROR((I118/SUM(I$102:I$136))*lgh_bs!K$33*I$142,0)</f>
        <v>276409.32613796537</v>
      </c>
      <c r="J164" s="253">
        <f>IFERROR((J118/SUM(J$102:J$136))*lgh_bs!L$33*J$142,0)</f>
        <v>302119.40637090756</v>
      </c>
      <c r="K164" s="253">
        <f>IFERROR((K118/SUM(K$102:K$136))*lgh_bs!M$33*K$142,0)</f>
        <v>355030.18756262318</v>
      </c>
      <c r="L164" s="253">
        <f>IFERROR((L118/SUM(L$102:L$136))*lgh_bs!N$33*L$142,0)</f>
        <v>431795.11395818525</v>
      </c>
      <c r="M164" s="253">
        <f>IFERROR((M118/SUM(M$102:M$136))*lgh_bs!O$33*M$142,0)</f>
        <v>521573.31033469486</v>
      </c>
      <c r="N164" s="253">
        <f>IFERROR((N118/SUM(N$102:N$136))*lgh_bs!P$33*N$142,0)</f>
        <v>609934.33927821822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86296.143305743346</v>
      </c>
      <c r="D165" s="253">
        <f>IFERROR((D119/SUM(D$102:D$136))*lgh_bs!F$33*D$142,0)</f>
        <v>23149.46800356279</v>
      </c>
      <c r="E165" s="253">
        <f>IFERROR((E119/SUM(E$102:E$136))*lgh_bs!G$33*E$142,0)</f>
        <v>82241.051573845718</v>
      </c>
      <c r="F165" s="253">
        <f>IFERROR((F119/SUM(F$102:F$136))*lgh_bs!H$33*F$142,0)</f>
        <v>78285.386958584379</v>
      </c>
      <c r="G165" s="253">
        <f>IFERROR((G119/SUM(G$102:G$136))*lgh_bs!I$33*G$142,0)</f>
        <v>80916.017951756905</v>
      </c>
      <c r="H165" s="253">
        <f>IFERROR((H119/SUM(H$102:H$136))*lgh_bs!J$33*H$142,0)</f>
        <v>85138.615002130799</v>
      </c>
      <c r="I165" s="253">
        <f>IFERROR((I119/SUM(I$102:I$136))*lgh_bs!K$33*I$142,0)</f>
        <v>89833.030994838744</v>
      </c>
      <c r="J165" s="253">
        <f>IFERROR((J119/SUM(J$102:J$136))*lgh_bs!L$33*J$142,0)</f>
        <v>98188.80707054495</v>
      </c>
      <c r="K165" s="253">
        <f>IFERROR((K119/SUM(K$102:K$136))*lgh_bs!M$33*K$142,0)</f>
        <v>115384.81095785253</v>
      </c>
      <c r="L165" s="253">
        <f>IFERROR((L119/SUM(L$102:L$136))*lgh_bs!N$33*L$142,0)</f>
        <v>140333.41203641021</v>
      </c>
      <c r="M165" s="253">
        <f>IFERROR((M119/SUM(M$102:M$136))*lgh_bs!O$33*M$142,0)</f>
        <v>169511.32585877585</v>
      </c>
      <c r="N165" s="253">
        <f>IFERROR((N119/SUM(N$102:N$136))*lgh_bs!P$33*N$142,0)</f>
        <v>198228.66026542097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26552.659478690264</v>
      </c>
      <c r="D166" s="253">
        <f>IFERROR((D120/SUM(D$102:D$136))*lgh_bs!F$33*D$142,0)</f>
        <v>7122.9132318654756</v>
      </c>
      <c r="E166" s="253">
        <f>IFERROR((E120/SUM(E$102:E$136))*lgh_bs!G$33*E$142,0)</f>
        <v>25304.938945798691</v>
      </c>
      <c r="F166" s="253">
        <f>IFERROR((F120/SUM(F$102:F$136))*lgh_bs!H$33*F$142,0)</f>
        <v>24087.811371872122</v>
      </c>
      <c r="G166" s="253">
        <f>IFERROR((G120/SUM(G$102:G$136))*lgh_bs!I$33*G$142,0)</f>
        <v>24897.23629284828</v>
      </c>
      <c r="H166" s="253">
        <f>IFERROR((H120/SUM(H$102:H$136))*lgh_bs!J$33*H$142,0)</f>
        <v>26196.496923732557</v>
      </c>
      <c r="I166" s="253">
        <f>IFERROR((I120/SUM(I$102:I$136))*lgh_bs!K$33*I$142,0)</f>
        <v>27640.932613796536</v>
      </c>
      <c r="J166" s="253">
        <f>IFERROR((J120/SUM(J$102:J$136))*lgh_bs!L$33*J$142,0)</f>
        <v>30211.94063709076</v>
      </c>
      <c r="K166" s="253">
        <f>IFERROR((K120/SUM(K$102:K$136))*lgh_bs!M$33*K$142,0)</f>
        <v>35503.018756262318</v>
      </c>
      <c r="L166" s="253">
        <f>IFERROR((L120/SUM(L$102:L$136))*lgh_bs!N$33*L$142,0)</f>
        <v>43179.511395818525</v>
      </c>
      <c r="M166" s="253">
        <f>IFERROR((M120/SUM(M$102:M$136))*lgh_bs!O$33*M$142,0)</f>
        <v>52157.331033469491</v>
      </c>
      <c r="N166" s="253">
        <f>IFERROR((N120/SUM(N$102:N$136))*lgh_bs!P$33*N$142,0)</f>
        <v>60993.433927821832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152677.7920024691</v>
      </c>
      <c r="D167" s="253">
        <f>IFERROR((D121/SUM(D$102:D$136))*lgh_bs!F$33*D$142,0)</f>
        <v>40956.751083226503</v>
      </c>
      <c r="E167" s="253">
        <f>IFERROR((E121/SUM(E$102:E$136))*lgh_bs!G$33*E$142,0)</f>
        <v>145503.39893834249</v>
      </c>
      <c r="F167" s="253">
        <f>IFERROR((F121/SUM(F$102:F$136))*lgh_bs!H$33*F$142,0)</f>
        <v>138504.91538826475</v>
      </c>
      <c r="G167" s="253">
        <f>IFERROR((G121/SUM(G$102:G$136))*lgh_bs!I$33*G$142,0)</f>
        <v>143159.10868387765</v>
      </c>
      <c r="H167" s="253">
        <f>IFERROR((H121/SUM(H$102:H$136))*lgh_bs!J$33*H$142,0)</f>
        <v>150629.85731146226</v>
      </c>
      <c r="I167" s="253">
        <f>IFERROR((I121/SUM(I$102:I$136))*lgh_bs!K$33*I$142,0)</f>
        <v>158935.36252933016</v>
      </c>
      <c r="J167" s="253">
        <f>IFERROR((J121/SUM(J$102:J$136))*lgh_bs!L$33*J$142,0)</f>
        <v>173718.65866327193</v>
      </c>
      <c r="K167" s="253">
        <f>IFERROR((K121/SUM(K$102:K$136))*lgh_bs!M$33*K$142,0)</f>
        <v>204142.35784850843</v>
      </c>
      <c r="L167" s="253">
        <f>IFERROR((L121/SUM(L$102:L$136))*lgh_bs!N$33*L$142,0)</f>
        <v>248282.19052595666</v>
      </c>
      <c r="M167" s="253">
        <f>IFERROR((M121/SUM(M$102:M$136))*lgh_bs!O$33*M$142,0)</f>
        <v>299904.65344244975</v>
      </c>
      <c r="N167" s="253">
        <f>IFERROR((N121/SUM(N$102:N$136))*lgh_bs!P$33*N$142,0)</f>
        <v>350712.24508497573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265526.5947869026</v>
      </c>
      <c r="D168" s="253">
        <f>IFERROR((D122/SUM(D$102:D$136))*lgh_bs!F$33*D$142,0)</f>
        <v>71229.132318654738</v>
      </c>
      <c r="E168" s="253">
        <f>IFERROR((E122/SUM(E$102:E$136))*lgh_bs!G$33*E$142,0)</f>
        <v>253049.38945798684</v>
      </c>
      <c r="F168" s="253">
        <f>IFERROR((F122/SUM(F$102:F$136))*lgh_bs!H$33*F$142,0)</f>
        <v>240878.1137187212</v>
      </c>
      <c r="G168" s="253">
        <f>IFERROR((G122/SUM(G$102:G$136))*lgh_bs!I$33*G$142,0)</f>
        <v>248972.36292848276</v>
      </c>
      <c r="H168" s="253">
        <f>IFERROR((H122/SUM(H$102:H$136))*lgh_bs!J$33*H$142,0)</f>
        <v>261964.96923732554</v>
      </c>
      <c r="I168" s="253">
        <f>IFERROR((I122/SUM(I$102:I$136))*lgh_bs!K$33*I$142,0)</f>
        <v>276409.32613796537</v>
      </c>
      <c r="J168" s="253">
        <f>IFERROR((J122/SUM(J$102:J$136))*lgh_bs!L$33*J$142,0)</f>
        <v>302119.40637090756</v>
      </c>
      <c r="K168" s="253">
        <f>IFERROR((K122/SUM(K$102:K$136))*lgh_bs!M$33*K$142,0)</f>
        <v>355030.18756262318</v>
      </c>
      <c r="L168" s="253">
        <f>IFERROR((L122/SUM(L$102:L$136))*lgh_bs!N$33*L$142,0)</f>
        <v>431795.11395818525</v>
      </c>
      <c r="M168" s="253">
        <f>IFERROR((M122/SUM(M$102:M$136))*lgh_bs!O$33*M$142,0)</f>
        <v>521573.31033469486</v>
      </c>
      <c r="N168" s="253">
        <f>IFERROR((N122/SUM(N$102:N$136))*lgh_bs!P$33*N$142,0)</f>
        <v>609934.33927821822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265526.5947869026</v>
      </c>
      <c r="D169" s="253">
        <f>IFERROR((D123/SUM(D$102:D$136))*lgh_bs!F$33*D$142,0)</f>
        <v>71229.132318654738</v>
      </c>
      <c r="E169" s="253">
        <f>IFERROR((E123/SUM(E$102:E$136))*lgh_bs!G$33*E$142,0)</f>
        <v>253049.38945798684</v>
      </c>
      <c r="F169" s="253">
        <f>IFERROR((F123/SUM(F$102:F$136))*lgh_bs!H$33*F$142,0)</f>
        <v>240878.1137187212</v>
      </c>
      <c r="G169" s="253">
        <f>IFERROR((G123/SUM(G$102:G$136))*lgh_bs!I$33*G$142,0)</f>
        <v>248972.36292848276</v>
      </c>
      <c r="H169" s="253">
        <f>IFERROR((H123/SUM(H$102:H$136))*lgh_bs!J$33*H$142,0)</f>
        <v>261964.96923732554</v>
      </c>
      <c r="I169" s="253">
        <f>IFERROR((I123/SUM(I$102:I$136))*lgh_bs!K$33*I$142,0)</f>
        <v>276409.32613796537</v>
      </c>
      <c r="J169" s="253">
        <f>IFERROR((J123/SUM(J$102:J$136))*lgh_bs!L$33*J$142,0)</f>
        <v>302119.40637090756</v>
      </c>
      <c r="K169" s="253">
        <f>IFERROR((K123/SUM(K$102:K$136))*lgh_bs!M$33*K$142,0)</f>
        <v>355030.18756262318</v>
      </c>
      <c r="L169" s="253">
        <f>IFERROR((L123/SUM(L$102:L$136))*lgh_bs!N$33*L$142,0)</f>
        <v>431795.11395818525</v>
      </c>
      <c r="M169" s="253">
        <f>IFERROR((M123/SUM(M$102:M$136))*lgh_bs!O$33*M$142,0)</f>
        <v>521573.31033469486</v>
      </c>
      <c r="N169" s="253">
        <f>IFERROR((N123/SUM(N$102:N$136))*lgh_bs!P$33*N$142,0)</f>
        <v>609934.33927821822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71068.193094714501</v>
      </c>
      <c r="D170" s="253">
        <f>IFERROR((D124/SUM(D$102:D$136))*lgh_bs!F$33*D$142,0)</f>
        <v>19064.477265087942</v>
      </c>
      <c r="E170" s="253">
        <f>IFERROR((E124/SUM(E$102:E$136))*lgh_bs!G$33*E$142,0)</f>
        <v>67728.669088430179</v>
      </c>
      <c r="F170" s="253">
        <f>IFERROR((F124/SUM(F$102:F$136))*lgh_bs!H$33*F$142,0)</f>
        <v>64471.027136815734</v>
      </c>
      <c r="G170" s="253">
        <f>IFERROR((G124/SUM(G$102:G$136))*lgh_bs!I$33*G$142,0)</f>
        <v>66637.452937808426</v>
      </c>
      <c r="H170" s="253">
        <f>IFERROR((H124/SUM(H$102:H$136))*lgh_bs!J$33*H$142,0)</f>
        <v>70114.924016370191</v>
      </c>
      <c r="I170" s="253">
        <f>IFERROR((I124/SUM(I$102:I$136))*lgh_bs!K$33*I$142,0)</f>
        <v>73980.956140826442</v>
      </c>
      <c r="J170" s="253">
        <f>IFERROR((J124/SUM(J$102:J$136))*lgh_bs!L$33*J$142,0)</f>
        <v>80862.259115173423</v>
      </c>
      <c r="K170" s="253">
        <f>IFERROR((K124/SUM(K$102:K$136))*lgh_bs!M$33*K$142,0)</f>
        <v>95023.829701136114</v>
      </c>
      <c r="L170" s="253">
        <f>IFERROR((L124/SUM(L$102:L$136))*lgh_bs!N$33*L$142,0)</f>
        <v>115569.96225090831</v>
      </c>
      <c r="M170" s="253">
        <f>IFERROR((M124/SUM(M$102:M$136))*lgh_bs!O$33*M$142,0)</f>
        <v>139599.09651108109</v>
      </c>
      <c r="N170" s="253">
        <f>IFERROR((N124/SUM(N$102:N$136))*lgh_bs!P$33*N$142,0)</f>
        <v>163248.92590781514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17767.048273678625</v>
      </c>
      <c r="D171" s="253">
        <f>IFERROR((D125/SUM(D$102:D$136))*lgh_bs!F$33*D$142,0)</f>
        <v>4766.1193162719856</v>
      </c>
      <c r="E171" s="253">
        <f>IFERROR((E125/SUM(E$102:E$136))*lgh_bs!G$33*E$142,0)</f>
        <v>16932.167272107545</v>
      </c>
      <c r="F171" s="253">
        <f>IFERROR((F125/SUM(F$102:F$136))*lgh_bs!H$33*F$142,0)</f>
        <v>16117.756784203933</v>
      </c>
      <c r="G171" s="253">
        <f>IFERROR((G125/SUM(G$102:G$136))*lgh_bs!I$33*G$142,0)</f>
        <v>16659.363234452107</v>
      </c>
      <c r="H171" s="253">
        <f>IFERROR((H125/SUM(H$102:H$136))*lgh_bs!J$33*H$142,0)</f>
        <v>17528.731004092548</v>
      </c>
      <c r="I171" s="253">
        <f>IFERROR((I125/SUM(I$102:I$136))*lgh_bs!K$33*I$142,0)</f>
        <v>18495.23903520661</v>
      </c>
      <c r="J171" s="253">
        <f>IFERROR((J125/SUM(J$102:J$136))*lgh_bs!L$33*J$142,0)</f>
        <v>20215.564778793356</v>
      </c>
      <c r="K171" s="253">
        <f>IFERROR((K125/SUM(K$102:K$136))*lgh_bs!M$33*K$142,0)</f>
        <v>23755.957425284028</v>
      </c>
      <c r="L171" s="253">
        <f>IFERROR((L125/SUM(L$102:L$136))*lgh_bs!N$33*L$142,0)</f>
        <v>28892.490562727078</v>
      </c>
      <c r="M171" s="253">
        <f>IFERROR((M125/SUM(M$102:M$136))*lgh_bs!O$33*M$142,0)</f>
        <v>34899.774127770273</v>
      </c>
      <c r="N171" s="253">
        <f>IFERROR((N125/SUM(N$102:N$136))*lgh_bs!P$33*N$142,0)</f>
        <v>40812.231476953784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35534.096547357251</v>
      </c>
      <c r="D172" s="253">
        <f>IFERROR((D126/SUM(D$102:D$136))*lgh_bs!F$33*D$142,0)</f>
        <v>9532.2386325439711</v>
      </c>
      <c r="E172" s="253">
        <f>IFERROR((E126/SUM(E$102:E$136))*lgh_bs!G$33*E$142,0)</f>
        <v>33864.334544215089</v>
      </c>
      <c r="F172" s="253">
        <f>IFERROR((F126/SUM(F$102:F$136))*lgh_bs!H$33*F$142,0)</f>
        <v>32235.513568407867</v>
      </c>
      <c r="G172" s="253">
        <f>IFERROR((G126/SUM(G$102:G$136))*lgh_bs!I$33*G$142,0)</f>
        <v>33318.726468904213</v>
      </c>
      <c r="H172" s="253">
        <f>IFERROR((H126/SUM(H$102:H$136))*lgh_bs!J$33*H$142,0)</f>
        <v>35057.462008185095</v>
      </c>
      <c r="I172" s="253">
        <f>IFERROR((I126/SUM(I$102:I$136))*lgh_bs!K$33*I$142,0)</f>
        <v>36990.478070413221</v>
      </c>
      <c r="J172" s="253">
        <f>IFERROR((J126/SUM(J$102:J$136))*lgh_bs!L$33*J$142,0)</f>
        <v>40431.129557586712</v>
      </c>
      <c r="K172" s="253">
        <f>IFERROR((K126/SUM(K$102:K$136))*lgh_bs!M$33*K$142,0)</f>
        <v>47511.914850568057</v>
      </c>
      <c r="L172" s="253">
        <f>IFERROR((L126/SUM(L$102:L$136))*lgh_bs!N$33*L$142,0)</f>
        <v>57784.981125454156</v>
      </c>
      <c r="M172" s="253">
        <f>IFERROR((M126/SUM(M$102:M$136))*lgh_bs!O$33*M$142,0)</f>
        <v>69799.548255540547</v>
      </c>
      <c r="N172" s="253">
        <f>IFERROR((N126/SUM(N$102:N$136))*lgh_bs!P$33*N$142,0)</f>
        <v>81624.462953907569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35534.096547357251</v>
      </c>
      <c r="D173" s="253">
        <f>IFERROR((D127/SUM(D$102:D$136))*lgh_bs!F$33*D$142,0)</f>
        <v>9532.2386325439711</v>
      </c>
      <c r="E173" s="253">
        <f>IFERROR((E127/SUM(E$102:E$136))*lgh_bs!G$33*E$142,0)</f>
        <v>33864.334544215089</v>
      </c>
      <c r="F173" s="253">
        <f>IFERROR((F127/SUM(F$102:F$136))*lgh_bs!H$33*F$142,0)</f>
        <v>32235.513568407867</v>
      </c>
      <c r="G173" s="253">
        <f>IFERROR((G127/SUM(G$102:G$136))*lgh_bs!I$33*G$142,0)</f>
        <v>33318.726468904213</v>
      </c>
      <c r="H173" s="253">
        <f>IFERROR((H127/SUM(H$102:H$136))*lgh_bs!J$33*H$142,0)</f>
        <v>35057.462008185095</v>
      </c>
      <c r="I173" s="253">
        <f>IFERROR((I127/SUM(I$102:I$136))*lgh_bs!K$33*I$142,0)</f>
        <v>36990.478070413221</v>
      </c>
      <c r="J173" s="253">
        <f>IFERROR((J127/SUM(J$102:J$136))*lgh_bs!L$33*J$142,0)</f>
        <v>40431.129557586712</v>
      </c>
      <c r="K173" s="253">
        <f>IFERROR((K127/SUM(K$102:K$136))*lgh_bs!M$33*K$142,0)</f>
        <v>47511.914850568057</v>
      </c>
      <c r="L173" s="253">
        <f>IFERROR((L127/SUM(L$102:L$136))*lgh_bs!N$33*L$142,0)</f>
        <v>57784.981125454156</v>
      </c>
      <c r="M173" s="253">
        <f>IFERROR((M127/SUM(M$102:M$136))*lgh_bs!O$33*M$142,0)</f>
        <v>69799.548255540547</v>
      </c>
      <c r="N173" s="253">
        <f>IFERROR((N127/SUM(N$102:N$136))*lgh_bs!P$33*N$142,0)</f>
        <v>81624.462953907569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33522732.591846462</v>
      </c>
      <c r="D174" s="253">
        <f>IFERROR((D128/SUM(D$102:D$136))*lgh_bs!F$33*D$142,0)</f>
        <v>8992677.9552301634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1340909.3036738585</v>
      </c>
      <c r="D175" s="253">
        <f>IFERROR((D129/SUM(D$102:D$136))*lgh_bs!F$33*D$142,0)</f>
        <v>359707.11820920662</v>
      </c>
      <c r="E175" s="253">
        <f>IFERROR((E129/SUM(E$102:E$136))*lgh_bs!G$33*E$142,0)</f>
        <v>1277899.4167628342</v>
      </c>
      <c r="F175" s="253">
        <f>IFERROR((F129/SUM(F$102:F$136))*lgh_bs!H$33*F$142,0)</f>
        <v>1216434.4742795425</v>
      </c>
      <c r="G175" s="253">
        <f>IFERROR((G129/SUM(G$102:G$136))*lgh_bs!I$33*G$142,0)</f>
        <v>1257310.4327888384</v>
      </c>
      <c r="H175" s="253">
        <f>IFERROR((H129/SUM(H$102:H$136))*lgh_bs!J$33*H$142,0)</f>
        <v>1322923.0946484944</v>
      </c>
      <c r="I175" s="253">
        <f>IFERROR((I129/SUM(I$102:I$136))*lgh_bs!K$33*I$142,0)</f>
        <v>1395867.0969967255</v>
      </c>
      <c r="J175" s="253">
        <f>IFERROR((J129/SUM(J$102:J$136))*lgh_bs!L$33*J$142,0)</f>
        <v>1525703.0021730836</v>
      </c>
      <c r="K175" s="253">
        <f>IFERROR((K129/SUM(K$102:K$136))*lgh_bs!M$33*K$142,0)</f>
        <v>1792902.4471912475</v>
      </c>
      <c r="L175" s="253">
        <f>IFERROR((L129/SUM(L$102:L$136))*lgh_bs!N$33*L$142,0)</f>
        <v>2180565.3254888365</v>
      </c>
      <c r="M175" s="253">
        <f>IFERROR((M129/SUM(M$102:M$136))*lgh_bs!O$33*M$142,0)</f>
        <v>2633945.2171902098</v>
      </c>
      <c r="N175" s="253">
        <f>IFERROR((N129/SUM(N$102:N$136))*lgh_bs!P$33*N$142,0)</f>
        <v>3080168.4133550031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1340909.3036738585</v>
      </c>
      <c r="D176" s="253">
        <f>IFERROR((D130/SUM(D$102:D$136))*lgh_bs!F$33*D$142,0)</f>
        <v>359707.11820920662</v>
      </c>
      <c r="E176" s="253">
        <f>IFERROR((E130/SUM(E$102:E$136))*lgh_bs!G$33*E$142,0)</f>
        <v>1277899.4167628342</v>
      </c>
      <c r="F176" s="253">
        <f>IFERROR((F130/SUM(F$102:F$136))*lgh_bs!H$33*F$142,0)</f>
        <v>1216434.4742795425</v>
      </c>
      <c r="G176" s="253">
        <f>IFERROR((G130/SUM(G$102:G$136))*lgh_bs!I$33*G$142,0)</f>
        <v>1257310.4327888384</v>
      </c>
      <c r="H176" s="253">
        <f>IFERROR((H130/SUM(H$102:H$136))*lgh_bs!J$33*H$142,0)</f>
        <v>1322923.0946484944</v>
      </c>
      <c r="I176" s="253">
        <f>IFERROR((I130/SUM(I$102:I$136))*lgh_bs!K$33*I$142,0)</f>
        <v>1395867.0969967255</v>
      </c>
      <c r="J176" s="253">
        <f>IFERROR((J130/SUM(J$102:J$136))*lgh_bs!L$33*J$142,0)</f>
        <v>1525703.0021730836</v>
      </c>
      <c r="K176" s="253">
        <f>IFERROR((K130/SUM(K$102:K$136))*lgh_bs!M$33*K$142,0)</f>
        <v>1792902.4471912475</v>
      </c>
      <c r="L176" s="253">
        <f>IFERROR((L130/SUM(L$102:L$136))*lgh_bs!N$33*L$142,0)</f>
        <v>2180565.3254888365</v>
      </c>
      <c r="M176" s="253">
        <f>IFERROR((M130/SUM(M$102:M$136))*lgh_bs!O$33*M$142,0)</f>
        <v>2633945.2171902098</v>
      </c>
      <c r="N176" s="253">
        <f>IFERROR((N130/SUM(N$102:N$136))*lgh_bs!P$33*N$142,0)</f>
        <v>3080168.4133550031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859925.13644604536</v>
      </c>
      <c r="D177" s="253">
        <f>IFERROR((D131/SUM(D$102:D$136))*lgh_bs!F$33*D$142,0)</f>
        <v>285120.69618574926</v>
      </c>
      <c r="E177" s="253">
        <f>IFERROR((E131/SUM(E$102:E$136))*lgh_bs!G$33*E$142,0)</f>
        <v>1016164.2366458673</v>
      </c>
      <c r="F177" s="253">
        <f>IFERROR((F131/SUM(F$102:F$136))*lgh_bs!H$33*F$142,0)</f>
        <v>967288.3427063931</v>
      </c>
      <c r="G177" s="253">
        <f>IFERROR((G131/SUM(G$102:G$136))*lgh_bs!I$33*G$142,0)</f>
        <v>999792.2210483891</v>
      </c>
      <c r="H177" s="253">
        <f>IFERROR((H131/SUM(H$102:H$136))*lgh_bs!J$33*H$142,0)</f>
        <v>1051966.3120436075</v>
      </c>
      <c r="I177" s="253">
        <f>IFERROR((I131/SUM(I$102:I$136))*lgh_bs!K$33*I$142,0)</f>
        <v>1109970.162340255</v>
      </c>
      <c r="J177" s="253">
        <f>IFERROR((J131/SUM(J$102:J$136))*lgh_bs!L$33*J$142,0)</f>
        <v>1213213.5019506407</v>
      </c>
      <c r="K177" s="253">
        <f>IFERROR((K131/SUM(K$102:K$136))*lgh_bs!M$33*K$142,0)</f>
        <v>1425686.0303182416</v>
      </c>
      <c r="L177" s="253">
        <f>IFERROR((L131/SUM(L$102:L$136))*lgh_bs!N$33*L$142,0)</f>
        <v>1733949.0654474911</v>
      </c>
      <c r="M177" s="253">
        <f>IFERROR((M131/SUM(M$102:M$136))*lgh_bs!O$33*M$142,0)</f>
        <v>2094469.1701740241</v>
      </c>
      <c r="N177" s="253">
        <f>IFERROR((N131/SUM(N$102:N$136))*lgh_bs!P$33*N$142,0)</f>
        <v>2449298.3903431022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170563.66342731481</v>
      </c>
      <c r="D178" s="253">
        <f>IFERROR((D132/SUM(D$102:D$136))*lgh_bs!F$33*D$142,0)</f>
        <v>56552.865359156873</v>
      </c>
      <c r="E178" s="253">
        <f>IFERROR((E132/SUM(E$102:E$136))*lgh_bs!G$33*E$142,0)</f>
        <v>201553.23702066788</v>
      </c>
      <c r="F178" s="253">
        <f>IFERROR((F132/SUM(F$102:F$136))*lgh_bs!H$33*F$142,0)</f>
        <v>191858.84483432589</v>
      </c>
      <c r="G178" s="253">
        <f>IFERROR((G132/SUM(G$102:G$136))*lgh_bs!I$33*G$142,0)</f>
        <v>198305.89508397802</v>
      </c>
      <c r="H178" s="253">
        <f>IFERROR((H132/SUM(H$102:H$136))*lgh_bs!J$33*H$142,0)</f>
        <v>208654.47511608747</v>
      </c>
      <c r="I178" s="253">
        <f>IFERROR((I132/SUM(I$102:I$136))*lgh_bs!K$33*I$142,0)</f>
        <v>220159.37104269525</v>
      </c>
      <c r="J178" s="253">
        <f>IFERROR((J132/SUM(J$102:J$136))*lgh_bs!L$33*J$142,0)</f>
        <v>240637.38881665608</v>
      </c>
      <c r="K178" s="253">
        <f>IFERROR((K132/SUM(K$102:K$136))*lgh_bs!M$33*K$142,0)</f>
        <v>282780.70022841159</v>
      </c>
      <c r="L178" s="253">
        <f>IFERROR((L132/SUM(L$102:L$136))*lgh_bs!N$33*L$142,0)</f>
        <v>343923.78157636191</v>
      </c>
      <c r="M178" s="253">
        <f>IFERROR((M132/SUM(M$102:M$136))*lgh_bs!O$33*M$142,0)</f>
        <v>415431.90152212052</v>
      </c>
      <c r="N178" s="253">
        <f>IFERROR((N132/SUM(N$102:N$136))*lgh_bs!P$33*N$142,0)</f>
        <v>485811.25097714429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247882.3688549725</v>
      </c>
      <c r="H179" s="253">
        <f>IFERROR((H133/SUM(H$102:H$136))*lgh_bs!J$33*H$142,0)</f>
        <v>260818.09389510928</v>
      </c>
      <c r="I179" s="253">
        <f>IFERROR((I133/SUM(I$102:I$136))*lgh_bs!K$33*I$142,0)</f>
        <v>275199.21380336903</v>
      </c>
      <c r="J179" s="253">
        <f>IFERROR((J133/SUM(J$102:J$136))*lgh_bs!L$33*J$142,0)</f>
        <v>300796.73602082004</v>
      </c>
      <c r="K179" s="253">
        <f>IFERROR((K133/SUM(K$102:K$136))*lgh_bs!M$33*K$142,0)</f>
        <v>353475.87528551451</v>
      </c>
      <c r="L179" s="253">
        <f>IFERROR((L133/SUM(L$102:L$136))*lgh_bs!N$33*L$142,0)</f>
        <v>429904.72697045235</v>
      </c>
      <c r="M179" s="253">
        <f>IFERROR((M133/SUM(M$102:M$136))*lgh_bs!O$33*M$142,0)</f>
        <v>519289.87690265063</v>
      </c>
      <c r="N179" s="253">
        <f>IFERROR((N133/SUM(N$102:N$136))*lgh_bs!P$33*N$142,0)</f>
        <v>607264.06372143037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165254.91256998168</v>
      </c>
      <c r="H182" s="253">
        <f>IFERROR((H136/SUM(H$102:H$136))*lgh_bs!J$33*H$142,0)</f>
        <v>173878.72926340625</v>
      </c>
      <c r="I182" s="253">
        <f>IFERROR((I136/SUM(I$102:I$136))*lgh_bs!K$33*I$142,0)</f>
        <v>183466.14253557939</v>
      </c>
      <c r="J182" s="253">
        <f>IFERROR((J136/SUM(J$102:J$136))*lgh_bs!L$33*J$142,0)</f>
        <v>200531.15734721339</v>
      </c>
      <c r="K182" s="253">
        <f>IFERROR((K136/SUM(K$102:K$136))*lgh_bs!M$33*K$142,0)</f>
        <v>235650.58352367635</v>
      </c>
      <c r="L182" s="253">
        <f>IFERROR((L136/SUM(L$102:L$136))*lgh_bs!N$33*L$142,0)</f>
        <v>286603.15131363494</v>
      </c>
      <c r="M182" s="253">
        <f>IFERROR((M136/SUM(M$102:M$136))*lgh_bs!O$33*M$142,0)</f>
        <v>346193.25126843381</v>
      </c>
      <c r="N182" s="253">
        <f>IFERROR((N136/SUM(N$102:N$136))*lgh_bs!P$33*N$142,0)</f>
        <v>404842.70914762031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356</v>
      </c>
      <c r="B184" s="252">
        <v>43497765.475407854</v>
      </c>
      <c r="C184" s="254">
        <f t="shared" ref="C184:N184" si="22">SUM(C148:C182)</f>
        <v>49728069.602873735</v>
      </c>
      <c r="D184" s="254">
        <f t="shared" si="22"/>
        <v>13405097.319150345</v>
      </c>
      <c r="E184" s="254">
        <f t="shared" si="22"/>
        <v>15679493.244307863</v>
      </c>
      <c r="F184" s="254">
        <f t="shared" si="22"/>
        <v>14925334.397542065</v>
      </c>
      <c r="G184" s="254">
        <f t="shared" si="22"/>
        <v>15840009.051074654</v>
      </c>
      <c r="H184" s="254">
        <f t="shared" si="22"/>
        <v>16666618.876793489</v>
      </c>
      <c r="I184" s="254">
        <f t="shared" si="22"/>
        <v>17585591.333623193</v>
      </c>
      <c r="J184" s="254">
        <f t="shared" si="22"/>
        <v>19221306.63472528</v>
      </c>
      <c r="K184" s="254">
        <f t="shared" si="22"/>
        <v>22587572.846437108</v>
      </c>
      <c r="L184" s="254">
        <f t="shared" si="22"/>
        <v>27471476.885457158</v>
      </c>
      <c r="M184" s="254">
        <f t="shared" si="22"/>
        <v>33183305.405161437</v>
      </c>
      <c r="N184" s="254">
        <f t="shared" si="22"/>
        <v>38804971.528118722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184</v>
      </c>
      <c r="B185" s="252">
        <v>119773010.1849418</v>
      </c>
      <c r="C185" s="253">
        <f>+lgh_bs!E33</f>
        <v>134090930.36738586</v>
      </c>
      <c r="D185" s="253">
        <f>+lgh_bs!F33</f>
        <v>137097576.85874093</v>
      </c>
      <c r="E185" s="253">
        <f>+lgh_bs!G33</f>
        <v>160871589.70367149</v>
      </c>
      <c r="F185" s="253">
        <f>+lgh_bs!H33</f>
        <v>153133920.46411586</v>
      </c>
      <c r="G185" s="253">
        <f>+lgh_bs!I33</f>
        <v>158216727.45945483</v>
      </c>
      <c r="H185" s="253">
        <f>+lgh_bs!J33</f>
        <v>166473256.92792702</v>
      </c>
      <c r="I185" s="253">
        <f>+lgh_bs!K33</f>
        <v>175652343.52290016</v>
      </c>
      <c r="J185" s="253">
        <f>+lgh_bs!L33</f>
        <v>191990561.58586082</v>
      </c>
      <c r="K185" s="253">
        <f>+lgh_bs!M33</f>
        <v>225614255.99519247</v>
      </c>
      <c r="L185" s="253">
        <f>+lgh_bs!N33</f>
        <v>274396760.58772248</v>
      </c>
      <c r="M185" s="253">
        <f>+lgh_bs!O33</f>
        <v>331448925.98000681</v>
      </c>
      <c r="N185" s="253">
        <f>+lgh_bs!P33</f>
        <v>387600511.11964035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357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358</v>
      </c>
      <c r="B187" s="252">
        <v>43497765.475407854</v>
      </c>
      <c r="C187" s="253">
        <f t="shared" ref="C187:N187" si="24">C185*C186</f>
        <v>49728069.60287375</v>
      </c>
      <c r="D187" s="253">
        <f t="shared" si="24"/>
        <v>13405097.319150345</v>
      </c>
      <c r="E187" s="253">
        <f t="shared" si="24"/>
        <v>15679493.24430785</v>
      </c>
      <c r="F187" s="253">
        <f t="shared" si="24"/>
        <v>14925334.397542054</v>
      </c>
      <c r="G187" s="253">
        <f t="shared" si="24"/>
        <v>15840009.051074646</v>
      </c>
      <c r="H187" s="253">
        <f t="shared" si="24"/>
        <v>16666618.876793478</v>
      </c>
      <c r="I187" s="253">
        <f t="shared" si="24"/>
        <v>17585591.333623193</v>
      </c>
      <c r="J187" s="253">
        <f t="shared" si="24"/>
        <v>19221306.634725273</v>
      </c>
      <c r="K187" s="253">
        <f t="shared" si="24"/>
        <v>22587572.8464371</v>
      </c>
      <c r="L187" s="253">
        <f t="shared" si="24"/>
        <v>27471476.885457151</v>
      </c>
      <c r="M187" s="253">
        <f t="shared" si="24"/>
        <v>33183305.405161418</v>
      </c>
      <c r="N187" s="253">
        <f t="shared" si="24"/>
        <v>38804971.528118707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4" width="9.26953125" style="11" customWidth="1"/>
    <col min="45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359</v>
      </c>
      <c r="I1" s="43"/>
      <c r="J1" s="205" t="s">
        <v>359</v>
      </c>
      <c r="K1" s="43"/>
      <c r="L1" s="205" t="s">
        <v>359</v>
      </c>
      <c r="M1" s="43"/>
      <c r="N1" s="205" t="s">
        <v>359</v>
      </c>
      <c r="O1" s="43"/>
      <c r="P1" s="205" t="s">
        <v>359</v>
      </c>
      <c r="Q1" s="43"/>
      <c r="R1" s="205" t="s">
        <v>359</v>
      </c>
      <c r="S1" s="43"/>
      <c r="T1" s="205" t="s">
        <v>359</v>
      </c>
      <c r="U1" s="43"/>
      <c r="V1" s="205" t="s">
        <v>359</v>
      </c>
      <c r="W1" s="43"/>
      <c r="X1" s="205" t="s">
        <v>359</v>
      </c>
      <c r="Y1" s="43"/>
      <c r="Z1" s="205" t="s">
        <v>359</v>
      </c>
      <c r="AA1" s="43"/>
      <c r="AB1" s="205" t="s">
        <v>359</v>
      </c>
      <c r="AC1" s="43"/>
      <c r="AD1" s="205" t="s">
        <v>359</v>
      </c>
      <c r="AE1" s="43"/>
      <c r="AF1" s="205" t="s">
        <v>359</v>
      </c>
      <c r="AG1" s="43"/>
    </row>
    <row r="2" spans="1:33" s="25" customFormat="1">
      <c r="A2" s="205" t="s">
        <v>266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360</v>
      </c>
    </row>
    <row r="3" spans="1:33">
      <c r="A3" s="205" t="s">
        <v>361</v>
      </c>
      <c r="B3" s="205" t="s">
        <v>268</v>
      </c>
      <c r="C3" s="205" t="s">
        <v>269</v>
      </c>
      <c r="D3" s="205" t="s">
        <v>270</v>
      </c>
      <c r="E3" s="205" t="s">
        <v>272</v>
      </c>
      <c r="F3" s="208" t="s">
        <v>362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363</v>
      </c>
    </row>
    <row r="4" spans="1:33">
      <c r="A4" s="205" t="s">
        <v>364</v>
      </c>
      <c r="B4" s="205" t="s">
        <v>365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366</v>
      </c>
    </row>
    <row r="5" spans="1:33">
      <c r="A5" s="205" t="s">
        <v>367</v>
      </c>
      <c r="B5" s="205" t="s">
        <v>368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369</v>
      </c>
    </row>
    <row r="6" spans="1:33">
      <c r="A6" s="205" t="s">
        <v>370</v>
      </c>
      <c r="B6" s="205" t="s">
        <v>371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372</v>
      </c>
    </row>
    <row r="7" spans="1:33">
      <c r="A7" s="205" t="s">
        <v>373</v>
      </c>
      <c r="B7" s="205" t="s">
        <v>374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375</v>
      </c>
      <c r="B8" s="205" t="s">
        <v>376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377</v>
      </c>
      <c r="B9" s="205" t="s">
        <v>378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379</v>
      </c>
      <c r="B10" s="205" t="s">
        <v>380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381</v>
      </c>
      <c r="B11" s="205" t="s">
        <v>382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383</v>
      </c>
      <c r="B12" s="205" t="s">
        <v>384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385</v>
      </c>
      <c r="B13" s="205" t="s">
        <v>384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386</v>
      </c>
      <c r="B14" s="205" t="s">
        <v>384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387</v>
      </c>
      <c r="B15" s="205" t="s">
        <v>388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389</v>
      </c>
      <c r="B16" s="205" t="s">
        <v>390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391</v>
      </c>
      <c r="B17" s="205" t="s">
        <v>392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393</v>
      </c>
      <c r="B18" s="205" t="s">
        <v>392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394</v>
      </c>
      <c r="B19" s="205" t="s">
        <v>395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396</v>
      </c>
      <c r="B20" s="205" t="s">
        <v>397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398</v>
      </c>
      <c r="B21" s="205" t="s">
        <v>399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400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401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402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403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404</v>
      </c>
      <c r="B26" s="205" t="s">
        <v>405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406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407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408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332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334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79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338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339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334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341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409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334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410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3" width="9.26953125" style="11" customWidth="1"/>
    <col min="44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411</v>
      </c>
      <c r="H2" s="232"/>
      <c r="I2" s="205" t="s">
        <v>411</v>
      </c>
      <c r="J2" s="232"/>
      <c r="K2" s="205" t="s">
        <v>411</v>
      </c>
      <c r="L2" s="232"/>
      <c r="M2" s="205" t="s">
        <v>411</v>
      </c>
      <c r="N2" s="232"/>
      <c r="O2" s="205" t="s">
        <v>411</v>
      </c>
      <c r="P2" s="232"/>
      <c r="Q2" s="205" t="s">
        <v>411</v>
      </c>
      <c r="R2" s="232"/>
      <c r="S2" s="205" t="s">
        <v>411</v>
      </c>
      <c r="T2" s="232"/>
      <c r="U2" s="205" t="s">
        <v>411</v>
      </c>
      <c r="V2" s="232"/>
      <c r="W2" s="205" t="s">
        <v>411</v>
      </c>
      <c r="X2" s="43"/>
      <c r="Y2" s="205" t="s">
        <v>411</v>
      </c>
      <c r="Z2" s="43"/>
      <c r="AA2" s="205" t="s">
        <v>411</v>
      </c>
      <c r="AB2" s="43"/>
      <c r="AC2" s="205" t="s">
        <v>411</v>
      </c>
      <c r="AD2" s="43"/>
      <c r="AE2" s="205" t="s">
        <v>411</v>
      </c>
      <c r="AF2" s="43"/>
    </row>
    <row r="3" spans="1:32" s="25" customFormat="1">
      <c r="A3" s="205" t="s">
        <v>266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360</v>
      </c>
    </row>
    <row r="4" spans="1:32">
      <c r="A4" s="205" t="s">
        <v>412</v>
      </c>
      <c r="B4" s="205" t="s">
        <v>413</v>
      </c>
      <c r="C4" s="205" t="s">
        <v>269</v>
      </c>
      <c r="D4" s="205" t="s">
        <v>270</v>
      </c>
      <c r="E4" s="205" t="s">
        <v>272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363</v>
      </c>
    </row>
    <row r="5" spans="1:32">
      <c r="A5" s="205" t="s">
        <v>414</v>
      </c>
      <c r="B5" s="205" t="s">
        <v>415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416</v>
      </c>
      <c r="B6" s="205" t="s">
        <v>417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418</v>
      </c>
      <c r="B7" s="205" t="s">
        <v>419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420</v>
      </c>
      <c r="B8" s="205" t="s">
        <v>421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422</v>
      </c>
      <c r="B9" s="205" t="s">
        <v>423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424</v>
      </c>
      <c r="B10" s="205" t="s">
        <v>425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426</v>
      </c>
      <c r="B11" s="205" t="s">
        <v>427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428</v>
      </c>
      <c r="B12" s="205" t="s">
        <v>429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430</v>
      </c>
      <c r="B13" s="267" t="s">
        <v>431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432</v>
      </c>
      <c r="B14" s="205" t="s">
        <v>433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434</v>
      </c>
      <c r="B15" s="205" t="s">
        <v>435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436</v>
      </c>
      <c r="B16" s="205" t="s">
        <v>437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438</v>
      </c>
      <c r="B17" s="205" t="s">
        <v>439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440</v>
      </c>
      <c r="B18" s="205" t="s">
        <v>441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442</v>
      </c>
      <c r="B19" s="205" t="s">
        <v>443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444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444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445</v>
      </c>
      <c r="B22" s="46" t="s">
        <v>444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79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335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338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339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446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341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409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334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410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447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448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449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450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129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451</v>
      </c>
      <c r="P3" s="43"/>
      <c r="Q3" s="43"/>
      <c r="R3" s="43"/>
      <c r="S3" s="43"/>
      <c r="T3" s="43"/>
    </row>
    <row r="4" spans="1:20" s="37" customFormat="1">
      <c r="A4" s="67" t="s">
        <v>452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453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454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455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456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457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458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459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460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461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462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209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463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96</v>
      </c>
      <c r="B23" s="68">
        <v>-1540999</v>
      </c>
      <c r="C23" s="50">
        <f t="shared" ref="C23:N23" si="2">-(C43-B43)</f>
        <v>-531057.55577067658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1093900.9705451131</v>
      </c>
      <c r="G23" s="50">
        <f t="shared" si="2"/>
        <v>1641513.7493984955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211</v>
      </c>
      <c r="B24" s="68">
        <v>-1540999</v>
      </c>
      <c r="C24" s="136">
        <f t="shared" ref="C24:N24" si="3">SUM(C19:C23)</f>
        <v>-531057.55577067658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1093900.9705451131</v>
      </c>
      <c r="G24" s="136">
        <f t="shared" si="3"/>
        <v>1641513.7493984955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455</v>
      </c>
      <c r="B26" s="140">
        <v>-1540999</v>
      </c>
      <c r="C26" s="141">
        <f t="shared" ref="C26:N26" si="4">C24+C16+C8</f>
        <v>-531057.55577067658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1093900.9705451131</v>
      </c>
      <c r="G26" s="141">
        <f t="shared" si="4"/>
        <v>1641513.7493984955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464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465</v>
      </c>
      <c r="P29" s="43"/>
      <c r="Q29" s="43"/>
      <c r="R29" s="43"/>
      <c r="S29" s="43"/>
      <c r="T29" s="43"/>
    </row>
    <row r="30" spans="1:20" s="37" customFormat="1">
      <c r="A30" s="67" t="s">
        <v>151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466</v>
      </c>
      <c r="P30" s="43"/>
      <c r="Q30" s="43"/>
      <c r="R30" s="43"/>
      <c r="S30" s="43"/>
      <c r="T30" s="43"/>
    </row>
    <row r="31" spans="1:20" s="37" customFormat="1">
      <c r="A31" s="67" t="s">
        <v>152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84</v>
      </c>
      <c r="P31" s="43"/>
      <c r="Q31" s="43"/>
      <c r="R31" s="43"/>
      <c r="S31" s="43"/>
      <c r="T31" s="43"/>
    </row>
    <row r="32" spans="1:20" s="37" customFormat="1">
      <c r="A32" s="67" t="s">
        <v>467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468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86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469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97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96</v>
      </c>
      <c r="B43" s="50">
        <f>registry!B106</f>
        <v>1540999</v>
      </c>
      <c r="C43" s="50">
        <f>registry!C106</f>
        <v>2072056.5557706766</v>
      </c>
      <c r="D43" s="50">
        <f>registry!D106</f>
        <v>2528962.1115413532</v>
      </c>
      <c r="E43" s="50">
        <f>registry!E106</f>
        <v>2735414.7199436086</v>
      </c>
      <c r="F43" s="50">
        <f>registry!F106</f>
        <v>1641513.7493984955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98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470</v>
      </c>
      <c r="B45" s="140">
        <v>3570254</v>
      </c>
      <c r="C45" s="194">
        <f t="shared" ref="C45:N45" si="8">SUM(C39:C44)</f>
        <v>4252788.9307706766</v>
      </c>
      <c r="D45" s="194">
        <f t="shared" si="8"/>
        <v>5986171.8615413532</v>
      </c>
      <c r="E45" s="194">
        <f t="shared" si="8"/>
        <v>4752346.8449436091</v>
      </c>
      <c r="F45" s="194">
        <f t="shared" si="8"/>
        <v>4042423.249398496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471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472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473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474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84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475</v>
      </c>
      <c r="B52" s="50">
        <f t="shared" ref="B52:N52" si="12">B51-B43</f>
        <v>8783256</v>
      </c>
      <c r="C52" s="50">
        <f t="shared" si="12"/>
        <v>1066753.5692293234</v>
      </c>
      <c r="D52" s="50">
        <f t="shared" si="12"/>
        <v>449403.13845864683</v>
      </c>
      <c r="E52" s="50">
        <f t="shared" si="12"/>
        <v>945005.65505639138</v>
      </c>
      <c r="F52" s="50">
        <f t="shared" si="12"/>
        <v>2647311.7506015045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476</v>
      </c>
      <c r="B53" s="54">
        <f t="shared" ref="B53:N53" si="13">B43/B51</f>
        <v>0.14926006767558531</v>
      </c>
      <c r="C53" s="54">
        <f t="shared" si="13"/>
        <v>0.66014077731786236</v>
      </c>
      <c r="D53" s="54">
        <f t="shared" si="13"/>
        <v>0.84911080383487325</v>
      </c>
      <c r="E53" s="54">
        <f t="shared" si="13"/>
        <v>0.74323431598315959</v>
      </c>
      <c r="F53" s="54">
        <f t="shared" si="13"/>
        <v>0.38274202328784312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477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129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478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479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480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481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482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483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484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485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486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137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487</v>
      </c>
      <c r="B2" s="278" t="s">
        <v>129</v>
      </c>
      <c r="C2" s="278" t="s">
        <v>130</v>
      </c>
      <c r="D2" s="278" t="s">
        <v>131</v>
      </c>
      <c r="E2" s="278" t="s">
        <v>132</v>
      </c>
      <c r="F2" s="278" t="s">
        <v>129</v>
      </c>
      <c r="G2" s="278" t="s">
        <v>130</v>
      </c>
      <c r="H2" s="278" t="s">
        <v>131</v>
      </c>
      <c r="I2" s="278" t="s">
        <v>132</v>
      </c>
      <c r="J2" s="278" t="s">
        <v>129</v>
      </c>
      <c r="K2" s="278" t="s">
        <v>129</v>
      </c>
      <c r="L2" s="278" t="s">
        <v>129</v>
      </c>
      <c r="M2" s="278" t="s">
        <v>129</v>
      </c>
      <c r="N2" s="278" t="s">
        <v>129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488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489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490</v>
      </c>
      <c r="P4" s="69"/>
      <c r="Q4" s="111"/>
      <c r="R4" s="43"/>
      <c r="S4" s="59"/>
      <c r="T4" s="43"/>
      <c r="U4" s="43"/>
    </row>
    <row r="5" spans="1:21">
      <c r="A5" s="284" t="s">
        <v>491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492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493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494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495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496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497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498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499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500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501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502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259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503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504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505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506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507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508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509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259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455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510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511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512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513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514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515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516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517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518</v>
      </c>
      <c r="Q37" s="77">
        <v>0.03</v>
      </c>
      <c r="R37" s="43"/>
      <c r="S37" s="43"/>
      <c r="T37" s="43"/>
      <c r="U37" s="43"/>
    </row>
    <row r="38" spans="1:21">
      <c r="A38" s="56" t="s">
        <v>519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520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521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522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523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524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525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526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527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528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529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530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531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532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533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534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535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536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537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538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539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540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541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542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543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544</v>
      </c>
      <c r="C65" s="232"/>
      <c r="D65" s="303"/>
      <c r="E65" s="303"/>
      <c r="F65" s="43"/>
      <c r="G65" s="205" t="s">
        <v>545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546</v>
      </c>
      <c r="C66" s="211">
        <v>0.12</v>
      </c>
      <c r="D66" s="232"/>
      <c r="E66" s="232"/>
      <c r="F66" s="43"/>
      <c r="G66" s="205" t="s">
        <v>546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547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548</v>
      </c>
      <c r="C68" s="305">
        <v>1000000</v>
      </c>
      <c r="D68" s="303">
        <f>C68</f>
        <v>1000000</v>
      </c>
      <c r="E68" s="232"/>
      <c r="F68" s="43"/>
      <c r="G68" s="205" t="s">
        <v>549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550</v>
      </c>
      <c r="C69" s="306">
        <f>+C68*12%</f>
        <v>120000</v>
      </c>
      <c r="D69" s="232"/>
      <c r="E69" s="232"/>
      <c r="F69" s="43"/>
      <c r="G69" s="205" t="s">
        <v>551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552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552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553</v>
      </c>
      <c r="H72" s="95" t="s">
        <v>554</v>
      </c>
      <c r="I72" s="43"/>
      <c r="J72" s="95" t="s">
        <v>554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550</v>
      </c>
      <c r="C73" s="306">
        <f>C71*B75*12%</f>
        <v>79272.328767123297</v>
      </c>
      <c r="D73" s="232"/>
      <c r="E73" s="309" t="s">
        <v>555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556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557</v>
      </c>
      <c r="H78" s="95" t="s">
        <v>554</v>
      </c>
      <c r="I78" s="43"/>
      <c r="J78" s="95" t="s">
        <v>554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550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552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558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559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560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79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552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550</v>
      </c>
      <c r="C88" s="305">
        <v>121474.62838356161</v>
      </c>
      <c r="D88" s="232"/>
      <c r="E88" s="309" t="s">
        <v>561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562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563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564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565</v>
      </c>
      <c r="B2" s="278" t="s">
        <v>129</v>
      </c>
      <c r="C2" s="278" t="s">
        <v>130</v>
      </c>
      <c r="D2" s="278" t="s">
        <v>131</v>
      </c>
      <c r="E2" s="278" t="s">
        <v>132</v>
      </c>
      <c r="F2" s="278" t="s">
        <v>129</v>
      </c>
      <c r="G2" s="278" t="s">
        <v>130</v>
      </c>
      <c r="H2" s="278" t="s">
        <v>131</v>
      </c>
      <c r="I2" s="278" t="s">
        <v>132</v>
      </c>
      <c r="J2" s="278" t="s">
        <v>129</v>
      </c>
      <c r="K2" s="278" t="s">
        <v>129</v>
      </c>
      <c r="L2" s="278" t="s">
        <v>129</v>
      </c>
      <c r="M2" s="278" t="s">
        <v>129</v>
      </c>
      <c r="N2" s="278" t="s">
        <v>129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566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567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491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493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568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569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496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570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571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572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573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574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209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575</v>
      </c>
      <c r="B20" s="50"/>
      <c r="C20" s="50"/>
      <c r="D20" s="50"/>
      <c r="E20" s="50"/>
      <c r="F20" s="50"/>
      <c r="G20" s="67" t="s">
        <v>576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577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578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579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211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455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511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512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513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580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581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518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582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583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584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585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586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587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588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589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590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591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592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184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527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593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594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595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596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537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597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598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599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600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601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602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602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541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542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603</v>
      </c>
      <c r="B66" s="333" t="s">
        <v>129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604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605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606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607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608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609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610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611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612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613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614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615</v>
      </c>
      <c r="B2" s="337"/>
      <c r="C2" s="337"/>
      <c r="D2" s="337"/>
      <c r="E2" s="278" t="s">
        <v>129</v>
      </c>
      <c r="F2" s="278" t="s">
        <v>130</v>
      </c>
      <c r="G2" s="278" t="s">
        <v>131</v>
      </c>
      <c r="H2" s="278" t="s">
        <v>132</v>
      </c>
      <c r="I2" s="278" t="s">
        <v>129</v>
      </c>
      <c r="J2" s="278" t="s">
        <v>130</v>
      </c>
      <c r="K2" s="278" t="s">
        <v>131</v>
      </c>
      <c r="L2" s="278" t="s">
        <v>132</v>
      </c>
      <c r="M2" s="278" t="s">
        <v>129</v>
      </c>
      <c r="N2" s="278" t="s">
        <v>129</v>
      </c>
      <c r="O2" s="278" t="s">
        <v>129</v>
      </c>
      <c r="P2" s="278" t="s">
        <v>129</v>
      </c>
      <c r="Q2" s="278" t="s">
        <v>129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488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616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567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617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618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491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493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568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569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496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570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571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457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498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619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620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621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259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463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622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623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624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625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626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627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628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455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511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512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513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580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629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630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631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632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633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634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635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636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518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637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638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639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640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641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642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643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644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645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527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646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528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647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648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649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650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651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534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652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653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537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654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261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655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656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657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658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659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660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661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662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663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664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665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666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667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668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669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670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238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541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542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671</v>
      </c>
      <c r="N90" s="366">
        <f>SUM(N97:N100)</f>
        <v>10847000</v>
      </c>
      <c r="O90" s="367">
        <f>+N90*(1+$B$105)^((N93-D92)/365)</f>
        <v>24292992.068343677</v>
      </c>
      <c r="P90" s="46" t="s">
        <v>672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673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674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675</v>
      </c>
      <c r="P92" s="46" t="s">
        <v>676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677</v>
      </c>
      <c r="B94" s="43"/>
      <c r="C94" s="46" t="s">
        <v>678</v>
      </c>
      <c r="D94" s="62"/>
      <c r="E94" s="96" t="s">
        <v>130</v>
      </c>
      <c r="F94" s="96" t="s">
        <v>131</v>
      </c>
      <c r="G94" s="96" t="s">
        <v>132</v>
      </c>
      <c r="H94" s="96" t="s">
        <v>129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679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680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681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682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683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684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685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686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550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687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688</v>
      </c>
      <c r="B104" s="310">
        <v>46732</v>
      </c>
      <c r="C104" s="46" t="s">
        <v>689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690</v>
      </c>
      <c r="B105" s="105">
        <v>0.22</v>
      </c>
      <c r="C105" s="46" t="s">
        <v>546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142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691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692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693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259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692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693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259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694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695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384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696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697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698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384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696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697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259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145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699</v>
      </c>
      <c r="B2" s="375" t="s">
        <v>129</v>
      </c>
      <c r="C2" s="375" t="s">
        <v>130</v>
      </c>
      <c r="D2" s="375" t="s">
        <v>131</v>
      </c>
      <c r="E2" s="375" t="s">
        <v>132</v>
      </c>
      <c r="F2" s="375" t="s">
        <v>129</v>
      </c>
      <c r="G2" s="375" t="s">
        <v>130</v>
      </c>
      <c r="H2" s="375" t="s">
        <v>131</v>
      </c>
      <c r="I2" s="375" t="s">
        <v>132</v>
      </c>
      <c r="J2" s="375" t="s">
        <v>129</v>
      </c>
      <c r="K2" s="375" t="s">
        <v>129</v>
      </c>
      <c r="L2" s="375" t="s">
        <v>129</v>
      </c>
      <c r="M2" s="375" t="s">
        <v>129</v>
      </c>
      <c r="N2" s="375" t="s">
        <v>129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566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567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700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491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701</v>
      </c>
      <c r="P6" s="78">
        <v>0.09</v>
      </c>
      <c r="Q6" s="321"/>
      <c r="R6" s="43"/>
      <c r="S6" s="43"/>
      <c r="T6" s="43"/>
      <c r="U6" s="43"/>
    </row>
    <row r="7" spans="1:21">
      <c r="A7" s="46" t="s">
        <v>493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568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569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496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570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571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457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702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618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703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704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705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259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463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706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707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708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709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259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455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511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512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513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580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710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581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518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711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712</v>
      </c>
      <c r="Q37" s="310">
        <v>46568</v>
      </c>
      <c r="R37" s="50"/>
      <c r="S37" s="50"/>
      <c r="T37" s="50"/>
      <c r="U37" s="50"/>
    </row>
    <row r="38" spans="1:21">
      <c r="A38" s="56" t="s">
        <v>713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714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715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716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586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717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718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596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589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590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591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592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719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527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646</v>
      </c>
      <c r="P53" s="50"/>
      <c r="Q53" s="50"/>
      <c r="R53" s="50"/>
      <c r="S53" s="50"/>
      <c r="T53" s="50"/>
      <c r="U53" s="64"/>
    </row>
    <row r="54" spans="1:21">
      <c r="A54" s="56" t="s">
        <v>720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537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721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597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722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598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599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600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601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723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724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725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602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541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542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726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727</v>
      </c>
      <c r="P74" s="50"/>
      <c r="Q74" s="59"/>
      <c r="R74" s="321"/>
      <c r="S74" s="321"/>
      <c r="T74" s="321"/>
      <c r="U74" s="59"/>
    </row>
    <row r="75" spans="1:21">
      <c r="A75" s="101" t="s">
        <v>728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603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604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605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139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729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608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610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611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612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613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730</v>
      </c>
      <c r="H98" s="43"/>
      <c r="I98" s="377">
        <v>0.4</v>
      </c>
      <c r="J98" s="46" t="s">
        <v>731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732</v>
      </c>
      <c r="H99" s="43"/>
      <c r="I99" s="379">
        <f>+(1-I98)*E91</f>
        <v>90248924.318092078</v>
      </c>
      <c r="J99" s="46" t="s">
        <v>733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734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735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736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466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737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738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739</v>
      </c>
      <c r="B2" s="375" t="s">
        <v>129</v>
      </c>
      <c r="C2" s="375" t="s">
        <v>130</v>
      </c>
      <c r="D2" s="375" t="s">
        <v>131</v>
      </c>
      <c r="E2" s="375" t="s">
        <v>132</v>
      </c>
      <c r="F2" s="375" t="s">
        <v>129</v>
      </c>
      <c r="G2" s="375" t="s">
        <v>130</v>
      </c>
      <c r="H2" s="375" t="s">
        <v>131</v>
      </c>
      <c r="I2" s="375" t="s">
        <v>132</v>
      </c>
      <c r="J2" s="375" t="s">
        <v>129</v>
      </c>
      <c r="K2" s="375" t="s">
        <v>129</v>
      </c>
      <c r="L2" s="375" t="s">
        <v>129</v>
      </c>
      <c r="M2" s="375" t="s">
        <v>129</v>
      </c>
      <c r="N2" s="375" t="s">
        <v>129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629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567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491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568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569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496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570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571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457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740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741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742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743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744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209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463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745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746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747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748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749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211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750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511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512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513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580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751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752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753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754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755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589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756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591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757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526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758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759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760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761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762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763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764</v>
      </c>
      <c r="Q47" s="381"/>
      <c r="R47" s="381"/>
      <c r="S47" s="381"/>
      <c r="T47" s="381"/>
      <c r="U47" s="381"/>
    </row>
    <row r="48" spans="1:21" ht="15" customHeight="1">
      <c r="A48" s="56" t="s">
        <v>765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507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766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767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537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721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768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539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55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769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770</v>
      </c>
      <c r="B62" s="43"/>
      <c r="C62" s="95" t="s">
        <v>546</v>
      </c>
      <c r="D62" s="95" t="s">
        <v>771</v>
      </c>
      <c r="E62" s="95" t="s">
        <v>772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773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774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691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694</v>
      </c>
      <c r="B67" s="43"/>
      <c r="C67" s="95" t="s">
        <v>546</v>
      </c>
      <c r="D67" s="95" t="s">
        <v>771</v>
      </c>
      <c r="E67" s="95" t="s">
        <v>772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775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776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691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777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129</v>
      </c>
      <c r="C2" s="375" t="s">
        <v>130</v>
      </c>
      <c r="D2" s="375" t="s">
        <v>131</v>
      </c>
      <c r="E2" s="375" t="s">
        <v>132</v>
      </c>
      <c r="F2" s="375" t="s">
        <v>129</v>
      </c>
      <c r="G2" s="375" t="s">
        <v>130</v>
      </c>
      <c r="H2" s="375" t="s">
        <v>131</v>
      </c>
      <c r="I2" s="375" t="s">
        <v>132</v>
      </c>
      <c r="J2" s="375" t="s">
        <v>129</v>
      </c>
      <c r="K2" s="375" t="s">
        <v>129</v>
      </c>
      <c r="L2" s="375" t="s">
        <v>129</v>
      </c>
      <c r="M2" s="375" t="s">
        <v>129</v>
      </c>
      <c r="N2" s="375" t="s">
        <v>129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629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567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491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568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569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778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496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779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570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571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457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780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781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782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782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782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209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783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463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784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785</v>
      </c>
      <c r="Q19" s="120">
        <v>5</v>
      </c>
      <c r="R19" s="43"/>
      <c r="S19" s="43"/>
      <c r="T19" s="43"/>
      <c r="U19" s="43"/>
    </row>
    <row r="20" spans="1:21">
      <c r="A20" s="46" t="s">
        <v>786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787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788</v>
      </c>
      <c r="P21" s="43"/>
      <c r="Q21" s="43"/>
      <c r="R21" s="43"/>
      <c r="S21" s="43"/>
      <c r="T21" s="43"/>
      <c r="U21" s="43"/>
    </row>
    <row r="22" spans="1:21">
      <c r="A22" s="46" t="s">
        <v>789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790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779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209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455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511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512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513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580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791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792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646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768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539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55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selection activeCell="E8" sqref="E8"/>
    </sheetView>
  </sheetViews>
  <sheetFormatPr defaultRowHeight="14.5"/>
  <cols>
    <col min="1" max="1" width="23.6328125" customWidth="1"/>
    <col min="2" max="2" width="4.453125" style="424" customWidth="1"/>
    <col min="3" max="3" width="19.90625" style="418" customWidth="1"/>
    <col min="4" max="4" width="7.6328125" style="424" customWidth="1"/>
    <col min="5" max="5" width="10.26953125" customWidth="1"/>
  </cols>
  <sheetData>
    <row r="1" spans="1:57" s="426" customFormat="1">
      <c r="A1" s="427"/>
      <c r="B1" s="428"/>
      <c r="C1" s="429"/>
      <c r="D1" s="428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</row>
    <row r="2" spans="1:57">
      <c r="A2" s="430" t="s">
        <v>50</v>
      </c>
      <c r="B2" s="431"/>
      <c r="C2" s="431"/>
      <c r="D2" s="431"/>
      <c r="E2" s="432" t="s">
        <v>793</v>
      </c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4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  <c r="AW2" s="434"/>
      <c r="AX2" s="434"/>
      <c r="AY2" s="434"/>
      <c r="AZ2" s="434"/>
      <c r="BA2" s="434"/>
      <c r="BB2" s="434"/>
      <c r="BC2" s="434"/>
      <c r="BD2" s="434"/>
      <c r="BE2" s="434"/>
    </row>
    <row r="3" spans="1:57">
      <c r="A3" s="430" t="s">
        <v>128</v>
      </c>
      <c r="B3" s="431"/>
      <c r="C3" s="431"/>
      <c r="D3" s="431"/>
      <c r="E3" s="435" t="s">
        <v>793</v>
      </c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</row>
    <row r="4" spans="1:57" ht="18.5" customHeight="1">
      <c r="A4" s="427"/>
      <c r="B4" s="437" t="s">
        <v>0</v>
      </c>
      <c r="C4" s="438" t="s">
        <v>1</v>
      </c>
      <c r="D4" s="437" t="s">
        <v>2</v>
      </c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27"/>
      <c r="AZ4" s="427"/>
      <c r="BA4" s="427"/>
      <c r="BB4" s="427"/>
      <c r="BC4" s="427"/>
      <c r="BD4" s="427"/>
      <c r="BE4" s="427"/>
    </row>
    <row r="5" spans="1:57">
      <c r="A5" s="439" t="s">
        <v>794</v>
      </c>
      <c r="B5" s="440" t="s">
        <v>17</v>
      </c>
      <c r="C5" s="441" t="s">
        <v>795</v>
      </c>
      <c r="D5" s="442"/>
      <c r="E5" s="443">
        <v>0.03</v>
      </c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</row>
    <row r="6" spans="1:57">
      <c r="A6" s="427"/>
      <c r="B6" s="442"/>
      <c r="C6" s="444"/>
      <c r="D6" s="445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  <c r="AW6" s="427"/>
      <c r="AX6" s="427"/>
      <c r="AY6" s="427"/>
      <c r="AZ6" s="427"/>
      <c r="BA6" s="427"/>
      <c r="BB6" s="427"/>
      <c r="BC6" s="427"/>
      <c r="BD6" s="427"/>
      <c r="BE6" s="427"/>
    </row>
    <row r="7" spans="1:57">
      <c r="A7" s="439" t="s">
        <v>796</v>
      </c>
      <c r="B7" s="440" t="s">
        <v>17</v>
      </c>
      <c r="C7" s="441" t="s">
        <v>797</v>
      </c>
      <c r="D7" s="445"/>
      <c r="E7" s="446">
        <v>0.05</v>
      </c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</row>
    <row r="8" spans="1:57">
      <c r="A8" s="439" t="s">
        <v>798</v>
      </c>
      <c r="B8" s="440" t="s">
        <v>17</v>
      </c>
      <c r="C8" s="441" t="s">
        <v>799</v>
      </c>
      <c r="D8" s="445"/>
      <c r="E8" s="447">
        <v>0.35</v>
      </c>
      <c r="F8" s="427"/>
      <c r="G8" s="427"/>
      <c r="H8" s="427"/>
      <c r="I8" s="427"/>
      <c r="J8" s="427"/>
      <c r="K8" s="427"/>
      <c r="L8" s="427"/>
      <c r="M8" s="427"/>
      <c r="N8" s="427"/>
      <c r="O8" s="427"/>
      <c r="P8" s="427"/>
      <c r="Q8" s="427"/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</row>
    <row r="9" spans="1:57">
      <c r="A9" s="427"/>
      <c r="B9" s="427"/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</row>
    <row r="10" spans="1:57">
      <c r="A10" s="427"/>
      <c r="B10" s="427"/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27"/>
      <c r="P10" s="427"/>
      <c r="Q10" s="427"/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</row>
    <row r="11" spans="1:57">
      <c r="A11" s="427"/>
      <c r="B11" s="427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</row>
    <row r="12" spans="1:57">
      <c r="A12" s="427"/>
      <c r="B12" s="427"/>
      <c r="C12" s="427"/>
      <c r="D12" s="427"/>
      <c r="E12" s="427"/>
      <c r="F12" s="427"/>
      <c r="G12" s="427"/>
      <c r="H12" s="427"/>
      <c r="I12" s="427"/>
      <c r="J12" s="427"/>
      <c r="K12" s="427"/>
      <c r="L12" s="427"/>
      <c r="M12" s="427"/>
      <c r="N12" s="427"/>
      <c r="O12" s="427"/>
      <c r="P12" s="427"/>
      <c r="Q12" s="427"/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</row>
    <row r="13" spans="1:57">
      <c r="A13" s="427"/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</row>
    <row r="14" spans="1:57">
      <c r="A14" s="427"/>
      <c r="B14" s="427"/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</row>
    <row r="15" spans="1:57">
      <c r="A15" s="427"/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</row>
    <row r="16" spans="1:57">
      <c r="A16" s="427"/>
      <c r="B16" s="427"/>
      <c r="C16" s="427"/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</row>
    <row r="17" spans="1:57">
      <c r="A17" s="427"/>
      <c r="B17" s="427"/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</row>
    <row r="18" spans="1:57">
      <c r="A18" s="427"/>
      <c r="B18" s="427"/>
      <c r="C18" s="427"/>
      <c r="D18" s="427"/>
      <c r="E18" s="427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</row>
    <row r="19" spans="1:57">
      <c r="A19" s="427"/>
      <c r="B19" s="427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</row>
    <row r="20" spans="1:57">
      <c r="A20" s="427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</row>
    <row r="21" spans="1:57">
      <c r="A21" s="427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</row>
    <row r="22" spans="1:57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</row>
    <row r="23" spans="1:57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</row>
    <row r="24" spans="1:57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</row>
    <row r="25" spans="1:57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</row>
    <row r="26" spans="1:57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</row>
    <row r="27" spans="1:57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</row>
    <row r="28" spans="1:57">
      <c r="A28" s="427"/>
      <c r="B28" s="427"/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</row>
    <row r="29" spans="1:57">
      <c r="A29" s="427"/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</row>
    <row r="30" spans="1:57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</row>
    <row r="31" spans="1:57">
      <c r="A31" s="427"/>
      <c r="B31" s="427"/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</row>
    <row r="32" spans="1:57">
      <c r="A32" s="427"/>
      <c r="B32" s="427"/>
      <c r="C32" s="427"/>
      <c r="D32" s="427"/>
      <c r="E32" s="427"/>
      <c r="F32" s="427"/>
      <c r="G32" s="427"/>
      <c r="H32" s="427"/>
      <c r="I32" s="427"/>
      <c r="J32" s="427"/>
      <c r="K32" s="427"/>
      <c r="L32" s="427"/>
      <c r="M32" s="427"/>
      <c r="N32" s="427"/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</row>
    <row r="33" spans="1:57">
      <c r="A33" s="427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</row>
    <row r="34" spans="1:57">
      <c r="A34" s="427"/>
      <c r="B34" s="427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</row>
    <row r="35" spans="1:57">
      <c r="A35" s="427"/>
      <c r="B35" s="427"/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427"/>
      <c r="N35" s="427"/>
      <c r="O35" s="427"/>
      <c r="P35" s="427"/>
      <c r="Q35" s="427"/>
      <c r="R35" s="427"/>
      <c r="S35" s="427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</row>
    <row r="36" spans="1:57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</row>
    <row r="37" spans="1:57">
      <c r="A37" s="427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</row>
    <row r="38" spans="1:57">
      <c r="A38" s="427"/>
      <c r="B38" s="427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</row>
    <row r="39" spans="1:57">
      <c r="A39" s="427"/>
      <c r="B39" s="427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</row>
    <row r="40" spans="1:57">
      <c r="A40" s="427"/>
      <c r="B40" s="427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</row>
    <row r="41" spans="1:57">
      <c r="A41" s="427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</row>
    <row r="42" spans="1:57">
      <c r="A42" s="427"/>
      <c r="B42" s="427"/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</row>
    <row r="43" spans="1:57">
      <c r="A43" s="427"/>
      <c r="B43" s="427"/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</row>
    <row r="44" spans="1:57">
      <c r="A44" s="427"/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</row>
    <row r="45" spans="1:57">
      <c r="A45" s="427"/>
      <c r="B45" s="427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</row>
    <row r="46" spans="1:57">
      <c r="A46" s="427"/>
      <c r="B46" s="427"/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7"/>
      <c r="N46" s="427"/>
      <c r="O46" s="427"/>
      <c r="P46" s="427"/>
      <c r="Q46" s="427"/>
      <c r="R46" s="427"/>
      <c r="S46" s="427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</row>
    <row r="47" spans="1:57">
      <c r="A47" s="427"/>
      <c r="B47" s="427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</row>
    <row r="48" spans="1:57">
      <c r="A48" s="427"/>
      <c r="B48" s="427"/>
      <c r="C48" s="427"/>
      <c r="D48" s="427"/>
      <c r="E48" s="427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</row>
    <row r="49" spans="1:57">
      <c r="A49" s="427"/>
      <c r="B49" s="427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 s="427"/>
      <c r="BA49" s="427"/>
      <c r="BB49" s="427"/>
      <c r="BC49" s="427"/>
      <c r="BD49" s="427"/>
      <c r="BE49" s="427"/>
    </row>
    <row r="50" spans="1:57">
      <c r="A50" s="427"/>
      <c r="B50" s="427"/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</row>
    <row r="51" spans="1:57">
      <c r="A51" s="427"/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</row>
    <row r="52" spans="1:57">
      <c r="A52" s="427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</row>
    <row r="53" spans="1:57">
      <c r="A53" s="427"/>
      <c r="B53" s="427"/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</row>
    <row r="54" spans="1:57">
      <c r="A54" s="427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</row>
    <row r="55" spans="1:57">
      <c r="A55" s="427"/>
      <c r="B55" s="427"/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</row>
    <row r="56" spans="1:57">
      <c r="A56" s="427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</row>
    <row r="57" spans="1:57">
      <c r="A57" s="427"/>
      <c r="B57" s="427"/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</row>
    <row r="58" spans="1:57">
      <c r="A58" s="427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7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</row>
    <row r="59" spans="1:57">
      <c r="A59" s="427"/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</row>
    <row r="60" spans="1:57">
      <c r="A60" s="427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</row>
    <row r="61" spans="1:57">
      <c r="A61" s="427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</row>
    <row r="62" spans="1:57">
      <c r="A62" s="427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</row>
    <row r="63" spans="1:57">
      <c r="A63" s="427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</row>
    <row r="64" spans="1:57">
      <c r="A64" s="427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7"/>
      <c r="R64" s="427"/>
      <c r="S64" s="427"/>
      <c r="T64" s="427"/>
      <c r="U64" s="427"/>
      <c r="V64" s="427"/>
      <c r="W64" s="427"/>
      <c r="X64" s="427"/>
      <c r="Y64" s="427"/>
      <c r="Z64" s="427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</row>
    <row r="65" spans="1:57">
      <c r="A65" s="427"/>
      <c r="B65" s="427"/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</row>
    <row r="66" spans="1:57">
      <c r="A66" s="427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</row>
    <row r="67" spans="1:57">
      <c r="A67" s="427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7"/>
      <c r="O67" s="427"/>
      <c r="P67" s="427"/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</row>
    <row r="68" spans="1:57">
      <c r="A68" s="427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</row>
    <row r="69" spans="1:57">
      <c r="A69" s="427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</row>
    <row r="70" spans="1:57">
      <c r="A70" s="427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</row>
    <row r="71" spans="1:57">
      <c r="A71" s="427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</row>
    <row r="72" spans="1:57">
      <c r="A72" s="427"/>
      <c r="B72" s="427"/>
      <c r="C72" s="427"/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427"/>
      <c r="W72" s="427"/>
      <c r="X72" s="427"/>
      <c r="Y72" s="427"/>
      <c r="Z72" s="427"/>
      <c r="AA72" s="427"/>
      <c r="AB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</row>
    <row r="73" spans="1:57">
      <c r="A73" s="427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7"/>
      <c r="Q73" s="427"/>
      <c r="R73" s="427"/>
      <c r="S73" s="427"/>
      <c r="T73" s="427"/>
      <c r="U73" s="427"/>
      <c r="V73" s="427"/>
      <c r="W73" s="427"/>
      <c r="X73" s="427"/>
      <c r="Y73" s="427"/>
      <c r="Z73" s="427"/>
      <c r="AA73" s="427"/>
      <c r="AB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</row>
    <row r="74" spans="1:57">
      <c r="A74" s="427"/>
      <c r="B74" s="427"/>
      <c r="C74" s="427"/>
      <c r="D74" s="427"/>
      <c r="E74" s="427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7"/>
      <c r="BE74" s="427"/>
    </row>
    <row r="75" spans="1:57">
      <c r="A75" s="427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7"/>
      <c r="BE75" s="427"/>
    </row>
    <row r="76" spans="1:57">
      <c r="A76" s="427"/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7"/>
      <c r="BE76" s="427"/>
    </row>
    <row r="77" spans="1:57">
      <c r="A77" s="427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7"/>
      <c r="Q77" s="427"/>
      <c r="R77" s="427"/>
      <c r="S77" s="427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AZ77" s="427"/>
      <c r="BA77" s="427"/>
      <c r="BB77" s="427"/>
      <c r="BC77" s="427"/>
      <c r="BD77" s="427"/>
      <c r="BE77" s="427"/>
    </row>
    <row r="78" spans="1:57">
      <c r="A78" s="427"/>
      <c r="B78" s="427"/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7"/>
      <c r="BE78" s="427"/>
    </row>
    <row r="79" spans="1:57">
      <c r="A79" s="427"/>
      <c r="B79" s="427"/>
      <c r="C79" s="427"/>
      <c r="D79" s="427"/>
      <c r="E79" s="427"/>
      <c r="F79" s="427"/>
      <c r="G79" s="427"/>
      <c r="H79" s="427"/>
      <c r="I79" s="427"/>
      <c r="J79" s="427"/>
      <c r="K79" s="427"/>
      <c r="L79" s="427"/>
      <c r="M79" s="427"/>
      <c r="N79" s="427"/>
      <c r="O79" s="427"/>
      <c r="P79" s="427"/>
      <c r="Q79" s="427"/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</row>
    <row r="80" spans="1:57">
      <c r="A80" s="427"/>
      <c r="B80" s="427"/>
      <c r="C80" s="427"/>
      <c r="D80" s="427"/>
      <c r="E80" s="427"/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</row>
    <row r="81" spans="1:57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</row>
    <row r="82" spans="1:57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</row>
    <row r="83" spans="1:57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</row>
    <row r="84" spans="1:57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</row>
    <row r="85" spans="1:57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</row>
    <row r="86" spans="1:57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</row>
    <row r="87" spans="1:57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</row>
    <row r="88" spans="1:57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</row>
    <row r="89" spans="1:57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</row>
    <row r="90" spans="1:57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</row>
    <row r="91" spans="1:57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</row>
    <row r="92" spans="1:57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</row>
    <row r="93" spans="1:57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</row>
    <row r="94" spans="1:57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</row>
    <row r="95" spans="1:57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</row>
    <row r="96" spans="1:57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</row>
    <row r="97" spans="1:57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</row>
    <row r="98" spans="1:57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</row>
    <row r="99" spans="1:57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</row>
    <row r="100" spans="1:57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</row>
    <row r="101" spans="1:57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</row>
    <row r="102" spans="1:57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</row>
    <row r="103" spans="1:57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</row>
    <row r="104" spans="1:57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</row>
    <row r="105" spans="1:57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</row>
    <row r="106" spans="1:57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</row>
    <row r="107" spans="1:57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</row>
    <row r="108" spans="1:57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</row>
    <row r="109" spans="1:57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</row>
    <row r="110" spans="1:57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</row>
    <row r="111" spans="1:57">
      <c r="A111" s="427"/>
      <c r="B111" s="427"/>
      <c r="C111" s="427"/>
      <c r="D111" s="427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</row>
    <row r="112" spans="1:57">
      <c r="A112" s="427"/>
      <c r="B112" s="448"/>
      <c r="C112" s="427"/>
      <c r="D112" s="448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</row>
    <row r="113" spans="1:57">
      <c r="A113" s="427"/>
      <c r="B113" s="448"/>
      <c r="C113" s="427"/>
      <c r="D113" s="448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</row>
    <row r="114" spans="1:57">
      <c r="A114" s="427"/>
      <c r="B114" s="448"/>
      <c r="C114" s="427"/>
      <c r="D114" s="448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</row>
    <row r="115" spans="1:57">
      <c r="A115" s="427"/>
      <c r="B115" s="448"/>
      <c r="C115" s="427"/>
      <c r="D115" s="448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</row>
    <row r="116" spans="1:57">
      <c r="A116" s="427"/>
      <c r="B116" s="448"/>
      <c r="C116" s="427"/>
      <c r="D116" s="448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</row>
    <row r="117" spans="1:57">
      <c r="A117" s="427"/>
      <c r="B117" s="448"/>
      <c r="C117" s="427"/>
      <c r="D117" s="448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</row>
    <row r="118" spans="1:57">
      <c r="A118" s="427"/>
      <c r="B118" s="448"/>
      <c r="C118" s="427"/>
      <c r="D118" s="448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</row>
    <row r="119" spans="1:57">
      <c r="A119" s="427"/>
      <c r="B119" s="448"/>
      <c r="C119" s="427"/>
      <c r="D119" s="448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</row>
    <row r="120" spans="1:57">
      <c r="A120" s="427"/>
      <c r="B120" s="448"/>
      <c r="C120" s="427"/>
      <c r="D120" s="448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</row>
    <row r="121" spans="1:57">
      <c r="A121" s="427"/>
      <c r="B121" s="448"/>
      <c r="C121" s="427"/>
      <c r="D121" s="448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</row>
    <row r="122" spans="1:57">
      <c r="A122" s="427"/>
      <c r="B122" s="448"/>
      <c r="C122" s="427"/>
      <c r="D122" s="448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</row>
    <row r="123" spans="1:57">
      <c r="A123" s="427"/>
      <c r="B123" s="448"/>
      <c r="C123" s="427"/>
      <c r="D123" s="448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</row>
    <row r="124" spans="1:57">
      <c r="A124" s="427"/>
      <c r="B124" s="448"/>
      <c r="C124" s="427"/>
      <c r="D124" s="448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</row>
    <row r="125" spans="1:57">
      <c r="A125" s="427"/>
      <c r="B125" s="448"/>
      <c r="C125" s="427"/>
      <c r="D125" s="448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</row>
    <row r="126" spans="1:57">
      <c r="A126" s="427"/>
      <c r="B126" s="448"/>
      <c r="C126" s="427"/>
      <c r="D126" s="448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</row>
    <row r="127" spans="1:57">
      <c r="A127" s="427"/>
      <c r="B127" s="448"/>
      <c r="C127" s="427"/>
      <c r="D127" s="448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</row>
    <row r="128" spans="1:57">
      <c r="A128" s="427"/>
      <c r="B128" s="448"/>
      <c r="C128" s="427"/>
      <c r="D128" s="448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</row>
    <row r="129" spans="1:57">
      <c r="A129" s="427"/>
      <c r="B129" s="448"/>
      <c r="C129" s="427"/>
      <c r="D129" s="448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</row>
    <row r="130" spans="1:57">
      <c r="A130" s="427"/>
      <c r="B130" s="448"/>
      <c r="C130" s="427"/>
      <c r="D130" s="448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</row>
    <row r="131" spans="1:57">
      <c r="A131" s="427"/>
      <c r="B131" s="448"/>
      <c r="C131" s="427"/>
      <c r="D131" s="448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</row>
    <row r="132" spans="1:57">
      <c r="A132" s="427"/>
      <c r="B132" s="448"/>
      <c r="C132" s="427"/>
      <c r="D132" s="448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</row>
    <row r="133" spans="1:57">
      <c r="A133" s="427"/>
      <c r="B133" s="448"/>
      <c r="C133" s="427"/>
      <c r="D133" s="448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</row>
    <row r="134" spans="1:57">
      <c r="A134" s="427"/>
      <c r="B134" s="448"/>
      <c r="C134" s="427"/>
      <c r="D134" s="448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</row>
    <row r="135" spans="1:57">
      <c r="A135" s="427"/>
      <c r="B135" s="448"/>
      <c r="C135" s="427"/>
      <c r="D135" s="448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</row>
    <row r="136" spans="1:57">
      <c r="A136" s="427"/>
      <c r="B136" s="448"/>
      <c r="C136" s="427"/>
      <c r="D136" s="448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</row>
    <row r="137" spans="1:57">
      <c r="A137" s="427"/>
      <c r="B137" s="448"/>
      <c r="C137" s="427"/>
      <c r="D137" s="448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</row>
    <row r="138" spans="1:57">
      <c r="A138" s="427"/>
      <c r="B138" s="448"/>
      <c r="C138" s="427"/>
      <c r="D138" s="448"/>
      <c r="E138" s="427"/>
      <c r="F138" s="427"/>
      <c r="G138" s="427"/>
      <c r="H138" s="427"/>
      <c r="I138" s="427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</row>
    <row r="139" spans="1:57">
      <c r="A139" s="427"/>
      <c r="B139" s="448"/>
      <c r="C139" s="427"/>
      <c r="D139" s="448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</row>
    <row r="140" spans="1:57">
      <c r="A140" s="427"/>
      <c r="B140" s="448"/>
      <c r="C140" s="427"/>
      <c r="D140" s="448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</row>
    <row r="141" spans="1:57">
      <c r="A141" s="427"/>
      <c r="B141" s="448"/>
      <c r="C141" s="427"/>
      <c r="D141" s="448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</row>
    <row r="142" spans="1:57">
      <c r="A142" s="427"/>
      <c r="B142" s="448"/>
      <c r="C142" s="427"/>
      <c r="D142" s="448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</row>
    <row r="143" spans="1:57">
      <c r="A143" s="427"/>
      <c r="B143" s="448"/>
      <c r="C143" s="427"/>
      <c r="D143" s="448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</row>
    <row r="144" spans="1:57">
      <c r="A144" s="427"/>
      <c r="B144" s="448"/>
      <c r="C144" s="427"/>
      <c r="D144" s="448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</row>
    <row r="145" spans="1:57">
      <c r="A145" s="427"/>
      <c r="B145" s="448"/>
      <c r="C145" s="427"/>
      <c r="D145" s="448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</row>
    <row r="146" spans="1:57">
      <c r="A146" s="427"/>
      <c r="B146" s="448"/>
      <c r="C146" s="427"/>
      <c r="D146" s="448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</row>
    <row r="147" spans="1:57">
      <c r="A147" s="427"/>
      <c r="B147" s="448"/>
      <c r="C147" s="427"/>
      <c r="D147" s="448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</row>
    <row r="148" spans="1:57">
      <c r="A148" s="427"/>
      <c r="B148" s="448"/>
      <c r="C148" s="427"/>
      <c r="D148" s="448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AZ148" s="427"/>
      <c r="BA148" s="427"/>
      <c r="BB148" s="427"/>
      <c r="BC148" s="427"/>
      <c r="BD148" s="427"/>
      <c r="BE148" s="427"/>
    </row>
    <row r="149" spans="1:57">
      <c r="A149" s="427"/>
      <c r="B149" s="448"/>
      <c r="C149" s="427"/>
      <c r="D149" s="448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</row>
    <row r="150" spans="1:57">
      <c r="A150" s="427"/>
      <c r="B150" s="448"/>
      <c r="C150" s="427"/>
      <c r="D150" s="448"/>
      <c r="E150" s="427"/>
      <c r="F150" s="427"/>
      <c r="G150" s="427"/>
      <c r="H150" s="427"/>
      <c r="I150" s="427"/>
      <c r="J150" s="427"/>
      <c r="K150" s="427"/>
      <c r="L150" s="427"/>
      <c r="M150" s="427"/>
      <c r="N150" s="427"/>
      <c r="O150" s="427"/>
      <c r="P150" s="427"/>
      <c r="Q150" s="427"/>
      <c r="R150" s="427"/>
      <c r="S150" s="427"/>
      <c r="T150" s="427"/>
      <c r="U150" s="427"/>
      <c r="V150" s="427"/>
      <c r="W150" s="427"/>
      <c r="X150" s="427"/>
      <c r="Y150" s="427"/>
      <c r="Z150" s="427"/>
      <c r="AA150" s="427"/>
      <c r="AB150" s="427"/>
      <c r="AC150" s="427"/>
      <c r="AD150" s="427"/>
      <c r="AE150" s="427"/>
      <c r="AF150" s="427"/>
      <c r="AG150" s="427"/>
      <c r="AH150" s="427"/>
      <c r="AI150" s="427"/>
      <c r="AJ150" s="427"/>
      <c r="AK150" s="427"/>
      <c r="AL150" s="427"/>
      <c r="AM150" s="427"/>
      <c r="AN150" s="427"/>
      <c r="AO150" s="427"/>
      <c r="AP150" s="427"/>
      <c r="AQ150" s="427"/>
      <c r="AR150" s="427"/>
      <c r="AS150" s="427"/>
      <c r="AT150" s="427"/>
      <c r="AU150" s="427"/>
      <c r="AV150" s="427"/>
      <c r="AW150" s="427"/>
      <c r="AX150" s="427"/>
      <c r="AY150" s="427"/>
      <c r="AZ150" s="427"/>
      <c r="BA150" s="427"/>
      <c r="BB150" s="427"/>
      <c r="BC150" s="427"/>
      <c r="BD150" s="427"/>
      <c r="BE150" s="42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E147"/>
  <sheetViews>
    <sheetView showGridLines="0" zoomScale="99" zoomScaleNormal="85" workbookViewId="0">
      <pane xSplit="1" ySplit="5" topLeftCell="B64" activePane="bottomRight" state="frozen"/>
      <selection activeCell="E16" sqref="E16"/>
      <selection pane="topRight" activeCell="E16" sqref="E16"/>
      <selection pane="bottomLeft" activeCell="E16" sqref="E16"/>
      <selection pane="bottomRight" activeCell="E93" sqref="E93"/>
    </sheetView>
  </sheetViews>
  <sheetFormatPr defaultRowHeight="14.5" outlineLevelCol="1"/>
  <cols>
    <col min="1" max="1" width="43.26953125" style="5" bestFit="1" customWidth="1"/>
    <col min="2" max="2" width="4.453125" style="424" customWidth="1"/>
    <col min="3" max="3" width="19.90625" style="424" customWidth="1"/>
    <col min="4" max="4" width="21.54296875" style="424" customWidth="1"/>
    <col min="5" max="5" width="14.26953125" style="423" customWidth="1" outlineLevel="1"/>
    <col min="6" max="6" width="19.6328125" style="5" customWidth="1" outlineLevel="1"/>
    <col min="7" max="7" width="16" style="5" customWidth="1" outlineLevel="1"/>
    <col min="8" max="8" width="16.26953125" style="5" customWidth="1" outlineLevel="1"/>
    <col min="9" max="9" width="16.26953125" style="5" bestFit="1" customWidth="1"/>
    <col min="10" max="11" width="14.6328125" style="5" bestFit="1" customWidth="1"/>
    <col min="12" max="12" width="16.26953125" style="5" bestFit="1" customWidth="1"/>
    <col min="13" max="13" width="15.6328125" style="5" bestFit="1" customWidth="1"/>
    <col min="14" max="14" width="17.453125" style="5" bestFit="1" customWidth="1"/>
    <col min="15" max="15" width="15.6328125" style="5" bestFit="1" customWidth="1"/>
    <col min="16" max="16" width="16.26953125" style="5" bestFit="1" customWidth="1"/>
    <col min="17" max="17" width="17.453125" style="5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449"/>
      <c r="B1" s="449"/>
      <c r="C1" s="449"/>
      <c r="D1" s="449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27"/>
      <c r="S1" s="451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</row>
    <row r="2" spans="1:57">
      <c r="A2" s="430" t="s">
        <v>50</v>
      </c>
      <c r="B2" s="431"/>
      <c r="C2" s="431"/>
      <c r="D2" s="431"/>
      <c r="E2" s="433">
        <v>45657</v>
      </c>
      <c r="F2" s="433">
        <v>45747</v>
      </c>
      <c r="G2" s="433">
        <v>45838</v>
      </c>
      <c r="H2" s="433">
        <v>45930</v>
      </c>
      <c r="I2" s="433">
        <v>46022</v>
      </c>
      <c r="J2" s="433">
        <v>46112</v>
      </c>
      <c r="K2" s="433">
        <v>46203</v>
      </c>
      <c r="L2" s="433">
        <v>46295</v>
      </c>
      <c r="M2" s="433">
        <v>46387</v>
      </c>
      <c r="N2" s="433">
        <v>46752</v>
      </c>
      <c r="O2" s="433">
        <v>47118</v>
      </c>
      <c r="P2" s="433">
        <v>47483</v>
      </c>
      <c r="Q2" s="433">
        <v>47848</v>
      </c>
      <c r="R2" s="434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  <c r="AW2" s="434"/>
      <c r="AX2" s="434"/>
      <c r="AY2" s="434"/>
      <c r="AZ2" s="434"/>
      <c r="BA2" s="434"/>
      <c r="BB2" s="434"/>
      <c r="BC2" s="434"/>
      <c r="BD2" s="434"/>
      <c r="BE2" s="434"/>
    </row>
    <row r="3" spans="1:57">
      <c r="A3" s="430" t="s">
        <v>128</v>
      </c>
      <c r="B3" s="434"/>
      <c r="C3" s="434"/>
      <c r="D3" s="434"/>
      <c r="E3" s="436" t="s">
        <v>129</v>
      </c>
      <c r="F3" s="436" t="s">
        <v>130</v>
      </c>
      <c r="G3" s="436" t="s">
        <v>131</v>
      </c>
      <c r="H3" s="436" t="s">
        <v>132</v>
      </c>
      <c r="I3" s="436" t="s">
        <v>129</v>
      </c>
      <c r="J3" s="436" t="s">
        <v>130</v>
      </c>
      <c r="K3" s="436" t="s">
        <v>131</v>
      </c>
      <c r="L3" s="436" t="s">
        <v>132</v>
      </c>
      <c r="M3" s="436" t="s">
        <v>129</v>
      </c>
      <c r="N3" s="436" t="s">
        <v>129</v>
      </c>
      <c r="O3" s="436" t="s">
        <v>129</v>
      </c>
      <c r="P3" s="436" t="s">
        <v>129</v>
      </c>
      <c r="Q3" s="436" t="s">
        <v>129</v>
      </c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</row>
    <row r="4" spans="1:57" s="426" customFormat="1" ht="18.5" customHeight="1">
      <c r="A4" s="444"/>
      <c r="B4" s="437" t="s">
        <v>0</v>
      </c>
      <c r="C4" s="437" t="s">
        <v>1</v>
      </c>
      <c r="D4" s="437" t="s">
        <v>2</v>
      </c>
      <c r="E4" s="452"/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27"/>
      <c r="AZ4" s="427"/>
      <c r="BA4" s="427"/>
      <c r="BB4" s="427"/>
      <c r="BC4" s="427"/>
      <c r="BD4" s="427"/>
      <c r="BE4" s="427"/>
    </row>
    <row r="5" spans="1:57">
      <c r="A5" s="441" t="s">
        <v>800</v>
      </c>
      <c r="B5" s="442"/>
      <c r="C5" s="442"/>
      <c r="D5" s="442"/>
      <c r="E5" s="444"/>
      <c r="F5" s="452"/>
      <c r="G5" s="452"/>
      <c r="H5" s="452"/>
      <c r="I5" s="452"/>
      <c r="J5" s="453"/>
      <c r="K5" s="453"/>
      <c r="L5" s="453"/>
      <c r="M5" s="453"/>
      <c r="N5" s="454"/>
      <c r="O5" s="454"/>
      <c r="P5" s="454"/>
      <c r="Q5" s="454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</row>
    <row r="6" spans="1:57">
      <c r="A6" s="455" t="s">
        <v>801</v>
      </c>
      <c r="B6" s="442"/>
      <c r="C6" s="445"/>
      <c r="D6" s="445"/>
      <c r="E6" s="456"/>
      <c r="F6" s="456">
        <f>'c12_hm'!F70</f>
        <v>567056.47368421056</v>
      </c>
      <c r="G6" s="456">
        <f>'c12_hm'!G70</f>
        <v>567056.47368421056</v>
      </c>
      <c r="H6" s="456">
        <f>'c12_hm'!H70</f>
        <v>567056.47368421056</v>
      </c>
      <c r="I6" s="456">
        <f>'c12_hm'!I70</f>
        <v>466916.73684210528</v>
      </c>
      <c r="J6" s="456">
        <f>'c12_hm'!J70</f>
        <v>63035.789473684214</v>
      </c>
      <c r="K6" s="456">
        <f>'c12_hm'!K70</f>
        <v>398173.6519736842</v>
      </c>
      <c r="L6" s="456">
        <f>'c12_hm'!L70</f>
        <v>400447.33618421049</v>
      </c>
      <c r="M6" s="456">
        <f>'c12_hm'!M70</f>
        <v>662529.63026315777</v>
      </c>
      <c r="N6" s="456">
        <f>'c12_hm'!N70</f>
        <v>1158059.7503684212</v>
      </c>
      <c r="O6" s="456">
        <f>'c12_hm'!O70</f>
        <v>1728329.2744584209</v>
      </c>
      <c r="P6" s="456">
        <f>'c12_hm'!P70</f>
        <v>2694175.9822711209</v>
      </c>
      <c r="Q6" s="456">
        <f>'c12_hm'!Q70</f>
        <v>2432050.7995836935</v>
      </c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  <c r="AW6" s="427"/>
      <c r="AX6" s="427"/>
      <c r="AY6" s="427"/>
      <c r="AZ6" s="427"/>
      <c r="BA6" s="427"/>
      <c r="BB6" s="427"/>
      <c r="BC6" s="427"/>
      <c r="BD6" s="427"/>
      <c r="BE6" s="427"/>
    </row>
    <row r="7" spans="1:57">
      <c r="A7" s="455" t="s">
        <v>802</v>
      </c>
      <c r="B7" s="442"/>
      <c r="C7" s="445"/>
      <c r="D7" s="445"/>
      <c r="E7" s="456"/>
      <c r="F7" s="456">
        <f>'c12_bi&amp;F'!F70</f>
        <v>2804.2105263157891</v>
      </c>
      <c r="G7" s="456">
        <f>'c12_bi&amp;F'!G70</f>
        <v>2804.2105263157891</v>
      </c>
      <c r="H7" s="456">
        <f>'c12_bi&amp;F'!H70</f>
        <v>6063.1578947368416</v>
      </c>
      <c r="I7" s="456">
        <f>'c12_bi&amp;F'!I70</f>
        <v>8113.8157894736842</v>
      </c>
      <c r="J7" s="456">
        <f>'c12_bi&amp;F'!J70</f>
        <v>16714.736842105263</v>
      </c>
      <c r="K7" s="456">
        <f>'c12_bi&amp;F'!K70</f>
        <v>16714.736842105263</v>
      </c>
      <c r="L7" s="456">
        <f>'c12_bi&amp;F'!L70</f>
        <v>22398.947368421053</v>
      </c>
      <c r="M7" s="456">
        <f>'c12_bi&amp;F'!M70</f>
        <v>27047.105263157893</v>
      </c>
      <c r="N7" s="456">
        <f>'c12_bi&amp;F'!N70</f>
        <v>105837.63157894737</v>
      </c>
      <c r="O7" s="456">
        <f>'c12_bi&amp;F'!O70</f>
        <v>137337.63157894736</v>
      </c>
      <c r="P7" s="456">
        <f>'c12_bi&amp;F'!P70</f>
        <v>137337.63157894736</v>
      </c>
      <c r="Q7" s="456">
        <f>'c12_bi&amp;F'!Q70</f>
        <v>137337.63157894736</v>
      </c>
      <c r="R7" s="427"/>
      <c r="S7" s="451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</row>
    <row r="8" spans="1:57">
      <c r="A8" s="455" t="s">
        <v>803</v>
      </c>
      <c r="B8" s="442"/>
      <c r="C8" s="445"/>
      <c r="D8" s="445"/>
      <c r="E8" s="456"/>
      <c r="F8" s="456">
        <f>'c12_d&amp;s'!F70</f>
        <v>68839.328947368427</v>
      </c>
      <c r="G8" s="456">
        <f>'c12_d&amp;s'!G70</f>
        <v>68839.328947368427</v>
      </c>
      <c r="H8" s="456">
        <f>'c12_d&amp;s'!H70</f>
        <v>354039.32894736843</v>
      </c>
      <c r="I8" s="456">
        <f>'c12_d&amp;s'!I70</f>
        <v>462139.98684210528</v>
      </c>
      <c r="J8" s="456">
        <f>'c12_d&amp;s'!J70</f>
        <v>806580.95035087725</v>
      </c>
      <c r="K8" s="456">
        <f>'c12_d&amp;s'!K70</f>
        <v>1015405.0903508773</v>
      </c>
      <c r="L8" s="456">
        <f>'c12_d&amp;s'!L70</f>
        <v>935314.59035087726</v>
      </c>
      <c r="M8" s="456">
        <f>'c12_d&amp;s'!M70</f>
        <v>2208920.6166666662</v>
      </c>
      <c r="N8" s="456">
        <f>'c12_d&amp;s'!N70</f>
        <v>3652224.3497192976</v>
      </c>
      <c r="O8" s="456">
        <f>'c12_d&amp;s'!O70</f>
        <v>2410340.1441059648</v>
      </c>
      <c r="P8" s="456">
        <f>'c12_d&amp;s'!P70</f>
        <v>1422418.8082975647</v>
      </c>
      <c r="Q8" s="456">
        <f>'c12_d&amp;s'!Q70</f>
        <v>1408540.132414913</v>
      </c>
      <c r="R8" s="427"/>
      <c r="S8" s="451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</row>
    <row r="9" spans="1:57">
      <c r="A9" s="445"/>
      <c r="B9" s="442"/>
      <c r="C9" s="445"/>
      <c r="D9" s="445"/>
      <c r="E9" s="456"/>
      <c r="F9" s="456"/>
      <c r="G9" s="456"/>
      <c r="H9" s="456"/>
      <c r="I9" s="456"/>
      <c r="J9" s="456"/>
      <c r="K9" s="456"/>
      <c r="L9" s="456"/>
      <c r="M9" s="456"/>
      <c r="N9" s="456"/>
      <c r="O9" s="456"/>
      <c r="P9" s="456"/>
      <c r="Q9" s="456"/>
      <c r="R9" s="427"/>
      <c r="S9" s="451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</row>
    <row r="10" spans="1:57" s="417" customFormat="1" ht="14.65" customHeight="1">
      <c r="A10" s="457" t="s">
        <v>804</v>
      </c>
      <c r="B10" s="440" t="s">
        <v>805</v>
      </c>
      <c r="C10" s="440" t="s">
        <v>806</v>
      </c>
      <c r="D10" s="442"/>
      <c r="E10" s="458">
        <v>2452451</v>
      </c>
      <c r="F10" s="459">
        <f t="shared" ref="F10:Q10" si="0">SUM(F6:F9)</f>
        <v>638700.01315789483</v>
      </c>
      <c r="G10" s="459">
        <f t="shared" si="0"/>
        <v>638700.01315789483</v>
      </c>
      <c r="H10" s="459">
        <f t="shared" si="0"/>
        <v>927158.96052631584</v>
      </c>
      <c r="I10" s="459">
        <f t="shared" si="0"/>
        <v>937170.53947368427</v>
      </c>
      <c r="J10" s="459">
        <f t="shared" si="0"/>
        <v>886331.47666666668</v>
      </c>
      <c r="K10" s="459">
        <f t="shared" si="0"/>
        <v>1430293.4791666667</v>
      </c>
      <c r="L10" s="459">
        <f t="shared" si="0"/>
        <v>1358160.8739035088</v>
      </c>
      <c r="M10" s="459">
        <f t="shared" si="0"/>
        <v>2898497.3521929821</v>
      </c>
      <c r="N10" s="460">
        <f t="shared" si="0"/>
        <v>4916121.7316666665</v>
      </c>
      <c r="O10" s="460">
        <f t="shared" si="0"/>
        <v>4276007.0501433332</v>
      </c>
      <c r="P10" s="460">
        <f t="shared" si="0"/>
        <v>4253932.4221476335</v>
      </c>
      <c r="Q10" s="460">
        <f t="shared" si="0"/>
        <v>3977928.5635775542</v>
      </c>
      <c r="R10" s="439" t="s">
        <v>807</v>
      </c>
      <c r="S10" s="451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</row>
    <row r="11" spans="1:57" s="28" customFormat="1" ht="15" customHeight="1" thickTop="1">
      <c r="A11" s="453"/>
      <c r="B11" s="442"/>
      <c r="C11" s="442"/>
      <c r="D11" s="442"/>
      <c r="E11" s="444"/>
      <c r="F11" s="456"/>
      <c r="G11" s="456"/>
      <c r="H11" s="456"/>
      <c r="I11" s="456"/>
      <c r="J11" s="456"/>
      <c r="K11" s="456"/>
      <c r="L11" s="456"/>
      <c r="M11" s="456"/>
      <c r="N11" s="456"/>
      <c r="O11" s="456"/>
      <c r="P11" s="456"/>
      <c r="Q11" s="456"/>
      <c r="R11" s="427"/>
      <c r="S11" s="451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</row>
    <row r="12" spans="1:57" s="30" customFormat="1" ht="15" customHeight="1">
      <c r="A12" s="439" t="s">
        <v>808</v>
      </c>
      <c r="B12" s="461" t="s">
        <v>17</v>
      </c>
      <c r="C12" s="461" t="s">
        <v>809</v>
      </c>
      <c r="D12" s="461" t="s">
        <v>810</v>
      </c>
      <c r="E12" s="462"/>
      <c r="F12" s="463"/>
      <c r="G12" s="463"/>
      <c r="H12" s="463"/>
      <c r="I12" s="463"/>
      <c r="J12" s="464"/>
      <c r="K12" s="465"/>
      <c r="L12" s="464"/>
      <c r="M12" s="464"/>
      <c r="N12" s="462">
        <v>0</v>
      </c>
      <c r="O12" s="451"/>
      <c r="P12" s="451"/>
      <c r="Q12" s="451"/>
      <c r="R12" s="439" t="s">
        <v>811</v>
      </c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</row>
    <row r="13" spans="1:57" s="30" customFormat="1" ht="15" customHeight="1" thickBot="1">
      <c r="A13" s="439" t="s">
        <v>812</v>
      </c>
      <c r="B13" s="461" t="s">
        <v>17</v>
      </c>
      <c r="C13" s="461" t="s">
        <v>809</v>
      </c>
      <c r="D13" s="461" t="s">
        <v>813</v>
      </c>
      <c r="E13" s="462"/>
      <c r="F13" s="463"/>
      <c r="G13" s="463"/>
      <c r="H13" s="464"/>
      <c r="I13" s="464"/>
      <c r="J13" s="463"/>
      <c r="K13" s="464">
        <v>100000</v>
      </c>
      <c r="L13" s="464">
        <v>100000</v>
      </c>
      <c r="M13" s="464"/>
      <c r="N13" s="462">
        <v>100000</v>
      </c>
      <c r="O13" s="451"/>
      <c r="P13" s="451"/>
      <c r="Q13" s="462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</row>
    <row r="14" spans="1:57" s="30" customFormat="1">
      <c r="A14" s="439" t="s">
        <v>814</v>
      </c>
      <c r="B14" s="461" t="s">
        <v>17</v>
      </c>
      <c r="C14" s="461" t="s">
        <v>809</v>
      </c>
      <c r="D14" s="461" t="s">
        <v>815</v>
      </c>
      <c r="E14" s="462"/>
      <c r="F14" s="463"/>
      <c r="G14" s="463"/>
      <c r="H14" s="464"/>
      <c r="I14" s="464"/>
      <c r="J14" s="464"/>
      <c r="K14" s="464">
        <v>100000</v>
      </c>
      <c r="L14" s="463"/>
      <c r="M14" s="463"/>
      <c r="N14" s="451"/>
      <c r="O14" s="451"/>
      <c r="P14" s="451"/>
      <c r="Q14" s="451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</row>
    <row r="15" spans="1:57" s="30" customFormat="1">
      <c r="A15" s="439" t="s">
        <v>1129</v>
      </c>
      <c r="B15" s="461" t="s">
        <v>17</v>
      </c>
      <c r="C15" s="461" t="s">
        <v>809</v>
      </c>
      <c r="D15" s="461" t="s">
        <v>816</v>
      </c>
      <c r="E15" s="462"/>
      <c r="F15" s="463"/>
      <c r="G15" s="463"/>
      <c r="H15" s="463"/>
      <c r="I15" s="463"/>
      <c r="J15" s="463"/>
      <c r="K15" s="463"/>
      <c r="L15" s="463"/>
      <c r="M15" s="463"/>
      <c r="N15" s="451"/>
      <c r="O15" s="451"/>
      <c r="P15" s="451"/>
      <c r="Q15" s="451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</row>
    <row r="16" spans="1:57" s="30" customFormat="1">
      <c r="A16" s="439" t="s">
        <v>1130</v>
      </c>
      <c r="B16" s="461" t="s">
        <v>17</v>
      </c>
      <c r="C16" s="461" t="s">
        <v>809</v>
      </c>
      <c r="D16" s="461" t="s">
        <v>817</v>
      </c>
      <c r="E16" s="462"/>
      <c r="F16" s="463"/>
      <c r="G16" s="463"/>
      <c r="H16" s="463"/>
      <c r="I16" s="463"/>
      <c r="J16" s="464">
        <v>0</v>
      </c>
      <c r="K16" s="464">
        <v>0</v>
      </c>
      <c r="L16" s="463">
        <v>0</v>
      </c>
      <c r="M16" s="464">
        <v>0</v>
      </c>
      <c r="N16" s="451"/>
      <c r="O16" s="451"/>
      <c r="P16" s="451"/>
      <c r="Q16" s="451"/>
      <c r="R16" s="439" t="s">
        <v>818</v>
      </c>
      <c r="S16" s="451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</row>
    <row r="17" spans="1:57" s="30" customFormat="1" ht="15" customHeight="1">
      <c r="A17" s="439" t="s">
        <v>819</v>
      </c>
      <c r="B17" s="461" t="s">
        <v>17</v>
      </c>
      <c r="C17" s="461" t="s">
        <v>809</v>
      </c>
      <c r="D17" s="461" t="s">
        <v>819</v>
      </c>
      <c r="E17" s="462"/>
      <c r="F17" s="463"/>
      <c r="G17" s="463"/>
      <c r="H17" s="463"/>
      <c r="I17" s="463"/>
      <c r="J17" s="464">
        <v>0</v>
      </c>
      <c r="K17" s="464">
        <v>0</v>
      </c>
      <c r="L17" s="464">
        <v>0</v>
      </c>
      <c r="M17" s="464">
        <v>0</v>
      </c>
      <c r="N17" s="451"/>
      <c r="O17" s="451"/>
      <c r="P17" s="451"/>
      <c r="Q17" s="451"/>
      <c r="R17" s="439" t="s">
        <v>820</v>
      </c>
      <c r="S17" s="451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</row>
    <row r="18" spans="1:57" s="30" customFormat="1" ht="14.65" customHeight="1">
      <c r="A18" s="466" t="s">
        <v>259</v>
      </c>
      <c r="B18" s="461" t="s">
        <v>805</v>
      </c>
      <c r="C18" s="461" t="s">
        <v>821</v>
      </c>
      <c r="D18" s="448"/>
      <c r="E18" s="462"/>
      <c r="F18" s="467">
        <f t="shared" ref="F18:Q18" si="1">SUM(F12:F17)</f>
        <v>0</v>
      </c>
      <c r="G18" s="467">
        <f t="shared" si="1"/>
        <v>0</v>
      </c>
      <c r="H18" s="467">
        <f t="shared" si="1"/>
        <v>0</v>
      </c>
      <c r="I18" s="467">
        <f t="shared" si="1"/>
        <v>0</v>
      </c>
      <c r="J18" s="467">
        <f t="shared" si="1"/>
        <v>0</v>
      </c>
      <c r="K18" s="467">
        <f t="shared" si="1"/>
        <v>200000</v>
      </c>
      <c r="L18" s="467">
        <f t="shared" si="1"/>
        <v>100000</v>
      </c>
      <c r="M18" s="467">
        <f t="shared" si="1"/>
        <v>0</v>
      </c>
      <c r="N18" s="462">
        <f t="shared" si="1"/>
        <v>100000</v>
      </c>
      <c r="O18" s="462">
        <f t="shared" si="1"/>
        <v>0</v>
      </c>
      <c r="P18" s="462">
        <f t="shared" si="1"/>
        <v>0</v>
      </c>
      <c r="Q18" s="462">
        <f t="shared" si="1"/>
        <v>0</v>
      </c>
      <c r="R18" s="427"/>
      <c r="S18" s="451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</row>
    <row r="19" spans="1:57" s="8" customFormat="1">
      <c r="A19" s="468"/>
      <c r="B19" s="469"/>
      <c r="C19" s="470"/>
      <c r="D19" s="470"/>
      <c r="E19" s="456"/>
      <c r="F19" s="456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27"/>
      <c r="S19" s="451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</row>
    <row r="20" spans="1:57">
      <c r="A20" s="441" t="s">
        <v>822</v>
      </c>
      <c r="B20" s="442"/>
      <c r="C20" s="442"/>
      <c r="D20" s="442"/>
      <c r="E20" s="456"/>
      <c r="F20" s="456">
        <f>-F40</f>
        <v>1262185</v>
      </c>
      <c r="G20" s="456">
        <f t="shared" ref="F20:Q20" si="2">-G40</f>
        <v>1358476</v>
      </c>
      <c r="H20" s="456">
        <f t="shared" si="2"/>
        <v>1319123</v>
      </c>
      <c r="I20" s="456">
        <f t="shared" si="2"/>
        <v>2542272</v>
      </c>
      <c r="J20" s="456">
        <f t="shared" si="2"/>
        <v>4057848.8571428573</v>
      </c>
      <c r="K20" s="456">
        <f t="shared" si="2"/>
        <v>4457406</v>
      </c>
      <c r="L20" s="456">
        <f t="shared" si="2"/>
        <v>2834606</v>
      </c>
      <c r="M20" s="456">
        <f t="shared" si="2"/>
        <v>4930792.25</v>
      </c>
      <c r="N20" s="456">
        <f t="shared" si="2"/>
        <v>12027142.110000001</v>
      </c>
      <c r="O20" s="456">
        <f t="shared" si="2"/>
        <v>11730728.823299998</v>
      </c>
      <c r="P20" s="456">
        <f t="shared" si="2"/>
        <v>12082650.687999001</v>
      </c>
      <c r="Q20" s="456">
        <f t="shared" si="2"/>
        <v>12445130.208638972</v>
      </c>
      <c r="R20" s="427"/>
      <c r="S20" s="451"/>
      <c r="T20" s="427"/>
      <c r="U20" s="471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</row>
    <row r="21" spans="1:57">
      <c r="A21" s="444"/>
      <c r="B21" s="442"/>
      <c r="C21" s="442"/>
      <c r="D21" s="442"/>
      <c r="E21" s="456"/>
      <c r="F21" s="456"/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27"/>
      <c r="S21" s="451"/>
      <c r="T21" s="427"/>
      <c r="U21" s="471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</row>
    <row r="22" spans="1:57">
      <c r="A22" s="441" t="s">
        <v>823</v>
      </c>
      <c r="B22" s="442"/>
      <c r="C22" s="442"/>
      <c r="D22" s="442"/>
      <c r="E22" s="456"/>
      <c r="F22" s="456">
        <f t="shared" ref="F22:Q22" si="3">F20+F10</f>
        <v>1900885.0131578948</v>
      </c>
      <c r="G22" s="456">
        <f t="shared" si="3"/>
        <v>1997176.0131578948</v>
      </c>
      <c r="H22" s="456">
        <f t="shared" si="3"/>
        <v>2246281.960526316</v>
      </c>
      <c r="I22" s="456">
        <f t="shared" si="3"/>
        <v>3479442.5394736845</v>
      </c>
      <c r="J22" s="456">
        <f t="shared" si="3"/>
        <v>4944180.3338095238</v>
      </c>
      <c r="K22" s="456">
        <f t="shared" si="3"/>
        <v>5887699.479166667</v>
      </c>
      <c r="L22" s="456">
        <f t="shared" si="3"/>
        <v>4192766.8739035088</v>
      </c>
      <c r="M22" s="456">
        <f t="shared" si="3"/>
        <v>7829289.6021929821</v>
      </c>
      <c r="N22" s="456">
        <f t="shared" si="3"/>
        <v>16943263.841666669</v>
      </c>
      <c r="O22" s="456">
        <f t="shared" si="3"/>
        <v>16006735.873443332</v>
      </c>
      <c r="P22" s="456">
        <f t="shared" si="3"/>
        <v>16336583.110146634</v>
      </c>
      <c r="Q22" s="456">
        <f t="shared" si="3"/>
        <v>16423058.772216525</v>
      </c>
      <c r="R22" s="427"/>
      <c r="S22" s="451"/>
      <c r="T22" s="427"/>
      <c r="U22" s="471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</row>
    <row r="23" spans="1:57">
      <c r="A23" s="444"/>
      <c r="B23" s="442"/>
      <c r="C23" s="442"/>
      <c r="D23" s="442"/>
      <c r="E23" s="456"/>
      <c r="F23" s="456"/>
      <c r="G23" s="456"/>
      <c r="H23" s="456"/>
      <c r="I23" s="456"/>
      <c r="J23" s="456"/>
      <c r="K23" s="456"/>
      <c r="L23" s="456"/>
      <c r="M23" s="456"/>
      <c r="N23" s="456"/>
      <c r="O23" s="456"/>
      <c r="P23" s="456"/>
      <c r="Q23" s="456"/>
      <c r="R23" s="427"/>
      <c r="S23" s="451"/>
      <c r="T23" s="427"/>
      <c r="U23" s="471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</row>
    <row r="24" spans="1:57">
      <c r="A24" s="441" t="s">
        <v>824</v>
      </c>
      <c r="B24" s="442"/>
      <c r="C24" s="442"/>
      <c r="D24" s="442"/>
      <c r="E24" s="456"/>
      <c r="F24" s="456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27"/>
      <c r="S24" s="451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</row>
    <row r="25" spans="1:57">
      <c r="A25" s="455" t="s">
        <v>4</v>
      </c>
      <c r="B25" s="442"/>
      <c r="C25" s="445"/>
      <c r="D25" s="445"/>
      <c r="E25" s="456"/>
      <c r="F25" s="456">
        <f>-('c12_hm'!F78+'c12_hm'!F79)</f>
        <v>-298080</v>
      </c>
      <c r="G25" s="456">
        <f>-('c12_hm'!G78+'c12_hm'!G79)</f>
        <v>-298080</v>
      </c>
      <c r="H25" s="456">
        <f>-('c12_hm'!H78+'c12_hm'!H79)</f>
        <v>-298080</v>
      </c>
      <c r="I25" s="456">
        <f>-('c12_hm'!I78+'c12_hm'!I79)</f>
        <v>-770825</v>
      </c>
      <c r="J25" s="456">
        <f>-('c12_hm'!J78+'c12_hm'!J79)</f>
        <v>-391680</v>
      </c>
      <c r="K25" s="456">
        <f>-('c12_hm'!K78+'c12_hm'!K79)</f>
        <v>-391680</v>
      </c>
      <c r="L25" s="456">
        <f>-('c12_hm'!L78+'c12_hm'!L79)</f>
        <v>-434880</v>
      </c>
      <c r="M25" s="456">
        <f>-('c12_hm'!M78+'c12_hm'!M79)</f>
        <v>-949185</v>
      </c>
      <c r="N25" s="456">
        <f>-('c12_hm'!N78+'c12_hm'!N79)</f>
        <v>-2518770</v>
      </c>
      <c r="O25" s="456">
        <f>-('c12_hm'!O78+'c12_hm'!O79)</f>
        <v>-2518770</v>
      </c>
      <c r="P25" s="456">
        <f>-('c12_hm'!P78+'c12_hm'!P79)</f>
        <v>-2518770</v>
      </c>
      <c r="Q25" s="456">
        <f>-('c12_hm'!Q78+'c12_hm'!Q79)</f>
        <v>-2518770</v>
      </c>
      <c r="R25" s="427"/>
      <c r="S25" s="451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</row>
    <row r="26" spans="1:57">
      <c r="A26" s="455" t="s">
        <v>825</v>
      </c>
      <c r="B26" s="442"/>
      <c r="C26" s="445"/>
      <c r="D26" s="445"/>
      <c r="E26" s="456"/>
      <c r="F26" s="456">
        <f>-('c12_bi&amp;F'!F78+'c12_bi&amp;F'!F79)</f>
        <v>-250560</v>
      </c>
      <c r="G26" s="456">
        <f>-('c12_bi&amp;F'!G78+'c12_bi&amp;F'!G79)</f>
        <v>-250560</v>
      </c>
      <c r="H26" s="456">
        <f>-('c12_bi&amp;F'!H78+'c12_bi&amp;F'!H79)</f>
        <v>-336959.99999999994</v>
      </c>
      <c r="I26" s="456">
        <f>-('c12_bi&amp;F'!I78+'c12_bi&amp;F'!I79)</f>
        <v>-602497.5</v>
      </c>
      <c r="J26" s="456">
        <f>-('c12_bi&amp;F'!J78+'c12_bi&amp;F'!J79)</f>
        <v>-296639.99999999994</v>
      </c>
      <c r="K26" s="456">
        <f>-('c12_bi&amp;F'!K78+'c12_bi&amp;F'!K79)</f>
        <v>-477677.14285714284</v>
      </c>
      <c r="L26" s="456">
        <f>-('c12_bi&amp;F'!L78+'c12_bi&amp;F'!L79)</f>
        <v>-672077.14285714284</v>
      </c>
      <c r="M26" s="456">
        <f>-('c12_bi&amp;F'!M78+'c12_bi&amp;F'!M79)</f>
        <v>-1173394.6428571427</v>
      </c>
      <c r="N26" s="456">
        <f>-('c12_bi&amp;F'!N78+'c12_bi&amp;F'!N79)</f>
        <v>-3289116.0714285714</v>
      </c>
      <c r="O26" s="456">
        <f>-('c12_bi&amp;F'!O78+'c12_bi&amp;F'!O79)</f>
        <v>-3289116.0714285714</v>
      </c>
      <c r="P26" s="456">
        <f>-('c12_bi&amp;F'!P78+'c12_bi&amp;F'!P79)</f>
        <v>-3289116.0714285714</v>
      </c>
      <c r="Q26" s="456">
        <f>-('c12_bi&amp;F'!Q78+'c12_bi&amp;F'!Q79)</f>
        <v>-3289116.0714285714</v>
      </c>
      <c r="R26" s="427"/>
      <c r="S26" s="451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</row>
    <row r="27" spans="1:57">
      <c r="A27" s="455" t="s">
        <v>826</v>
      </c>
      <c r="B27" s="442"/>
      <c r="C27" s="445"/>
      <c r="D27" s="445"/>
      <c r="E27" s="456"/>
      <c r="F27" s="456">
        <f>-('c12_d&amp;s'!F78+'c12_d&amp;s'!F79)</f>
        <v>-515520</v>
      </c>
      <c r="G27" s="456">
        <f>-('c12_d&amp;s'!G78+'c12_d&amp;s'!G79)</f>
        <v>-515520</v>
      </c>
      <c r="H27" s="456">
        <f>-('c12_d&amp;s'!H78+'c12_d&amp;s'!H79)</f>
        <v>-515520</v>
      </c>
      <c r="I27" s="456">
        <f>-('c12_d&amp;s'!I78+'c12_d&amp;s'!I79)</f>
        <v>-1652177.5</v>
      </c>
      <c r="J27" s="456">
        <f>-('c12_d&amp;s'!J78+'c12_d&amp;s'!J79)</f>
        <v>-560160</v>
      </c>
      <c r="K27" s="456">
        <f>-('c12_d&amp;s'!K78+'c12_d&amp;s'!K79)</f>
        <v>-520560</v>
      </c>
      <c r="L27" s="456">
        <f>-('c12_d&amp;s'!L78+'c12_d&amp;s'!L79)</f>
        <v>-560160</v>
      </c>
      <c r="M27" s="456">
        <f>-('c12_d&amp;s'!M78+'c12_d&amp;s'!M79)</f>
        <v>-1221223.75</v>
      </c>
      <c r="N27" s="456">
        <f>-('c12_d&amp;s'!N78+'c12_d&amp;s'!N79)</f>
        <v>-2809492.4999999995</v>
      </c>
      <c r="O27" s="456">
        <f>-('c12_d&amp;s'!O78+'c12_d&amp;s'!O79)</f>
        <v>-2809492.4999999995</v>
      </c>
      <c r="P27" s="456">
        <f>-('c12_d&amp;s'!P78+'c12_d&amp;s'!P79)</f>
        <v>-2809492.4999999995</v>
      </c>
      <c r="Q27" s="456">
        <f>-('c12_d&amp;s'!Q78+'c12_d&amp;s'!Q79)</f>
        <v>-2809492.4999999995</v>
      </c>
      <c r="R27" s="427"/>
      <c r="S27" s="451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</row>
    <row r="28" spans="1:57" s="8" customFormat="1">
      <c r="A28" s="472" t="s">
        <v>827</v>
      </c>
      <c r="B28" s="469"/>
      <c r="C28" s="470"/>
      <c r="D28" s="470"/>
      <c r="E28" s="456"/>
      <c r="F28" s="456">
        <f t="shared" ref="F28:Q28" si="4">-(F79-F82)</f>
        <v>-472542.85714285716</v>
      </c>
      <c r="G28" s="456">
        <f t="shared" si="4"/>
        <v>-472542.85714285716</v>
      </c>
      <c r="H28" s="456">
        <f t="shared" si="4"/>
        <v>-472542.85714285716</v>
      </c>
      <c r="I28" s="456">
        <f t="shared" si="4"/>
        <v>-472542.85714285716</v>
      </c>
      <c r="J28" s="456">
        <f t="shared" si="4"/>
        <v>-805022.85714285704</v>
      </c>
      <c r="K28" s="456">
        <f t="shared" si="4"/>
        <v>-383142.85714285716</v>
      </c>
      <c r="L28" s="456">
        <f t="shared" si="4"/>
        <v>-383142.85714285716</v>
      </c>
      <c r="M28" s="456">
        <f t="shared" si="4"/>
        <v>-902642.85714285704</v>
      </c>
      <c r="N28" s="456">
        <f t="shared" si="4"/>
        <v>-2052071.4285714282</v>
      </c>
      <c r="O28" s="456">
        <f t="shared" si="4"/>
        <v>-1532571.4285714286</v>
      </c>
      <c r="P28" s="456">
        <f t="shared" si="4"/>
        <v>-1532571.4285714286</v>
      </c>
      <c r="Q28" s="456">
        <f t="shared" si="4"/>
        <v>-1532571.4285714286</v>
      </c>
      <c r="R28" s="439" t="s">
        <v>828</v>
      </c>
      <c r="S28" s="451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</row>
    <row r="29" spans="1:57">
      <c r="A29" s="440" t="s">
        <v>829</v>
      </c>
      <c r="B29" s="442"/>
      <c r="C29" s="442"/>
      <c r="D29" s="442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27"/>
      <c r="S29" s="451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</row>
    <row r="30" spans="1:57">
      <c r="A30" s="472" t="s">
        <v>830</v>
      </c>
      <c r="B30" s="473" t="s">
        <v>17</v>
      </c>
      <c r="C30" s="472" t="s">
        <v>831</v>
      </c>
      <c r="D30" s="472" t="s">
        <v>832</v>
      </c>
      <c r="E30" s="456"/>
      <c r="F30" s="474">
        <f>-189940/4</f>
        <v>-47485</v>
      </c>
      <c r="G30" s="474">
        <f>-189940/4</f>
        <v>-47485</v>
      </c>
      <c r="H30" s="474">
        <f>-189940/4</f>
        <v>-47485</v>
      </c>
      <c r="I30" s="474">
        <f>-189940/4</f>
        <v>-47485</v>
      </c>
      <c r="J30" s="474">
        <f>-540000/4</f>
        <v>-135000</v>
      </c>
      <c r="K30" s="474">
        <f>-540000/4</f>
        <v>-135000</v>
      </c>
      <c r="L30" s="474">
        <f>-540000/4</f>
        <v>-135000</v>
      </c>
      <c r="M30" s="474">
        <f>-540000/4</f>
        <v>-135000</v>
      </c>
      <c r="N30" s="456">
        <f>M30</f>
        <v>-135000</v>
      </c>
      <c r="O30" s="456">
        <f>N30</f>
        <v>-135000</v>
      </c>
      <c r="P30" s="456">
        <f>O30</f>
        <v>-135000</v>
      </c>
      <c r="Q30" s="456">
        <f>P30</f>
        <v>-135000</v>
      </c>
      <c r="R30" s="439" t="s">
        <v>833</v>
      </c>
      <c r="S30" s="451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</row>
    <row r="31" spans="1:57" s="18" customFormat="1">
      <c r="A31" s="475" t="s">
        <v>834</v>
      </c>
      <c r="B31" s="461" t="s">
        <v>17</v>
      </c>
      <c r="C31" s="475" t="s">
        <v>831</v>
      </c>
      <c r="D31" s="475" t="s">
        <v>835</v>
      </c>
      <c r="E31" s="456"/>
      <c r="F31" s="476">
        <v>-112553</v>
      </c>
      <c r="G31" s="476">
        <v>-186705</v>
      </c>
      <c r="H31" s="476">
        <v>-148699</v>
      </c>
      <c r="I31" s="476">
        <v>-249431</v>
      </c>
      <c r="J31" s="474">
        <v>-174347</v>
      </c>
      <c r="K31" s="476">
        <v>-174347</v>
      </c>
      <c r="L31" s="476">
        <v>-174347</v>
      </c>
      <c r="M31" s="476">
        <v>-174347</v>
      </c>
      <c r="N31" s="477">
        <v>-697388</v>
      </c>
      <c r="O31" s="477">
        <v>-697388</v>
      </c>
      <c r="P31" s="477">
        <v>-697388</v>
      </c>
      <c r="Q31" s="477">
        <v>-697388</v>
      </c>
      <c r="R31" s="439" t="s">
        <v>836</v>
      </c>
      <c r="S31" s="451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</row>
    <row r="32" spans="1:57" s="18" customFormat="1">
      <c r="A32" s="475" t="s">
        <v>837</v>
      </c>
      <c r="B32" s="461" t="s">
        <v>17</v>
      </c>
      <c r="C32" s="475" t="s">
        <v>831</v>
      </c>
      <c r="D32" s="475" t="s">
        <v>838</v>
      </c>
      <c r="E32" s="456"/>
      <c r="F32" s="476"/>
      <c r="G32" s="476"/>
      <c r="H32" s="476"/>
      <c r="I32" s="476"/>
      <c r="J32" s="474">
        <v>-75000</v>
      </c>
      <c r="K32" s="474">
        <v>-75000</v>
      </c>
      <c r="L32" s="474">
        <v>-75000</v>
      </c>
      <c r="M32" s="474">
        <v>-75000</v>
      </c>
      <c r="N32" s="456">
        <v>-75000</v>
      </c>
      <c r="O32" s="456">
        <v>-75000</v>
      </c>
      <c r="P32" s="456">
        <v>-75000</v>
      </c>
      <c r="Q32" s="456">
        <v>-75000</v>
      </c>
      <c r="R32" s="439" t="s">
        <v>839</v>
      </c>
      <c r="S32" s="451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</row>
    <row r="33" spans="1:57" s="30" customFormat="1">
      <c r="A33" s="472" t="s">
        <v>1128</v>
      </c>
      <c r="B33" s="473" t="s">
        <v>17</v>
      </c>
      <c r="C33" s="472" t="s">
        <v>831</v>
      </c>
      <c r="D33" s="472" t="s">
        <v>840</v>
      </c>
      <c r="E33" s="477"/>
      <c r="F33" s="476">
        <f t="shared" ref="F33:Q33" si="5">-F18</f>
        <v>0</v>
      </c>
      <c r="G33" s="476">
        <f t="shared" si="5"/>
        <v>0</v>
      </c>
      <c r="H33" s="476">
        <f t="shared" si="5"/>
        <v>0</v>
      </c>
      <c r="I33" s="476">
        <f t="shared" si="5"/>
        <v>0</v>
      </c>
      <c r="J33" s="476">
        <f t="shared" si="5"/>
        <v>0</v>
      </c>
      <c r="K33" s="476">
        <f t="shared" si="5"/>
        <v>-200000</v>
      </c>
      <c r="L33" s="476">
        <f t="shared" si="5"/>
        <v>-100000</v>
      </c>
      <c r="M33" s="476">
        <f t="shared" si="5"/>
        <v>0</v>
      </c>
      <c r="N33" s="477">
        <f t="shared" si="5"/>
        <v>-100000</v>
      </c>
      <c r="O33" s="477">
        <f t="shared" si="5"/>
        <v>0</v>
      </c>
      <c r="P33" s="477">
        <f t="shared" si="5"/>
        <v>0</v>
      </c>
      <c r="Q33" s="477">
        <f t="shared" si="5"/>
        <v>0</v>
      </c>
      <c r="R33" s="427"/>
      <c r="S33" s="451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</row>
    <row r="34" spans="1:57">
      <c r="A34" s="472" t="s">
        <v>841</v>
      </c>
      <c r="B34" s="473" t="s">
        <v>17</v>
      </c>
      <c r="C34" s="472" t="s">
        <v>831</v>
      </c>
      <c r="D34" s="472" t="s">
        <v>842</v>
      </c>
      <c r="E34" s="456"/>
      <c r="F34" s="474"/>
      <c r="G34" s="474"/>
      <c r="H34" s="474">
        <v>-45000</v>
      </c>
      <c r="I34" s="474">
        <v>-599728</v>
      </c>
      <c r="J34" s="474">
        <v>-1620000</v>
      </c>
      <c r="K34" s="474">
        <v>-2100000</v>
      </c>
      <c r="L34" s="474">
        <v>-300000</v>
      </c>
      <c r="M34" s="474">
        <v>-300000</v>
      </c>
      <c r="N34" s="456">
        <v>0</v>
      </c>
      <c r="O34" s="456">
        <v>0</v>
      </c>
      <c r="P34" s="456">
        <v>0</v>
      </c>
      <c r="Q34" s="456">
        <v>0</v>
      </c>
      <c r="R34" s="439" t="s">
        <v>843</v>
      </c>
      <c r="S34" s="451"/>
      <c r="T34" s="427"/>
      <c r="U34" s="471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</row>
    <row r="35" spans="1:57" s="36" customFormat="1">
      <c r="A35" s="478" t="s">
        <v>844</v>
      </c>
      <c r="B35" s="473" t="s">
        <v>17</v>
      </c>
      <c r="C35" s="479" t="s">
        <v>845</v>
      </c>
      <c r="D35" s="480"/>
      <c r="E35" s="481"/>
      <c r="F35" s="482">
        <v>1</v>
      </c>
      <c r="G35" s="482">
        <v>1</v>
      </c>
      <c r="H35" s="482">
        <v>1</v>
      </c>
      <c r="I35" s="482">
        <v>1</v>
      </c>
      <c r="J35" s="482">
        <v>1</v>
      </c>
      <c r="K35" s="482">
        <v>1</v>
      </c>
      <c r="L35" s="482">
        <v>1</v>
      </c>
      <c r="M35" s="482">
        <v>1</v>
      </c>
      <c r="N35" s="483">
        <f>(1+'c12_inputs'!$E$5)</f>
        <v>1.03</v>
      </c>
      <c r="O35" s="483">
        <f>N35*(1+'c12_inputs'!$E$5)</f>
        <v>1.0609</v>
      </c>
      <c r="P35" s="483">
        <f>O35*(1+'c12_inputs'!$E$5)</f>
        <v>1.092727</v>
      </c>
      <c r="Q35" s="483">
        <f>P35*(1+'c12_inputs'!$E$5)</f>
        <v>1.1255088100000001</v>
      </c>
      <c r="R35" s="427"/>
      <c r="S35" s="427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</row>
    <row r="36" spans="1:57" s="30" customFormat="1">
      <c r="A36" s="472" t="s">
        <v>124</v>
      </c>
      <c r="B36" s="473" t="s">
        <v>805</v>
      </c>
      <c r="C36" s="472" t="s">
        <v>846</v>
      </c>
      <c r="D36" s="470"/>
      <c r="E36" s="456"/>
      <c r="F36" s="484">
        <f t="shared" ref="F36:Q36" si="6">(F35-1)*SUM(F25:F34)</f>
        <v>0</v>
      </c>
      <c r="G36" s="484">
        <f t="shared" si="6"/>
        <v>0</v>
      </c>
      <c r="H36" s="484">
        <f t="shared" si="6"/>
        <v>0</v>
      </c>
      <c r="I36" s="484">
        <f t="shared" si="6"/>
        <v>0</v>
      </c>
      <c r="J36" s="484">
        <f t="shared" si="6"/>
        <v>0</v>
      </c>
      <c r="K36" s="484">
        <f t="shared" si="6"/>
        <v>0</v>
      </c>
      <c r="L36" s="484">
        <f t="shared" si="6"/>
        <v>0</v>
      </c>
      <c r="M36" s="484">
        <f t="shared" si="6"/>
        <v>0</v>
      </c>
      <c r="N36" s="456">
        <f t="shared" si="6"/>
        <v>-350305.14000000031</v>
      </c>
      <c r="O36" s="456">
        <f t="shared" si="6"/>
        <v>-673391.88419999951</v>
      </c>
      <c r="P36" s="456">
        <f t="shared" si="6"/>
        <v>-1025313.7807260001</v>
      </c>
      <c r="Q36" s="456">
        <f t="shared" si="6"/>
        <v>-1387793.3341477816</v>
      </c>
      <c r="R36" s="439" t="s">
        <v>847</v>
      </c>
      <c r="S36" s="451"/>
      <c r="T36" s="427"/>
      <c r="U36" s="471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</row>
    <row r="37" spans="1:57">
      <c r="A37" s="472" t="s">
        <v>848</v>
      </c>
      <c r="B37" s="473" t="s">
        <v>17</v>
      </c>
      <c r="C37" s="472" t="s">
        <v>849</v>
      </c>
      <c r="D37" s="470"/>
      <c r="E37" s="485">
        <v>-3970569</v>
      </c>
      <c r="F37" s="474">
        <v>-1102148</v>
      </c>
      <c r="G37" s="474">
        <v>-1124287</v>
      </c>
      <c r="H37" s="474">
        <v>-1077940</v>
      </c>
      <c r="I37" s="474">
        <v>-1645629</v>
      </c>
      <c r="J37" s="474"/>
      <c r="K37" s="474"/>
      <c r="L37" s="474"/>
      <c r="M37" s="474"/>
      <c r="N37" s="456"/>
      <c r="O37" s="456"/>
      <c r="P37" s="456"/>
      <c r="Q37" s="456"/>
      <c r="R37" s="427"/>
      <c r="S37" s="451"/>
      <c r="T37" s="427"/>
      <c r="U37" s="471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</row>
    <row r="38" spans="1:57">
      <c r="A38" s="472" t="s">
        <v>850</v>
      </c>
      <c r="B38" s="473" t="s">
        <v>805</v>
      </c>
      <c r="C38" s="472" t="s">
        <v>851</v>
      </c>
      <c r="D38" s="470"/>
      <c r="E38" s="462"/>
      <c r="F38" s="484">
        <f t="shared" ref="F38:Q38" si="7">-IF(F37&lt;&gt;0,(SUM(F25:F28)-F37),0)</f>
        <v>434554.85714285728</v>
      </c>
      <c r="G38" s="484">
        <f t="shared" si="7"/>
        <v>412415.85714285728</v>
      </c>
      <c r="H38" s="484">
        <f t="shared" si="7"/>
        <v>545162.85714285728</v>
      </c>
      <c r="I38" s="484">
        <f t="shared" si="7"/>
        <v>1852413.8571428573</v>
      </c>
      <c r="J38" s="484">
        <f t="shared" si="7"/>
        <v>0</v>
      </c>
      <c r="K38" s="484">
        <f t="shared" si="7"/>
        <v>0</v>
      </c>
      <c r="L38" s="484">
        <f t="shared" si="7"/>
        <v>0</v>
      </c>
      <c r="M38" s="484">
        <f t="shared" si="7"/>
        <v>0</v>
      </c>
      <c r="N38" s="456">
        <f t="shared" si="7"/>
        <v>0</v>
      </c>
      <c r="O38" s="456">
        <f t="shared" si="7"/>
        <v>0</v>
      </c>
      <c r="P38" s="456">
        <f t="shared" si="7"/>
        <v>0</v>
      </c>
      <c r="Q38" s="456">
        <f t="shared" si="7"/>
        <v>0</v>
      </c>
      <c r="R38" s="427"/>
      <c r="S38" s="451"/>
      <c r="T38" s="427"/>
      <c r="U38" s="471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</row>
    <row r="39" spans="1:57">
      <c r="A39" s="445"/>
      <c r="B39" s="442"/>
      <c r="C39" s="445"/>
      <c r="D39" s="445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27"/>
      <c r="S39" s="451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86"/>
      <c r="BA39" s="427"/>
      <c r="BB39" s="427"/>
      <c r="BC39" s="427"/>
      <c r="BD39" s="427"/>
      <c r="BE39" s="427"/>
    </row>
    <row r="40" spans="1:57" s="42" customFormat="1" ht="15.5" customHeight="1" thickTop="1" thickBot="1">
      <c r="A40" s="441" t="s">
        <v>1131</v>
      </c>
      <c r="B40" s="440" t="s">
        <v>805</v>
      </c>
      <c r="C40" s="440" t="s">
        <v>852</v>
      </c>
      <c r="D40" s="442"/>
      <c r="E40" s="458">
        <v>-5450569</v>
      </c>
      <c r="F40" s="459">
        <f t="shared" ref="F40:Q40" si="8">SUM(F25:F36)+F38</f>
        <v>-1262185</v>
      </c>
      <c r="G40" s="459">
        <f t="shared" si="8"/>
        <v>-1358476</v>
      </c>
      <c r="H40" s="459">
        <f t="shared" si="8"/>
        <v>-1319123</v>
      </c>
      <c r="I40" s="459">
        <f t="shared" si="8"/>
        <v>-2542272</v>
      </c>
      <c r="J40" s="459">
        <f t="shared" si="8"/>
        <v>-4057848.8571428573</v>
      </c>
      <c r="K40" s="459">
        <f t="shared" si="8"/>
        <v>-4457406</v>
      </c>
      <c r="L40" s="459">
        <f t="shared" si="8"/>
        <v>-2834606</v>
      </c>
      <c r="M40" s="459">
        <f t="shared" si="8"/>
        <v>-4930792.25</v>
      </c>
      <c r="N40" s="460">
        <f t="shared" si="8"/>
        <v>-12027142.110000001</v>
      </c>
      <c r="O40" s="460">
        <f t="shared" si="8"/>
        <v>-11730728.823299998</v>
      </c>
      <c r="P40" s="460">
        <f t="shared" si="8"/>
        <v>-12082650.687999001</v>
      </c>
      <c r="Q40" s="460">
        <f t="shared" si="8"/>
        <v>-12445130.208638972</v>
      </c>
      <c r="R40" s="427"/>
      <c r="S40" s="451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</row>
    <row r="41" spans="1:57" s="42" customFormat="1" ht="15" customHeight="1" thickTop="1">
      <c r="A41" s="444"/>
      <c r="B41" s="442"/>
      <c r="C41" s="442"/>
      <c r="D41" s="442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27"/>
      <c r="S41" s="451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</row>
    <row r="42" spans="1:57">
      <c r="A42" s="473" t="s">
        <v>853</v>
      </c>
      <c r="B42" s="469"/>
      <c r="C42" s="469"/>
      <c r="D42" s="469"/>
      <c r="E42" s="486"/>
      <c r="F42" s="486">
        <f t="shared" ref="F42:Q42" si="9">-F82</f>
        <v>-31928.571428571431</v>
      </c>
      <c r="G42" s="486">
        <f t="shared" si="9"/>
        <v>-31928.571428571431</v>
      </c>
      <c r="H42" s="486">
        <f t="shared" si="9"/>
        <v>-31928.571428571431</v>
      </c>
      <c r="I42" s="486">
        <f t="shared" si="9"/>
        <v>-42318.571428571435</v>
      </c>
      <c r="J42" s="486">
        <f t="shared" si="9"/>
        <v>-58237.71428571429</v>
      </c>
      <c r="K42" s="486">
        <f t="shared" si="9"/>
        <v>-58237.71428571429</v>
      </c>
      <c r="L42" s="486">
        <f t="shared" si="9"/>
        <v>-58237.71428571429</v>
      </c>
      <c r="M42" s="486">
        <f t="shared" si="9"/>
        <v>-79017.71428571429</v>
      </c>
      <c r="N42" s="486">
        <f t="shared" si="9"/>
        <v>-253730.85714285716</v>
      </c>
      <c r="O42" s="486">
        <f t="shared" si="9"/>
        <v>-253730.85714285716</v>
      </c>
      <c r="P42" s="486">
        <f t="shared" si="9"/>
        <v>-253730.85714285716</v>
      </c>
      <c r="Q42" s="486">
        <f t="shared" si="9"/>
        <v>-253730.85714285716</v>
      </c>
      <c r="R42" s="427"/>
      <c r="S42" s="451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</row>
    <row r="43" spans="1:57" s="8" customFormat="1">
      <c r="A43" s="473" t="s">
        <v>854</v>
      </c>
      <c r="B43" s="473" t="s">
        <v>17</v>
      </c>
      <c r="C43" s="473" t="s">
        <v>855</v>
      </c>
      <c r="D43" s="469"/>
      <c r="E43" s="462"/>
      <c r="F43" s="474"/>
      <c r="G43" s="474"/>
      <c r="H43" s="474"/>
      <c r="I43" s="474"/>
      <c r="J43" s="474"/>
      <c r="K43" s="474"/>
      <c r="L43" s="474"/>
      <c r="M43" s="474">
        <v>-200000</v>
      </c>
      <c r="N43" s="456">
        <v>-200000</v>
      </c>
      <c r="O43" s="456">
        <v>-200000</v>
      </c>
      <c r="P43" s="456">
        <v>-200000</v>
      </c>
      <c r="Q43" s="456">
        <v>-200000</v>
      </c>
      <c r="R43" s="427"/>
      <c r="S43" s="451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</row>
    <row r="44" spans="1:57">
      <c r="A44" s="441" t="s">
        <v>1132</v>
      </c>
      <c r="B44" s="440" t="s">
        <v>805</v>
      </c>
      <c r="C44" s="440" t="s">
        <v>856</v>
      </c>
      <c r="D44" s="442"/>
      <c r="E44" s="456"/>
      <c r="F44" s="484">
        <f t="shared" ref="F44:Q44" si="10">SUM(F42:F43)</f>
        <v>-31928.571428571431</v>
      </c>
      <c r="G44" s="484">
        <f t="shared" si="10"/>
        <v>-31928.571428571431</v>
      </c>
      <c r="H44" s="484">
        <f t="shared" si="10"/>
        <v>-31928.571428571431</v>
      </c>
      <c r="I44" s="484">
        <f t="shared" si="10"/>
        <v>-42318.571428571435</v>
      </c>
      <c r="J44" s="484">
        <f t="shared" si="10"/>
        <v>-58237.71428571429</v>
      </c>
      <c r="K44" s="484">
        <f t="shared" si="10"/>
        <v>-58237.71428571429</v>
      </c>
      <c r="L44" s="484">
        <f t="shared" si="10"/>
        <v>-58237.71428571429</v>
      </c>
      <c r="M44" s="484">
        <f t="shared" si="10"/>
        <v>-279017.71428571432</v>
      </c>
      <c r="N44" s="456">
        <f t="shared" si="10"/>
        <v>-453730.85714285716</v>
      </c>
      <c r="O44" s="456">
        <f t="shared" si="10"/>
        <v>-453730.85714285716</v>
      </c>
      <c r="P44" s="456">
        <f t="shared" si="10"/>
        <v>-453730.85714285716</v>
      </c>
      <c r="Q44" s="456">
        <f t="shared" si="10"/>
        <v>-453730.85714285716</v>
      </c>
      <c r="R44" s="427"/>
      <c r="S44" s="451"/>
      <c r="T44" s="427"/>
      <c r="U44" s="471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</row>
    <row r="45" spans="1:57">
      <c r="A45" s="444"/>
      <c r="B45" s="442"/>
      <c r="C45" s="442"/>
      <c r="D45" s="442"/>
      <c r="E45" s="456"/>
      <c r="F45" s="456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27"/>
      <c r="S45" s="451"/>
      <c r="T45" s="427"/>
      <c r="U45" s="471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</row>
    <row r="46" spans="1:57">
      <c r="A46" s="441" t="s">
        <v>857</v>
      </c>
      <c r="B46" s="440" t="s">
        <v>805</v>
      </c>
      <c r="C46" s="440" t="s">
        <v>858</v>
      </c>
      <c r="D46" s="442"/>
      <c r="E46" s="456"/>
      <c r="F46" s="484">
        <f t="shared" ref="F46:Q46" si="11">F44+F40</f>
        <v>-1294113.5714285714</v>
      </c>
      <c r="G46" s="484">
        <f t="shared" si="11"/>
        <v>-1390404.5714285714</v>
      </c>
      <c r="H46" s="484">
        <f t="shared" si="11"/>
        <v>-1351051.5714285714</v>
      </c>
      <c r="I46" s="484">
        <f t="shared" si="11"/>
        <v>-2584590.5714285714</v>
      </c>
      <c r="J46" s="484">
        <f t="shared" si="11"/>
        <v>-4116086.5714285714</v>
      </c>
      <c r="K46" s="484">
        <f t="shared" si="11"/>
        <v>-4515643.7142857146</v>
      </c>
      <c r="L46" s="484">
        <f t="shared" si="11"/>
        <v>-2892843.7142857141</v>
      </c>
      <c r="M46" s="484">
        <f t="shared" si="11"/>
        <v>-5209809.9642857146</v>
      </c>
      <c r="N46" s="456">
        <f t="shared" si="11"/>
        <v>-12480872.967142858</v>
      </c>
      <c r="O46" s="456">
        <f t="shared" si="11"/>
        <v>-12184459.680442855</v>
      </c>
      <c r="P46" s="456">
        <f t="shared" si="11"/>
        <v>-12536381.545141857</v>
      </c>
      <c r="Q46" s="456">
        <f t="shared" si="11"/>
        <v>-12898861.065781828</v>
      </c>
      <c r="R46" s="427"/>
      <c r="S46" s="451"/>
      <c r="T46" s="427"/>
      <c r="U46" s="471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</row>
    <row r="47" spans="1:57">
      <c r="A47" s="444"/>
      <c r="B47" s="442"/>
      <c r="C47" s="442"/>
      <c r="D47" s="442"/>
      <c r="E47" s="456"/>
      <c r="F47" s="456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27"/>
      <c r="S47" s="451"/>
      <c r="T47" s="427"/>
      <c r="U47" s="471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</row>
    <row r="48" spans="1:57" ht="14.65" customHeight="1">
      <c r="A48" s="441" t="s">
        <v>859</v>
      </c>
      <c r="B48" s="440" t="s">
        <v>805</v>
      </c>
      <c r="C48" s="440" t="s">
        <v>860</v>
      </c>
      <c r="D48" s="442"/>
      <c r="E48" s="487">
        <v>3119951</v>
      </c>
      <c r="F48" s="488">
        <f t="shared" ref="F48:Q48" si="12">F22+F46</f>
        <v>606771.44172932347</v>
      </c>
      <c r="G48" s="488">
        <f t="shared" si="12"/>
        <v>606771.44172932347</v>
      </c>
      <c r="H48" s="488">
        <f t="shared" si="12"/>
        <v>895230.3890977446</v>
      </c>
      <c r="I48" s="488">
        <f t="shared" si="12"/>
        <v>894851.96804511314</v>
      </c>
      <c r="J48" s="488">
        <f t="shared" si="12"/>
        <v>828093.76238095248</v>
      </c>
      <c r="K48" s="488">
        <f t="shared" si="12"/>
        <v>1372055.7648809524</v>
      </c>
      <c r="L48" s="488">
        <f t="shared" si="12"/>
        <v>1299923.1596177947</v>
      </c>
      <c r="M48" s="488">
        <f t="shared" si="12"/>
        <v>2619479.6379072675</v>
      </c>
      <c r="N48" s="489">
        <f t="shared" si="12"/>
        <v>4462390.874523811</v>
      </c>
      <c r="O48" s="489">
        <f t="shared" si="12"/>
        <v>3822276.1930004768</v>
      </c>
      <c r="P48" s="489">
        <f t="shared" si="12"/>
        <v>3800201.5650047772</v>
      </c>
      <c r="Q48" s="489">
        <f t="shared" si="12"/>
        <v>3524197.7064346969</v>
      </c>
      <c r="R48" s="427"/>
      <c r="S48" s="451"/>
      <c r="T48" s="427"/>
      <c r="U48" s="427"/>
      <c r="V48" s="427"/>
      <c r="W48" s="427"/>
      <c r="X48" s="427"/>
      <c r="Y48" s="427"/>
      <c r="Z48" s="427"/>
      <c r="AA48" s="490"/>
      <c r="AB48" s="490"/>
      <c r="AC48" s="491"/>
      <c r="AD48" s="491"/>
      <c r="AE48" s="491"/>
      <c r="AF48" s="491"/>
      <c r="AG48" s="491"/>
      <c r="AH48" s="491"/>
      <c r="AI48" s="491"/>
      <c r="AJ48" s="491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</row>
    <row r="49" spans="1:57" s="39" customFormat="1">
      <c r="A49" s="492" t="s">
        <v>861</v>
      </c>
      <c r="B49" s="493" t="s">
        <v>805</v>
      </c>
      <c r="C49" s="493" t="s">
        <v>862</v>
      </c>
      <c r="D49" s="494"/>
      <c r="E49" s="462"/>
      <c r="F49" s="495">
        <f t="shared" ref="F49:Q49" si="13">F48/F22</f>
        <v>0.31920470598129896</v>
      </c>
      <c r="G49" s="495">
        <f t="shared" si="13"/>
        <v>0.30381470522966503</v>
      </c>
      <c r="H49" s="495">
        <f t="shared" si="13"/>
        <v>0.3985387430560976</v>
      </c>
      <c r="I49" s="495">
        <f t="shared" si="13"/>
        <v>0.25718256815371127</v>
      </c>
      <c r="J49" s="495">
        <f t="shared" si="13"/>
        <v>0.16748858384437218</v>
      </c>
      <c r="K49" s="495">
        <f t="shared" si="13"/>
        <v>0.23303766942180112</v>
      </c>
      <c r="L49" s="495">
        <f t="shared" si="13"/>
        <v>0.31003945573714975</v>
      </c>
      <c r="M49" s="495">
        <f t="shared" si="13"/>
        <v>0.33457437021789971</v>
      </c>
      <c r="N49" s="496">
        <f t="shared" si="13"/>
        <v>0.26337256600761616</v>
      </c>
      <c r="O49" s="496">
        <f t="shared" si="13"/>
        <v>0.23879173263188466</v>
      </c>
      <c r="P49" s="496">
        <f t="shared" si="13"/>
        <v>0.23261911866040555</v>
      </c>
      <c r="Q49" s="496">
        <f t="shared" si="13"/>
        <v>0.2145883879071728</v>
      </c>
      <c r="R49" s="427"/>
      <c r="S49" s="451"/>
      <c r="T49" s="427"/>
      <c r="U49" s="427"/>
      <c r="V49" s="427"/>
      <c r="W49" s="427"/>
      <c r="X49" s="427"/>
      <c r="Y49" s="427"/>
      <c r="Z49" s="427"/>
      <c r="AA49" s="497"/>
      <c r="AB49" s="497"/>
      <c r="AC49" s="498"/>
      <c r="AD49" s="498"/>
      <c r="AE49" s="498"/>
      <c r="AF49" s="498"/>
      <c r="AG49" s="499"/>
      <c r="AH49" s="496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 s="427"/>
      <c r="BA49" s="427"/>
      <c r="BB49" s="427"/>
      <c r="BC49" s="427"/>
      <c r="BD49" s="427"/>
      <c r="BE49" s="427"/>
    </row>
    <row r="50" spans="1:57" s="38" customFormat="1">
      <c r="A50" s="500"/>
      <c r="B50" s="494"/>
      <c r="C50" s="494"/>
      <c r="D50" s="494"/>
      <c r="E50" s="501"/>
      <c r="F50" s="496"/>
      <c r="G50" s="496"/>
      <c r="H50" s="496"/>
      <c r="I50" s="496"/>
      <c r="J50" s="496"/>
      <c r="K50" s="496"/>
      <c r="L50" s="496"/>
      <c r="M50" s="496"/>
      <c r="N50" s="496"/>
      <c r="O50" s="496"/>
      <c r="P50" s="496"/>
      <c r="Q50" s="496"/>
      <c r="R50" s="427"/>
      <c r="S50" s="451"/>
      <c r="T50" s="427"/>
      <c r="U50" s="427"/>
      <c r="V50" s="427"/>
      <c r="W50" s="427"/>
      <c r="X50" s="427"/>
      <c r="Y50" s="427"/>
      <c r="Z50" s="427"/>
      <c r="AA50" s="497"/>
      <c r="AB50" s="497"/>
      <c r="AC50" s="498"/>
      <c r="AD50" s="498"/>
      <c r="AE50" s="498"/>
      <c r="AF50" s="498"/>
      <c r="AG50" s="499"/>
      <c r="AH50" s="496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</row>
    <row r="51" spans="1:57" s="38" customFormat="1">
      <c r="A51" s="500"/>
      <c r="B51" s="494"/>
      <c r="C51" s="494"/>
      <c r="D51" s="494"/>
      <c r="E51" s="501"/>
      <c r="F51" s="496"/>
      <c r="G51" s="496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27"/>
      <c r="S51" s="451"/>
      <c r="T51" s="427"/>
      <c r="U51" s="427"/>
      <c r="V51" s="427"/>
      <c r="W51" s="427"/>
      <c r="X51" s="427"/>
      <c r="Y51" s="427"/>
      <c r="Z51" s="427"/>
      <c r="AA51" s="497"/>
      <c r="AB51" s="497"/>
      <c r="AC51" s="498"/>
      <c r="AD51" s="498"/>
      <c r="AE51" s="498"/>
      <c r="AF51" s="498"/>
      <c r="AG51" s="499"/>
      <c r="AH51" s="496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</row>
    <row r="52" spans="1:57" s="16" customFormat="1">
      <c r="A52" s="492" t="s">
        <v>863</v>
      </c>
      <c r="B52" s="494"/>
      <c r="C52" s="494"/>
      <c r="D52" s="494"/>
      <c r="E52" s="501"/>
      <c r="F52" s="502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51"/>
      <c r="T52" s="427"/>
      <c r="U52" s="427"/>
      <c r="V52" s="427"/>
      <c r="W52" s="427"/>
      <c r="X52" s="427"/>
      <c r="Y52" s="427"/>
      <c r="Z52" s="427"/>
      <c r="AA52" s="497"/>
      <c r="AB52" s="497"/>
      <c r="AC52" s="498"/>
      <c r="AD52" s="498"/>
      <c r="AE52" s="498"/>
      <c r="AF52" s="498"/>
      <c r="AG52" s="499"/>
      <c r="AH52" s="496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</row>
    <row r="53" spans="1:57" s="425" customFormat="1">
      <c r="A53" s="503" t="s">
        <v>864</v>
      </c>
      <c r="B53" s="504" t="s">
        <v>17</v>
      </c>
      <c r="C53" s="504" t="s">
        <v>865</v>
      </c>
      <c r="D53" s="427"/>
      <c r="E53" s="427"/>
      <c r="F53" s="505">
        <f>-7701527.99/4</f>
        <v>-1925381.9975000001</v>
      </c>
      <c r="G53" s="505">
        <f>F53</f>
        <v>-1925381.9975000001</v>
      </c>
      <c r="H53" s="505">
        <f>G53</f>
        <v>-1925381.9975000001</v>
      </c>
      <c r="I53" s="505">
        <f>H53</f>
        <v>-1925381.9975000001</v>
      </c>
      <c r="J53" s="505">
        <f>+J52</f>
        <v>0</v>
      </c>
      <c r="K53" s="505">
        <f>+K52</f>
        <v>0</v>
      </c>
      <c r="L53" s="505">
        <f>+L52</f>
        <v>0</v>
      </c>
      <c r="M53" s="505">
        <f>+M52</f>
        <v>0</v>
      </c>
      <c r="N53" s="486">
        <v>-5500000</v>
      </c>
      <c r="O53" s="486">
        <v>-5500000</v>
      </c>
      <c r="P53" s="486">
        <v>-5500000</v>
      </c>
      <c r="Q53" s="486">
        <v>-5500000</v>
      </c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</row>
    <row r="54" spans="1:57" s="425" customFormat="1">
      <c r="A54" s="503" t="s">
        <v>866</v>
      </c>
      <c r="B54" s="427"/>
      <c r="C54" s="427"/>
      <c r="D54" s="427"/>
      <c r="E54" s="427"/>
      <c r="F54" s="486">
        <f t="shared" ref="F54:Q54" si="14">-F31</f>
        <v>112553</v>
      </c>
      <c r="G54" s="486">
        <f t="shared" si="14"/>
        <v>186705</v>
      </c>
      <c r="H54" s="486">
        <f t="shared" si="14"/>
        <v>148699</v>
      </c>
      <c r="I54" s="486">
        <f t="shared" si="14"/>
        <v>249431</v>
      </c>
      <c r="J54" s="486">
        <f t="shared" si="14"/>
        <v>174347</v>
      </c>
      <c r="K54" s="486">
        <f t="shared" si="14"/>
        <v>174347</v>
      </c>
      <c r="L54" s="486">
        <f t="shared" si="14"/>
        <v>174347</v>
      </c>
      <c r="M54" s="486">
        <f t="shared" si="14"/>
        <v>174347</v>
      </c>
      <c r="N54" s="486">
        <f t="shared" si="14"/>
        <v>697388</v>
      </c>
      <c r="O54" s="486">
        <f t="shared" si="14"/>
        <v>697388</v>
      </c>
      <c r="P54" s="486">
        <f t="shared" si="14"/>
        <v>697388</v>
      </c>
      <c r="Q54" s="486">
        <f t="shared" si="14"/>
        <v>697388</v>
      </c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</row>
    <row r="55" spans="1:57" s="425" customFormat="1">
      <c r="A55" s="503" t="s">
        <v>867</v>
      </c>
      <c r="B55" s="427"/>
      <c r="C55" s="427"/>
      <c r="D55" s="427"/>
      <c r="E55" s="427"/>
      <c r="F55" s="486">
        <f>registry!C60</f>
        <v>50000</v>
      </c>
      <c r="G55" s="486">
        <f>registry!D60</f>
        <v>50000</v>
      </c>
      <c r="H55" s="486">
        <f>registry!E60</f>
        <v>50000</v>
      </c>
      <c r="I55" s="486">
        <f>registry!F60</f>
        <v>50000</v>
      </c>
      <c r="J55" s="486">
        <f>registry!G60</f>
        <v>50000</v>
      </c>
      <c r="K55" s="486">
        <f>registry!H60</f>
        <v>50000</v>
      </c>
      <c r="L55" s="486">
        <f>registry!I60</f>
        <v>50000</v>
      </c>
      <c r="M55" s="486">
        <f>registry!J60</f>
        <v>50000</v>
      </c>
      <c r="N55" s="486">
        <f>registry!K60</f>
        <v>250000</v>
      </c>
      <c r="O55" s="486">
        <f>registry!L60</f>
        <v>250000</v>
      </c>
      <c r="P55" s="486">
        <f>registry!M60</f>
        <v>250000</v>
      </c>
      <c r="Q55" s="486">
        <f>registry!N60</f>
        <v>250000</v>
      </c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</row>
    <row r="56" spans="1:57" s="425" customFormat="1">
      <c r="A56" s="503" t="s">
        <v>868</v>
      </c>
      <c r="B56" s="427"/>
      <c r="C56" s="427"/>
      <c r="D56" s="427"/>
      <c r="E56" s="427"/>
      <c r="F56" s="486">
        <f>'.c12_oc_hr'!F6</f>
        <v>375000</v>
      </c>
      <c r="G56" s="486">
        <f>'.c12_oc_hr'!G6</f>
        <v>375000</v>
      </c>
      <c r="H56" s="486">
        <f>'.c12_oc_hr'!H6</f>
        <v>375000</v>
      </c>
      <c r="I56" s="486">
        <f>'.c12_oc_hr'!I6</f>
        <v>375000</v>
      </c>
      <c r="J56" s="486">
        <f>'.c12_oc_hr'!J6</f>
        <v>375000</v>
      </c>
      <c r="K56" s="486">
        <f>'.c12_oc_hr'!K6</f>
        <v>375000</v>
      </c>
      <c r="L56" s="486">
        <f>'.c12_oc_hr'!L6</f>
        <v>375000</v>
      </c>
      <c r="M56" s="486">
        <f>'.c12_oc_hr'!M6</f>
        <v>375000</v>
      </c>
      <c r="N56" s="486">
        <f>'.c12_oc_hr'!N6</f>
        <v>1500000</v>
      </c>
      <c r="O56" s="486">
        <f>'.c12_oc_hr'!O6</f>
        <v>1500000</v>
      </c>
      <c r="P56" s="486">
        <f>'.c12_oc_hr'!P6</f>
        <v>1500000</v>
      </c>
      <c r="Q56" s="486">
        <f>'.c12_oc_hr'!Q6</f>
        <v>1500000</v>
      </c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</row>
    <row r="57" spans="1:57" s="425" customFormat="1">
      <c r="A57" s="503" t="s">
        <v>869</v>
      </c>
      <c r="B57" s="427"/>
      <c r="C57" s="427"/>
      <c r="D57" s="427"/>
      <c r="E57" s="427"/>
      <c r="F57" s="486">
        <f>-registry!C83</f>
        <v>250000</v>
      </c>
      <c r="G57" s="486">
        <f>-registry!D83</f>
        <v>250000</v>
      </c>
      <c r="H57" s="486">
        <f>-registry!E83</f>
        <v>250000</v>
      </c>
      <c r="I57" s="486">
        <f>-registry!F83</f>
        <v>250000</v>
      </c>
      <c r="J57" s="486">
        <f>-registry!G83</f>
        <v>250000</v>
      </c>
      <c r="K57" s="486">
        <f>-registry!H83</f>
        <v>250000</v>
      </c>
      <c r="L57" s="486">
        <f>-registry!I83</f>
        <v>250000</v>
      </c>
      <c r="M57" s="486">
        <f>-registry!J83</f>
        <v>250000</v>
      </c>
      <c r="N57" s="486">
        <f>-registry!K83</f>
        <v>1000000</v>
      </c>
      <c r="O57" s="486">
        <f>-registry!L83</f>
        <v>1000000</v>
      </c>
      <c r="P57" s="486">
        <f>-registry!M83</f>
        <v>1000000</v>
      </c>
      <c r="Q57" s="486">
        <f>-registry!N83</f>
        <v>1000000</v>
      </c>
      <c r="R57" s="427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</row>
    <row r="58" spans="1:57" s="29" customFormat="1">
      <c r="A58" s="506"/>
      <c r="B58" s="494"/>
      <c r="C58" s="494"/>
      <c r="D58" s="494"/>
      <c r="E58" s="496"/>
      <c r="F58" s="507"/>
      <c r="G58" s="508"/>
      <c r="H58" s="496"/>
      <c r="I58" s="507"/>
      <c r="J58" s="508"/>
      <c r="K58" s="508"/>
      <c r="L58" s="508"/>
      <c r="M58" s="508"/>
      <c r="N58" s="508"/>
      <c r="O58" s="508"/>
      <c r="P58" s="508"/>
      <c r="Q58" s="508"/>
      <c r="R58" s="427"/>
      <c r="S58" s="451"/>
      <c r="T58" s="427"/>
      <c r="U58" s="427"/>
      <c r="V58" s="427"/>
      <c r="W58" s="427"/>
      <c r="X58" s="427"/>
      <c r="Y58" s="427"/>
      <c r="Z58" s="427"/>
      <c r="AA58" s="497"/>
      <c r="AB58" s="497"/>
      <c r="AC58" s="498"/>
      <c r="AD58" s="498"/>
      <c r="AE58" s="498"/>
      <c r="AF58" s="498"/>
      <c r="AG58" s="499"/>
      <c r="AH58" s="496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</row>
    <row r="59" spans="1:57" s="29" customFormat="1">
      <c r="A59" s="509" t="s">
        <v>870</v>
      </c>
      <c r="B59" s="494"/>
      <c r="C59" s="494"/>
      <c r="D59" s="494"/>
      <c r="E59" s="496"/>
      <c r="F59" s="507"/>
      <c r="G59" s="507">
        <f>registry!B102</f>
        <v>0</v>
      </c>
      <c r="H59" s="507">
        <f>registry!C102</f>
        <v>0</v>
      </c>
      <c r="I59" s="507">
        <f>-registry!D102</f>
        <v>1200000</v>
      </c>
      <c r="J59" s="507">
        <f>registry!C102</f>
        <v>0</v>
      </c>
      <c r="K59" s="427"/>
      <c r="L59" s="507">
        <f>registry!E102</f>
        <v>0</v>
      </c>
      <c r="M59" s="507"/>
      <c r="N59" s="507">
        <f>registry!G102</f>
        <v>0</v>
      </c>
      <c r="O59" s="507">
        <f>registry!H102</f>
        <v>0</v>
      </c>
      <c r="P59" s="507">
        <f>registry!I102</f>
        <v>0</v>
      </c>
      <c r="Q59" s="507">
        <f>registry!J102</f>
        <v>0</v>
      </c>
      <c r="R59" s="427"/>
      <c r="S59" s="451"/>
      <c r="T59" s="427"/>
      <c r="U59" s="427"/>
      <c r="V59" s="427"/>
      <c r="W59" s="427"/>
      <c r="X59" s="427"/>
      <c r="Y59" s="427"/>
      <c r="Z59" s="427"/>
      <c r="AA59" s="497"/>
      <c r="AB59" s="497"/>
      <c r="AC59" s="498"/>
      <c r="AD59" s="498"/>
      <c r="AE59" s="498"/>
      <c r="AF59" s="498"/>
      <c r="AG59" s="499"/>
      <c r="AH59" s="496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</row>
    <row r="60" spans="1:57" s="16" customFormat="1">
      <c r="A60" s="492" t="s">
        <v>871</v>
      </c>
      <c r="B60" s="493" t="s">
        <v>805</v>
      </c>
      <c r="C60" s="493" t="s">
        <v>872</v>
      </c>
      <c r="D60" s="494"/>
      <c r="E60" s="510">
        <v>-4651000</v>
      </c>
      <c r="F60" s="511">
        <f t="shared" ref="F60:Q60" si="15">SUM(F53:F59)</f>
        <v>-1137828.9975000001</v>
      </c>
      <c r="G60" s="511">
        <f t="shared" si="15"/>
        <v>-1063676.9975000001</v>
      </c>
      <c r="H60" s="511">
        <f t="shared" si="15"/>
        <v>-1101682.9975000001</v>
      </c>
      <c r="I60" s="511">
        <f t="shared" si="15"/>
        <v>199049.00249999994</v>
      </c>
      <c r="J60" s="511">
        <f t="shared" si="15"/>
        <v>849347</v>
      </c>
      <c r="K60" s="511">
        <f t="shared" si="15"/>
        <v>849347</v>
      </c>
      <c r="L60" s="511">
        <f t="shared" si="15"/>
        <v>849347</v>
      </c>
      <c r="M60" s="511">
        <f t="shared" si="15"/>
        <v>849347</v>
      </c>
      <c r="N60" s="512">
        <f t="shared" si="15"/>
        <v>-2052612</v>
      </c>
      <c r="O60" s="512">
        <f t="shared" si="15"/>
        <v>-2052612</v>
      </c>
      <c r="P60" s="512">
        <f t="shared" si="15"/>
        <v>-2052612</v>
      </c>
      <c r="Q60" s="512">
        <f t="shared" si="15"/>
        <v>-2052612</v>
      </c>
      <c r="R60" s="427"/>
      <c r="S60" s="451"/>
      <c r="T60" s="427"/>
      <c r="U60" s="427"/>
      <c r="V60" s="427"/>
      <c r="W60" s="427"/>
      <c r="X60" s="427"/>
      <c r="Y60" s="427"/>
      <c r="Z60" s="427"/>
      <c r="AA60" s="497"/>
      <c r="AB60" s="497"/>
      <c r="AC60" s="498"/>
      <c r="AD60" s="498"/>
      <c r="AE60" s="498"/>
      <c r="AF60" s="498"/>
      <c r="AG60" s="499"/>
      <c r="AH60" s="496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</row>
    <row r="61" spans="1:57" s="16" customFormat="1">
      <c r="A61" s="492" t="s">
        <v>873</v>
      </c>
      <c r="B61" s="493" t="s">
        <v>805</v>
      </c>
      <c r="C61" s="493" t="s">
        <v>874</v>
      </c>
      <c r="D61" s="494"/>
      <c r="E61" s="510">
        <v>-1531049</v>
      </c>
      <c r="F61" s="511">
        <f t="shared" ref="F61:Q61" si="16">+(F48+F60)</f>
        <v>-531057.55577067658</v>
      </c>
      <c r="G61" s="511">
        <f t="shared" si="16"/>
        <v>-456905.55577067658</v>
      </c>
      <c r="H61" s="511">
        <f t="shared" si="16"/>
        <v>-206452.60840225546</v>
      </c>
      <c r="I61" s="511">
        <f t="shared" si="16"/>
        <v>1093900.9705451131</v>
      </c>
      <c r="J61" s="511">
        <f t="shared" si="16"/>
        <v>1677440.7623809525</v>
      </c>
      <c r="K61" s="511">
        <f t="shared" si="16"/>
        <v>2221402.7648809524</v>
      </c>
      <c r="L61" s="511">
        <f t="shared" si="16"/>
        <v>2149270.1596177947</v>
      </c>
      <c r="M61" s="511">
        <f t="shared" si="16"/>
        <v>3468826.6379072675</v>
      </c>
      <c r="N61" s="512">
        <f t="shared" si="16"/>
        <v>2409778.874523811</v>
      </c>
      <c r="O61" s="512">
        <f t="shared" si="16"/>
        <v>1769664.1930004768</v>
      </c>
      <c r="P61" s="512">
        <f t="shared" si="16"/>
        <v>1747589.5650047772</v>
      </c>
      <c r="Q61" s="512">
        <f t="shared" si="16"/>
        <v>1471585.7064346969</v>
      </c>
      <c r="R61" s="427"/>
      <c r="S61" s="451"/>
      <c r="T61" s="427"/>
      <c r="U61" s="427"/>
      <c r="V61" s="427"/>
      <c r="W61" s="427"/>
      <c r="X61" s="427"/>
      <c r="Y61" s="427"/>
      <c r="Z61" s="427"/>
      <c r="AA61" s="497"/>
      <c r="AB61" s="497"/>
      <c r="AC61" s="498"/>
      <c r="AD61" s="498"/>
      <c r="AE61" s="498"/>
      <c r="AF61" s="498"/>
      <c r="AG61" s="499"/>
      <c r="AH61" s="496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</row>
    <row r="62" spans="1:57" s="33" customFormat="1">
      <c r="A62" s="492" t="s">
        <v>875</v>
      </c>
      <c r="B62" s="493" t="s">
        <v>805</v>
      </c>
      <c r="C62" s="493" t="s">
        <v>876</v>
      </c>
      <c r="D62" s="494"/>
      <c r="E62" s="512"/>
      <c r="F62" s="511"/>
      <c r="G62" s="511"/>
      <c r="H62" s="511"/>
      <c r="I62" s="511"/>
      <c r="J62" s="511">
        <f>-E63</f>
        <v>1540999</v>
      </c>
      <c r="K62" s="511"/>
      <c r="L62" s="511"/>
      <c r="M62" s="511"/>
      <c r="N62" s="512"/>
      <c r="O62" s="512"/>
      <c r="P62" s="512"/>
      <c r="Q62" s="512"/>
      <c r="R62" s="427"/>
      <c r="S62" s="451"/>
      <c r="T62" s="427"/>
      <c r="U62" s="427"/>
      <c r="V62" s="427"/>
      <c r="W62" s="427"/>
      <c r="X62" s="427"/>
      <c r="Y62" s="427"/>
      <c r="Z62" s="427"/>
      <c r="AA62" s="497"/>
      <c r="AB62" s="497"/>
      <c r="AC62" s="498"/>
      <c r="AD62" s="498"/>
      <c r="AE62" s="498"/>
      <c r="AF62" s="498"/>
      <c r="AG62" s="499"/>
      <c r="AH62" s="496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</row>
    <row r="63" spans="1:57" s="419" customFormat="1">
      <c r="A63" s="492" t="s">
        <v>877</v>
      </c>
      <c r="B63" s="493" t="s">
        <v>805</v>
      </c>
      <c r="C63" s="493" t="s">
        <v>878</v>
      </c>
      <c r="D63" s="494"/>
      <c r="E63" s="513">
        <f>-1540999</f>
        <v>-1540999</v>
      </c>
      <c r="F63" s="514">
        <f t="shared" ref="F63:Q63" si="17">MIN(F61+E63+F62,0)</f>
        <v>-2072056.5557706766</v>
      </c>
      <c r="G63" s="514">
        <f t="shared" si="17"/>
        <v>-2528962.1115413532</v>
      </c>
      <c r="H63" s="514">
        <f t="shared" si="17"/>
        <v>-2735414.7199436086</v>
      </c>
      <c r="I63" s="514">
        <f t="shared" si="17"/>
        <v>-1641513.7493984955</v>
      </c>
      <c r="J63" s="514">
        <f t="shared" si="17"/>
        <v>0</v>
      </c>
      <c r="K63" s="514">
        <f t="shared" si="17"/>
        <v>0</v>
      </c>
      <c r="L63" s="514">
        <f t="shared" si="17"/>
        <v>0</v>
      </c>
      <c r="M63" s="514">
        <f t="shared" si="17"/>
        <v>0</v>
      </c>
      <c r="N63" s="513">
        <f t="shared" si="17"/>
        <v>0</v>
      </c>
      <c r="O63" s="513">
        <f t="shared" si="17"/>
        <v>0</v>
      </c>
      <c r="P63" s="513">
        <f t="shared" si="17"/>
        <v>0</v>
      </c>
      <c r="Q63" s="513">
        <f t="shared" si="17"/>
        <v>0</v>
      </c>
      <c r="R63" s="427"/>
      <c r="S63" s="451"/>
      <c r="T63" s="427"/>
      <c r="U63" s="427"/>
      <c r="V63" s="427"/>
      <c r="W63" s="427"/>
      <c r="X63" s="427"/>
      <c r="Y63" s="427"/>
      <c r="Z63" s="427"/>
      <c r="AA63" s="497"/>
      <c r="AB63" s="497"/>
      <c r="AC63" s="498"/>
      <c r="AD63" s="498"/>
      <c r="AE63" s="498"/>
      <c r="AF63" s="498"/>
      <c r="AG63" s="499"/>
      <c r="AH63" s="496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</row>
    <row r="64" spans="1:57">
      <c r="A64" s="427"/>
      <c r="B64" s="448"/>
      <c r="C64" s="448"/>
      <c r="D64" s="448"/>
      <c r="E64" s="443"/>
      <c r="F64" s="443"/>
      <c r="G64" s="443"/>
      <c r="H64" s="443"/>
      <c r="I64" s="443"/>
      <c r="J64" s="443"/>
      <c r="K64" s="443"/>
      <c r="L64" s="443"/>
      <c r="M64" s="443"/>
      <c r="N64" s="443"/>
      <c r="O64" s="443"/>
      <c r="P64" s="443"/>
      <c r="Q64" s="443"/>
      <c r="R64" s="427"/>
      <c r="S64" s="451"/>
      <c r="T64" s="427"/>
      <c r="U64" s="427"/>
      <c r="V64" s="427"/>
      <c r="W64" s="427"/>
      <c r="X64" s="427"/>
      <c r="Y64" s="427"/>
      <c r="Z64" s="427"/>
      <c r="AA64" s="491"/>
      <c r="AB64" s="491"/>
      <c r="AC64" s="515"/>
      <c r="AD64" s="515"/>
      <c r="AE64" s="515"/>
      <c r="AF64" s="515"/>
      <c r="AG64" s="447"/>
      <c r="AH64" s="443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</row>
    <row r="65" spans="1:57">
      <c r="A65" s="439" t="s">
        <v>879</v>
      </c>
      <c r="B65" s="448"/>
      <c r="C65" s="448"/>
      <c r="D65" s="448"/>
      <c r="E65" s="486"/>
      <c r="F65" s="486"/>
      <c r="G65" s="486"/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27"/>
      <c r="S65" s="451"/>
      <c r="T65" s="427"/>
      <c r="U65" s="427"/>
      <c r="V65" s="427"/>
      <c r="W65" s="427"/>
      <c r="X65" s="427"/>
      <c r="Y65" s="427"/>
      <c r="Z65" s="427"/>
      <c r="AA65" s="491"/>
      <c r="AB65" s="491"/>
      <c r="AC65" s="515"/>
      <c r="AD65" s="515"/>
      <c r="AE65" s="515"/>
      <c r="AF65" s="515"/>
      <c r="AG65" s="447"/>
      <c r="AH65" s="443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</row>
    <row r="66" spans="1:57">
      <c r="A66" s="439" t="s">
        <v>4</v>
      </c>
      <c r="B66" s="448"/>
      <c r="C66" s="448"/>
      <c r="D66" s="448"/>
      <c r="E66" s="486"/>
      <c r="F66" s="486">
        <f>-'c12_hm'!F62</f>
        <v>113077.75</v>
      </c>
      <c r="G66" s="486">
        <f>-'c12_hm'!G62</f>
        <v>226155.5</v>
      </c>
      <c r="H66" s="486">
        <f>-'c12_hm'!H62</f>
        <v>339233.25</v>
      </c>
      <c r="I66" s="486">
        <f>-'c12_hm'!I62</f>
        <v>563661</v>
      </c>
      <c r="J66" s="486">
        <f>-'c12_hm'!J62</f>
        <v>1162988.5925</v>
      </c>
      <c r="K66" s="486">
        <f>-'c12_hm'!K62</f>
        <v>1170394.6850000001</v>
      </c>
      <c r="L66" s="486">
        <f>-'c12_hm'!L62</f>
        <v>1177800.7775000001</v>
      </c>
      <c r="M66" s="486">
        <f>-'c12_hm'!M62</f>
        <v>16206.870000000112</v>
      </c>
      <c r="N66" s="486">
        <f>-'c12_hm'!N62</f>
        <v>1046719.9711</v>
      </c>
      <c r="O66" s="486">
        <f>-'c12_hm'!O62</f>
        <v>1078148.4652329998</v>
      </c>
      <c r="P66" s="486">
        <f>-'c12_hm'!P62</f>
        <v>110519.81418999005</v>
      </c>
      <c r="Q66" s="486">
        <f>-'c12_hm'!Q62</f>
        <v>0</v>
      </c>
      <c r="R66" s="427"/>
      <c r="S66" s="451"/>
      <c r="T66" s="427"/>
      <c r="U66" s="427"/>
      <c r="V66" s="427"/>
      <c r="W66" s="427"/>
      <c r="X66" s="427"/>
      <c r="Y66" s="427"/>
      <c r="Z66" s="427"/>
      <c r="AA66" s="491"/>
      <c r="AB66" s="491"/>
      <c r="AC66" s="515"/>
      <c r="AD66" s="515"/>
      <c r="AE66" s="515"/>
      <c r="AF66" s="515"/>
      <c r="AG66" s="447"/>
      <c r="AH66" s="443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</row>
    <row r="67" spans="1:57">
      <c r="A67" s="439" t="s">
        <v>825</v>
      </c>
      <c r="B67" s="448"/>
      <c r="C67" s="448"/>
      <c r="D67" s="448"/>
      <c r="E67" s="486"/>
      <c r="F67" s="486">
        <f>'c12_bi&amp;F'!F62</f>
        <v>0</v>
      </c>
      <c r="G67" s="486">
        <f>'c12_bi&amp;F'!G62</f>
        <v>0</v>
      </c>
      <c r="H67" s="486">
        <f>'c12_bi&amp;F'!H62</f>
        <v>0</v>
      </c>
      <c r="I67" s="486">
        <f>'c12_bi&amp;F'!I62</f>
        <v>0</v>
      </c>
      <c r="J67" s="486">
        <f>'c12_bi&amp;F'!J62</f>
        <v>0</v>
      </c>
      <c r="K67" s="486">
        <f>'c12_bi&amp;F'!K62</f>
        <v>0</v>
      </c>
      <c r="L67" s="486">
        <f>'c12_bi&amp;F'!L62</f>
        <v>0</v>
      </c>
      <c r="M67" s="486">
        <f>'c12_bi&amp;F'!M62</f>
        <v>0</v>
      </c>
      <c r="N67" s="486">
        <f>'c12_bi&amp;F'!N62</f>
        <v>0</v>
      </c>
      <c r="O67" s="486">
        <f>'c12_bi&amp;F'!O62</f>
        <v>0</v>
      </c>
      <c r="P67" s="486">
        <f>'c12_bi&amp;F'!P62</f>
        <v>0</v>
      </c>
      <c r="Q67" s="486">
        <f>'c12_bi&amp;F'!Q62</f>
        <v>0</v>
      </c>
      <c r="R67" s="427"/>
      <c r="S67" s="451"/>
      <c r="T67" s="427"/>
      <c r="U67" s="427"/>
      <c r="V67" s="427"/>
      <c r="W67" s="427"/>
      <c r="X67" s="427"/>
      <c r="Y67" s="427"/>
      <c r="Z67" s="427"/>
      <c r="AA67" s="491"/>
      <c r="AB67" s="491"/>
      <c r="AC67" s="515"/>
      <c r="AD67" s="515"/>
      <c r="AE67" s="515"/>
      <c r="AF67" s="515"/>
      <c r="AG67" s="447"/>
      <c r="AH67" s="443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</row>
    <row r="68" spans="1:57">
      <c r="A68" s="439" t="s">
        <v>880</v>
      </c>
      <c r="B68" s="448"/>
      <c r="C68" s="448"/>
      <c r="D68" s="448"/>
      <c r="E68" s="486"/>
      <c r="F68" s="486">
        <f>-'c12_d&amp;s'!F62</f>
        <v>302954.75</v>
      </c>
      <c r="G68" s="486">
        <f>-'c12_d&amp;s'!G62</f>
        <v>2855909.5</v>
      </c>
      <c r="H68" s="486">
        <f>-'c12_d&amp;s'!H62</f>
        <v>4033864.25</v>
      </c>
      <c r="I68" s="486">
        <f>-'c12_d&amp;s'!I62</f>
        <v>4801819</v>
      </c>
      <c r="J68" s="486">
        <f>-'c12_d&amp;s'!J62</f>
        <v>4957879.68</v>
      </c>
      <c r="K68" s="486">
        <f>-'c12_d&amp;s'!K62</f>
        <v>4470379.68</v>
      </c>
      <c r="L68" s="486">
        <f>-'c12_d&amp;s'!L62</f>
        <v>4201060.68</v>
      </c>
      <c r="M68" s="486">
        <f>-'c12_d&amp;s'!M62</f>
        <v>4929060.68</v>
      </c>
      <c r="N68" s="486">
        <f>-'c12_d&amp;s'!N62</f>
        <v>3750000</v>
      </c>
      <c r="O68" s="486">
        <f>-'c12_d&amp;s'!O62</f>
        <v>2650000</v>
      </c>
      <c r="P68" s="486">
        <f>-'c12_d&amp;s'!P62</f>
        <v>6000000</v>
      </c>
      <c r="Q68" s="486">
        <f>-'c12_d&amp;s'!Q62</f>
        <v>8000000.333333333</v>
      </c>
      <c r="R68" s="427"/>
      <c r="S68" s="451"/>
      <c r="T68" s="427"/>
      <c r="U68" s="427"/>
      <c r="V68" s="427"/>
      <c r="W68" s="427"/>
      <c r="X68" s="427"/>
      <c r="Y68" s="427"/>
      <c r="Z68" s="427"/>
      <c r="AA68" s="491"/>
      <c r="AB68" s="491"/>
      <c r="AC68" s="515"/>
      <c r="AD68" s="515"/>
      <c r="AE68" s="515"/>
      <c r="AF68" s="515"/>
      <c r="AG68" s="447"/>
      <c r="AH68" s="443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</row>
    <row r="69" spans="1:57" s="417" customFormat="1">
      <c r="A69" s="466" t="s">
        <v>259</v>
      </c>
      <c r="B69" s="461" t="s">
        <v>805</v>
      </c>
      <c r="C69" s="461" t="s">
        <v>881</v>
      </c>
      <c r="D69" s="448"/>
      <c r="E69" s="516"/>
      <c r="F69" s="517">
        <f t="shared" ref="F69:Q69" si="18">SUM(F66:F68)</f>
        <v>416032.5</v>
      </c>
      <c r="G69" s="517">
        <f t="shared" si="18"/>
        <v>3082065</v>
      </c>
      <c r="H69" s="517">
        <f t="shared" si="18"/>
        <v>4373097.5</v>
      </c>
      <c r="I69" s="517">
        <f t="shared" si="18"/>
        <v>5365480</v>
      </c>
      <c r="J69" s="517">
        <f t="shared" si="18"/>
        <v>6120868.2725</v>
      </c>
      <c r="K69" s="517">
        <f t="shared" si="18"/>
        <v>5640774.3650000002</v>
      </c>
      <c r="L69" s="517">
        <f t="shared" si="18"/>
        <v>5378861.4574999996</v>
      </c>
      <c r="M69" s="517">
        <f t="shared" si="18"/>
        <v>4945267.55</v>
      </c>
      <c r="N69" s="516">
        <f t="shared" si="18"/>
        <v>4796719.9710999997</v>
      </c>
      <c r="O69" s="516">
        <f t="shared" si="18"/>
        <v>3728148.465233</v>
      </c>
      <c r="P69" s="516">
        <f t="shared" si="18"/>
        <v>6110519.8141899901</v>
      </c>
      <c r="Q69" s="516">
        <f t="shared" si="18"/>
        <v>8000000.333333333</v>
      </c>
      <c r="R69" s="427"/>
      <c r="S69" s="451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</row>
    <row r="70" spans="1:57">
      <c r="A70" s="518"/>
      <c r="B70" s="448"/>
      <c r="C70" s="448"/>
      <c r="D70" s="448"/>
      <c r="E70" s="486"/>
      <c r="F70" s="486"/>
      <c r="G70" s="486"/>
      <c r="H70" s="486"/>
      <c r="I70" s="486"/>
      <c r="J70" s="486"/>
      <c r="K70" s="486"/>
      <c r="L70" s="486"/>
      <c r="M70" s="486"/>
      <c r="N70" s="486"/>
      <c r="O70" s="486"/>
      <c r="P70" s="486"/>
      <c r="Q70" s="486"/>
      <c r="R70" s="427"/>
      <c r="S70" s="451"/>
      <c r="T70" s="427"/>
      <c r="U70" s="427"/>
      <c r="V70" s="427"/>
      <c r="W70" s="427"/>
      <c r="X70" s="427"/>
      <c r="Y70" s="427"/>
      <c r="Z70" s="427"/>
      <c r="AA70" s="491"/>
      <c r="AB70" s="491"/>
      <c r="AC70" s="515"/>
      <c r="AD70" s="515"/>
      <c r="AE70" s="515"/>
      <c r="AF70" s="515"/>
      <c r="AG70" s="515"/>
      <c r="AH70" s="447"/>
      <c r="AI70" s="443"/>
      <c r="AJ70" s="519"/>
      <c r="AK70" s="519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</row>
    <row r="71" spans="1:57">
      <c r="A71" s="461" t="s">
        <v>882</v>
      </c>
      <c r="B71" s="448"/>
      <c r="C71" s="448"/>
      <c r="D71" s="448"/>
      <c r="E71" s="486"/>
      <c r="F71" s="486"/>
      <c r="G71" s="486"/>
      <c r="H71" s="486"/>
      <c r="I71" s="486"/>
      <c r="J71" s="486"/>
      <c r="K71" s="486"/>
      <c r="L71" s="486"/>
      <c r="M71" s="486"/>
      <c r="N71" s="486"/>
      <c r="O71" s="486"/>
      <c r="P71" s="486"/>
      <c r="Q71" s="486"/>
      <c r="R71" s="427"/>
      <c r="S71" s="451"/>
      <c r="T71" s="427"/>
      <c r="U71" s="427"/>
      <c r="V71" s="427"/>
      <c r="W71" s="427"/>
      <c r="X71" s="427"/>
      <c r="Y71" s="427"/>
      <c r="Z71" s="427"/>
      <c r="AA71" s="491"/>
      <c r="AB71" s="491"/>
      <c r="AC71" s="515"/>
      <c r="AD71" s="515"/>
      <c r="AE71" s="515"/>
      <c r="AF71" s="515"/>
      <c r="AG71" s="515"/>
      <c r="AH71" s="447"/>
      <c r="AI71" s="443"/>
      <c r="AJ71" s="519"/>
      <c r="AK71" s="519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</row>
    <row r="72" spans="1:57">
      <c r="A72" s="439" t="s">
        <v>4</v>
      </c>
      <c r="B72" s="448"/>
      <c r="C72" s="448"/>
      <c r="D72" s="448"/>
      <c r="E72" s="486"/>
      <c r="F72" s="486">
        <f>+'c12_hm'!F74</f>
        <v>113077.75</v>
      </c>
      <c r="G72" s="486">
        <f>+'c12_hm'!G74</f>
        <v>226155.5</v>
      </c>
      <c r="H72" s="486">
        <f>+'c12_hm'!H74</f>
        <v>339233.25</v>
      </c>
      <c r="I72" s="486">
        <f>+'c12_hm'!I74</f>
        <v>563661</v>
      </c>
      <c r="J72" s="486">
        <f>+'c12_hm'!J74</f>
        <v>740925.65737499995</v>
      </c>
      <c r="K72" s="486">
        <f>+'c12_hm'!K74</f>
        <v>583052.45224999997</v>
      </c>
      <c r="L72" s="486">
        <f>+'c12_hm'!L74</f>
        <v>425179.24712499999</v>
      </c>
      <c r="M72" s="486">
        <f>+'c12_hm'!M74</f>
        <v>18621.379500000039</v>
      </c>
      <c r="N72" s="486">
        <f>+'c12_hm'!N74</f>
        <v>379300.96488499996</v>
      </c>
      <c r="O72" s="486">
        <f>+'c12_hm'!O74</f>
        <v>390300.93783154996</v>
      </c>
      <c r="P72" s="486">
        <f>+'c12_hm'!P74</f>
        <v>51630.909966496518</v>
      </c>
      <c r="Q72" s="486">
        <f>+'c12_hm'!Q74</f>
        <v>12948.975000000006</v>
      </c>
      <c r="R72" s="427"/>
      <c r="S72" s="451"/>
      <c r="T72" s="427"/>
      <c r="U72" s="427"/>
      <c r="V72" s="427"/>
      <c r="W72" s="427"/>
      <c r="X72" s="427"/>
      <c r="Y72" s="427"/>
      <c r="Z72" s="427"/>
      <c r="AA72" s="491"/>
      <c r="AB72" s="491"/>
      <c r="AC72" s="515"/>
      <c r="AD72" s="515"/>
      <c r="AE72" s="515"/>
      <c r="AF72" s="515"/>
      <c r="AG72" s="515"/>
      <c r="AH72" s="447"/>
      <c r="AI72" s="443"/>
      <c r="AJ72" s="519"/>
      <c r="AK72" s="519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</row>
    <row r="73" spans="1:57">
      <c r="A73" s="439" t="s">
        <v>883</v>
      </c>
      <c r="B73" s="448"/>
      <c r="C73" s="448"/>
      <c r="D73" s="448"/>
      <c r="E73" s="486"/>
      <c r="F73" s="486">
        <f>'c12_bi&amp;F'!F74</f>
        <v>0</v>
      </c>
      <c r="G73" s="486">
        <f>'c12_bi&amp;F'!G74</f>
        <v>0</v>
      </c>
      <c r="H73" s="486">
        <f>'c12_bi&amp;F'!H74</f>
        <v>0</v>
      </c>
      <c r="I73" s="486">
        <f>'c12_bi&amp;F'!I74</f>
        <v>0</v>
      </c>
      <c r="J73" s="486">
        <f>'c12_bi&amp;F'!J74</f>
        <v>0</v>
      </c>
      <c r="K73" s="486">
        <f>'c12_bi&amp;F'!K74</f>
        <v>0</v>
      </c>
      <c r="L73" s="486">
        <f>'c12_bi&amp;F'!L74</f>
        <v>0</v>
      </c>
      <c r="M73" s="486">
        <f>'c12_bi&amp;F'!M74</f>
        <v>0</v>
      </c>
      <c r="N73" s="486">
        <f>'c12_bi&amp;F'!N74</f>
        <v>0</v>
      </c>
      <c r="O73" s="486">
        <f>'c12_bi&amp;F'!O74</f>
        <v>0</v>
      </c>
      <c r="P73" s="486">
        <f>'c12_bi&amp;F'!P74</f>
        <v>0</v>
      </c>
      <c r="Q73" s="486">
        <f>'c12_bi&amp;F'!Q74</f>
        <v>0</v>
      </c>
      <c r="R73" s="427"/>
      <c r="S73" s="451"/>
      <c r="T73" s="427"/>
      <c r="U73" s="427"/>
      <c r="V73" s="427"/>
      <c r="W73" s="427"/>
      <c r="X73" s="427"/>
      <c r="Y73" s="427"/>
      <c r="Z73" s="427"/>
      <c r="AA73" s="491"/>
      <c r="AB73" s="491"/>
      <c r="AC73" s="515"/>
      <c r="AD73" s="515"/>
      <c r="AE73" s="515"/>
      <c r="AF73" s="515"/>
      <c r="AG73" s="515"/>
      <c r="AH73" s="447"/>
      <c r="AI73" s="443"/>
      <c r="AJ73" s="519"/>
      <c r="AK73" s="519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</row>
    <row r="74" spans="1:57">
      <c r="A74" s="439" t="s">
        <v>880</v>
      </c>
      <c r="B74" s="448"/>
      <c r="C74" s="448"/>
      <c r="D74" s="448"/>
      <c r="E74" s="477"/>
      <c r="F74" s="477">
        <f>'c12_d&amp;s'!F74</f>
        <v>151477.375</v>
      </c>
      <c r="G74" s="477">
        <f>'c12_d&amp;s'!G74</f>
        <v>1427954.75</v>
      </c>
      <c r="H74" s="477">
        <f>'c12_d&amp;s'!H74</f>
        <v>2016932.125</v>
      </c>
      <c r="I74" s="477">
        <f>'c12_d&amp;s'!I74</f>
        <v>2400909.5</v>
      </c>
      <c r="J74" s="477">
        <f>'c12_d&amp;s'!J74</f>
        <v>2229233.6399999997</v>
      </c>
      <c r="K74" s="477">
        <f>'c12_d&amp;s'!K74</f>
        <v>1881983.6399999997</v>
      </c>
      <c r="L74" s="477">
        <f>'c12_d&amp;s'!L74</f>
        <v>1597324.1399999997</v>
      </c>
      <c r="M74" s="477">
        <f>'c12_d&amp;s'!M74</f>
        <v>1646324.1399999997</v>
      </c>
      <c r="N74" s="477">
        <f>'c12_d&amp;s'!N74</f>
        <v>1233652.9019999998</v>
      </c>
      <c r="O74" s="477">
        <f>'c12_d&amp;s'!O74</f>
        <v>848652.90199999965</v>
      </c>
      <c r="P74" s="477">
        <f>'c12_d&amp;s'!P74</f>
        <v>2021152.9019999998</v>
      </c>
      <c r="Q74" s="477">
        <f>'c12_d&amp;s'!Q74</f>
        <v>2721153.0186666665</v>
      </c>
      <c r="R74" s="477"/>
      <c r="S74" s="451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86"/>
      <c r="AJ74" s="486"/>
      <c r="AK74" s="486"/>
      <c r="AL74" s="486"/>
      <c r="AM74" s="486"/>
      <c r="AN74" s="486"/>
      <c r="AO74" s="486"/>
      <c r="AP74" s="486"/>
      <c r="AQ74" s="486"/>
      <c r="AR74" s="427"/>
      <c r="AS74" s="486"/>
      <c r="AT74" s="486"/>
      <c r="AU74" s="486"/>
      <c r="AV74" s="486"/>
      <c r="AW74" s="486"/>
      <c r="AX74" s="486"/>
      <c r="AY74" s="486"/>
      <c r="AZ74" s="427"/>
      <c r="BA74" s="427"/>
      <c r="BB74" s="427"/>
      <c r="BC74" s="427"/>
      <c r="BD74" s="427"/>
      <c r="BE74" s="427"/>
    </row>
    <row r="75" spans="1:57" s="417" customFormat="1">
      <c r="A75" s="466" t="s">
        <v>259</v>
      </c>
      <c r="B75" s="461" t="s">
        <v>805</v>
      </c>
      <c r="C75" s="461" t="s">
        <v>884</v>
      </c>
      <c r="D75" s="448"/>
      <c r="E75" s="520"/>
      <c r="F75" s="521">
        <f t="shared" ref="F75:Q75" si="19">SUM(F72:F74)</f>
        <v>264555.125</v>
      </c>
      <c r="G75" s="521">
        <f t="shared" si="19"/>
        <v>1654110.25</v>
      </c>
      <c r="H75" s="521">
        <f t="shared" si="19"/>
        <v>2356165.375</v>
      </c>
      <c r="I75" s="521">
        <f t="shared" si="19"/>
        <v>2964570.5</v>
      </c>
      <c r="J75" s="521">
        <f t="shared" si="19"/>
        <v>2970159.2973749996</v>
      </c>
      <c r="K75" s="521">
        <f t="shared" si="19"/>
        <v>2465036.0922499998</v>
      </c>
      <c r="L75" s="521">
        <f t="shared" si="19"/>
        <v>2022503.3871249997</v>
      </c>
      <c r="M75" s="521">
        <f t="shared" si="19"/>
        <v>1664945.5194999997</v>
      </c>
      <c r="N75" s="520">
        <f t="shared" si="19"/>
        <v>1612953.8668849997</v>
      </c>
      <c r="O75" s="520">
        <f t="shared" si="19"/>
        <v>1238953.8398315497</v>
      </c>
      <c r="P75" s="520">
        <f t="shared" si="19"/>
        <v>2072783.8119664963</v>
      </c>
      <c r="Q75" s="520">
        <f t="shared" si="19"/>
        <v>2734101.9936666666</v>
      </c>
      <c r="R75" s="427"/>
      <c r="S75" s="451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86"/>
      <c r="AL75" s="486"/>
      <c r="AM75" s="486"/>
      <c r="AN75" s="486"/>
      <c r="AO75" s="486"/>
      <c r="AP75" s="486"/>
      <c r="AQ75" s="486"/>
      <c r="AR75" s="427"/>
      <c r="AS75" s="486"/>
      <c r="AT75" s="486"/>
      <c r="AU75" s="486"/>
      <c r="AV75" s="486"/>
      <c r="AW75" s="486"/>
      <c r="AX75" s="486"/>
      <c r="AY75" s="486"/>
      <c r="AZ75" s="427"/>
      <c r="BA75" s="427"/>
      <c r="BB75" s="427"/>
      <c r="BC75" s="427"/>
      <c r="BD75" s="427"/>
      <c r="BE75" s="427"/>
    </row>
    <row r="76" spans="1:57">
      <c r="A76" s="518"/>
      <c r="B76" s="448"/>
      <c r="C76" s="448"/>
      <c r="D76" s="448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77"/>
      <c r="R76" s="427"/>
      <c r="S76" s="451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86"/>
      <c r="AL76" s="486"/>
      <c r="AM76" s="486"/>
      <c r="AN76" s="486"/>
      <c r="AO76" s="486"/>
      <c r="AP76" s="486"/>
      <c r="AQ76" s="486"/>
      <c r="AR76" s="427"/>
      <c r="AS76" s="486"/>
      <c r="AT76" s="486"/>
      <c r="AU76" s="486"/>
      <c r="AV76" s="486"/>
      <c r="AW76" s="486"/>
      <c r="AX76" s="486"/>
      <c r="AY76" s="486"/>
      <c r="AZ76" s="427"/>
      <c r="BA76" s="427"/>
      <c r="BB76" s="427"/>
      <c r="BC76" s="427"/>
      <c r="BD76" s="427"/>
      <c r="BE76" s="427"/>
    </row>
    <row r="77" spans="1:57">
      <c r="A77" s="518"/>
      <c r="B77" s="448"/>
      <c r="C77" s="448"/>
      <c r="D77" s="448"/>
      <c r="E77" s="427"/>
      <c r="F77" s="427"/>
      <c r="G77" s="427"/>
      <c r="H77" s="427"/>
      <c r="I77" s="477"/>
      <c r="J77" s="477"/>
      <c r="K77" s="477"/>
      <c r="L77" s="477"/>
      <c r="M77" s="477"/>
      <c r="N77" s="427"/>
      <c r="O77" s="427"/>
      <c r="P77" s="427"/>
      <c r="Q77" s="427"/>
      <c r="R77" s="427"/>
      <c r="S77" s="427"/>
      <c r="T77" s="427"/>
      <c r="U77" s="427"/>
      <c r="V77" s="427"/>
      <c r="W77" s="451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86"/>
      <c r="AP77" s="486"/>
      <c r="AQ77" s="486"/>
      <c r="AR77" s="486"/>
      <c r="AS77" s="486"/>
      <c r="AT77" s="486"/>
      <c r="AU77" s="486"/>
      <c r="AV77" s="427"/>
      <c r="AW77" s="486"/>
      <c r="AX77" s="486"/>
      <c r="AY77" s="486"/>
      <c r="AZ77" s="486"/>
      <c r="BA77" s="486"/>
      <c r="BB77" s="486"/>
      <c r="BC77" s="486"/>
      <c r="BD77" s="427"/>
      <c r="BE77" s="427"/>
    </row>
    <row r="78" spans="1:57">
      <c r="A78" s="461" t="s">
        <v>1133</v>
      </c>
      <c r="B78" s="448"/>
      <c r="C78" s="448"/>
      <c r="D78" s="448"/>
      <c r="E78" s="427"/>
      <c r="F78" s="427"/>
      <c r="G78" s="427"/>
      <c r="H78" s="427"/>
      <c r="I78" s="477"/>
      <c r="J78" s="477"/>
      <c r="K78" s="477"/>
      <c r="L78" s="477"/>
      <c r="M78" s="477"/>
      <c r="N78" s="427"/>
      <c r="O78" s="427"/>
      <c r="P78" s="427"/>
      <c r="Q78" s="427"/>
      <c r="R78" s="427"/>
      <c r="S78" s="427"/>
      <c r="T78" s="427"/>
      <c r="U78" s="427"/>
      <c r="V78" s="427"/>
      <c r="W78" s="451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86"/>
      <c r="AP78" s="486"/>
      <c r="AQ78" s="486"/>
      <c r="AR78" s="486"/>
      <c r="AS78" s="486"/>
      <c r="AT78" s="486"/>
      <c r="AU78" s="486"/>
      <c r="AV78" s="427"/>
      <c r="AW78" s="486"/>
      <c r="AX78" s="486"/>
      <c r="AY78" s="486"/>
      <c r="AZ78" s="486"/>
      <c r="BA78" s="486"/>
      <c r="BB78" s="486"/>
      <c r="BC78" s="486"/>
      <c r="BD78" s="427"/>
      <c r="BE78" s="427"/>
    </row>
    <row r="79" spans="1:57" s="30" customFormat="1" ht="14.65" customHeight="1">
      <c r="A79" s="486" t="str">
        <f>'.c12_oc_hr'!A30</f>
        <v>Grand Total</v>
      </c>
      <c r="B79" s="522"/>
      <c r="C79" s="522"/>
      <c r="D79" s="522"/>
      <c r="E79" s="486"/>
      <c r="F79" s="486">
        <f>'.c12_oc_hr'!F30</f>
        <v>504471.42857142858</v>
      </c>
      <c r="G79" s="486">
        <f>'.c12_oc_hr'!G30</f>
        <v>504471.42857142858</v>
      </c>
      <c r="H79" s="486">
        <f>'.c12_oc_hr'!H30</f>
        <v>504471.42857142858</v>
      </c>
      <c r="I79" s="486">
        <f>'.c12_oc_hr'!I30</f>
        <v>514861.42857142858</v>
      </c>
      <c r="J79" s="486">
        <f>'.c12_oc_hr'!J30</f>
        <v>863260.57142857136</v>
      </c>
      <c r="K79" s="486">
        <f>'.c12_oc_hr'!K30</f>
        <v>441380.57142857142</v>
      </c>
      <c r="L79" s="486">
        <f>'.c12_oc_hr'!L30</f>
        <v>441380.57142857142</v>
      </c>
      <c r="M79" s="486">
        <f>'.c12_oc_hr'!M30</f>
        <v>981660.57142857136</v>
      </c>
      <c r="N79" s="486">
        <f>'.c12_oc_hr'!N30</f>
        <v>2305802.2857142854</v>
      </c>
      <c r="O79" s="486">
        <f>'.c12_oc_hr'!O30</f>
        <v>1786302.2857142857</v>
      </c>
      <c r="P79" s="486">
        <f>'.c12_oc_hr'!P30</f>
        <v>1786302.2857142857</v>
      </c>
      <c r="Q79" s="486">
        <f>'.c12_oc_hr'!Q30</f>
        <v>1786302.2857142857</v>
      </c>
      <c r="R79" s="523"/>
      <c r="S79" s="524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</row>
    <row r="80" spans="1:57" s="30" customFormat="1" ht="14.65" customHeight="1">
      <c r="A80" s="486" t="str">
        <f>'.c12_oc_hr'!A31</f>
        <v>reimbersable to hotel</v>
      </c>
      <c r="B80" s="522"/>
      <c r="C80" s="522"/>
      <c r="D80" s="522"/>
      <c r="E80" s="486"/>
      <c r="F80" s="486">
        <f>'.c12_oc_hr'!F31</f>
        <v>0</v>
      </c>
      <c r="G80" s="486">
        <f>'.c12_oc_hr'!G31</f>
        <v>0</v>
      </c>
      <c r="H80" s="486">
        <f>'.c12_oc_hr'!H31</f>
        <v>0</v>
      </c>
      <c r="I80" s="486">
        <f>'.c12_oc_hr'!I31</f>
        <v>0</v>
      </c>
      <c r="J80" s="486">
        <f>'.c12_oc_hr'!J31</f>
        <v>0</v>
      </c>
      <c r="K80" s="486">
        <f>'.c12_oc_hr'!K31</f>
        <v>0</v>
      </c>
      <c r="L80" s="486">
        <f>'.c12_oc_hr'!L31</f>
        <v>0</v>
      </c>
      <c r="M80" s="486">
        <f>'.c12_oc_hr'!M31</f>
        <v>0</v>
      </c>
      <c r="N80" s="486">
        <f>'.c12_oc_hr'!N31</f>
        <v>0</v>
      </c>
      <c r="O80" s="486">
        <f>'.c12_oc_hr'!O31</f>
        <v>0</v>
      </c>
      <c r="P80" s="486">
        <f>'.c12_oc_hr'!P31</f>
        <v>0</v>
      </c>
      <c r="Q80" s="486">
        <f>'.c12_oc_hr'!Q31</f>
        <v>0</v>
      </c>
      <c r="R80" s="523"/>
      <c r="S80" s="524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</row>
    <row r="81" spans="1:57" s="30" customFormat="1">
      <c r="A81" s="486" t="str">
        <f>'.c12_oc_hr'!A32</f>
        <v>not reimbersable by hotel, but paid by lgh</v>
      </c>
      <c r="B81" s="522"/>
      <c r="C81" s="522"/>
      <c r="D81" s="522"/>
      <c r="E81" s="486"/>
      <c r="F81" s="486">
        <f>'.c12_oc_hr'!F32</f>
        <v>472542.85714285716</v>
      </c>
      <c r="G81" s="486">
        <f>'.c12_oc_hr'!G32</f>
        <v>472542.85714285716</v>
      </c>
      <c r="H81" s="486">
        <f>'.c12_oc_hr'!H32</f>
        <v>472542.85714285716</v>
      </c>
      <c r="I81" s="486">
        <f>'.c12_oc_hr'!I32</f>
        <v>472542.85714285716</v>
      </c>
      <c r="J81" s="486">
        <f>'.c12_oc_hr'!J32</f>
        <v>805022.85714285716</v>
      </c>
      <c r="K81" s="486">
        <f>'.c12_oc_hr'!K32</f>
        <v>383142.85714285716</v>
      </c>
      <c r="L81" s="486">
        <f>'.c12_oc_hr'!L32</f>
        <v>383142.85714285716</v>
      </c>
      <c r="M81" s="486">
        <f>'.c12_oc_hr'!M32</f>
        <v>902642.85714285704</v>
      </c>
      <c r="N81" s="486">
        <f>'.c12_oc_hr'!N32</f>
        <v>2052071.4285714286</v>
      </c>
      <c r="O81" s="486">
        <f>'.c12_oc_hr'!O32</f>
        <v>1532571.4285714286</v>
      </c>
      <c r="P81" s="486">
        <f>'.c12_oc_hr'!P32</f>
        <v>1532571.4285714286</v>
      </c>
      <c r="Q81" s="486">
        <f>'.c12_oc_hr'!Q32</f>
        <v>1532571.4285714286</v>
      </c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71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</row>
    <row r="82" spans="1:57" s="30" customFormat="1">
      <c r="A82" s="486" t="str">
        <f>'.c12_oc_hr'!A33</f>
        <v>only paid by c12</v>
      </c>
      <c r="B82" s="522"/>
      <c r="C82" s="522"/>
      <c r="D82" s="522"/>
      <c r="E82" s="486"/>
      <c r="F82" s="486">
        <f>'.c12_oc_hr'!F33</f>
        <v>31928.571428571431</v>
      </c>
      <c r="G82" s="486">
        <f>'.c12_oc_hr'!G33</f>
        <v>31928.571428571431</v>
      </c>
      <c r="H82" s="486">
        <f>'.c12_oc_hr'!H33</f>
        <v>31928.571428571431</v>
      </c>
      <c r="I82" s="486">
        <f>'.c12_oc_hr'!I33</f>
        <v>42318.571428571435</v>
      </c>
      <c r="J82" s="486">
        <f>'.c12_oc_hr'!J33</f>
        <v>58237.71428571429</v>
      </c>
      <c r="K82" s="486">
        <f>'.c12_oc_hr'!K33</f>
        <v>58237.71428571429</v>
      </c>
      <c r="L82" s="486">
        <f>'.c12_oc_hr'!L33</f>
        <v>58237.71428571429</v>
      </c>
      <c r="M82" s="486">
        <f>'.c12_oc_hr'!M33</f>
        <v>79017.71428571429</v>
      </c>
      <c r="N82" s="486">
        <f>'.c12_oc_hr'!N33</f>
        <v>253730.85714285716</v>
      </c>
      <c r="O82" s="486">
        <f>'.c12_oc_hr'!O33</f>
        <v>253730.85714285716</v>
      </c>
      <c r="P82" s="486">
        <f>'.c12_oc_hr'!P33</f>
        <v>253730.85714285716</v>
      </c>
      <c r="Q82" s="486">
        <f>'.c12_oc_hr'!Q33</f>
        <v>253730.85714285716</v>
      </c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71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</row>
    <row r="83" spans="1:57">
      <c r="A83" s="427"/>
      <c r="B83" s="448"/>
      <c r="C83" s="448"/>
      <c r="D83" s="448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</row>
    <row r="84" spans="1:57" s="30" customFormat="1">
      <c r="A84" s="525" t="s">
        <v>885</v>
      </c>
      <c r="B84" s="428"/>
      <c r="C84" s="428"/>
      <c r="D84" s="428"/>
      <c r="E84" s="429"/>
      <c r="F84" s="429"/>
      <c r="G84" s="429"/>
      <c r="H84" s="429"/>
      <c r="I84" s="429"/>
      <c r="J84" s="429"/>
      <c r="K84" s="429"/>
      <c r="L84" s="429"/>
      <c r="M84" s="429"/>
      <c r="N84" s="429"/>
      <c r="O84" s="429"/>
      <c r="P84" s="429"/>
      <c r="Q84" s="429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</row>
    <row r="85" spans="1:57" s="30" customFormat="1">
      <c r="A85" s="525" t="s">
        <v>886</v>
      </c>
      <c r="B85" s="428"/>
      <c r="C85" s="428"/>
      <c r="D85" s="428"/>
      <c r="E85" s="526">
        <v>1639651</v>
      </c>
      <c r="F85" s="486">
        <f>'c12_hm'!F60</f>
        <v>721136.47368421056</v>
      </c>
      <c r="G85" s="486">
        <f>'c12_hm'!G60</f>
        <v>721136.47368421056</v>
      </c>
      <c r="H85" s="486">
        <f>'c12_hm'!H60</f>
        <v>721136.47368421056</v>
      </c>
      <c r="I85" s="486">
        <f>'c12_hm'!I60</f>
        <v>833991.73684210517</v>
      </c>
      <c r="J85" s="486">
        <f>'c12_hm'!J60</f>
        <v>310715.78947368416</v>
      </c>
      <c r="K85" s="486">
        <f>'c12_hm'!K60</f>
        <v>902637.28947368416</v>
      </c>
      <c r="L85" s="486">
        <f>'c12_hm'!L60</f>
        <v>948110.97368421056</v>
      </c>
      <c r="M85" s="486">
        <f>'c12_hm'!M60</f>
        <v>2385063.6052631577</v>
      </c>
      <c r="N85" s="486">
        <f>'c12_hm'!N60</f>
        <v>4592895.5273684207</v>
      </c>
      <c r="O85" s="486">
        <f>'c12_hm'!O60</f>
        <v>6222237.0247684205</v>
      </c>
      <c r="P85" s="486">
        <f>'c12_hm'!P60</f>
        <v>8981799.0470904205</v>
      </c>
      <c r="Q85" s="486">
        <f>'c12_hm'!Q60</f>
        <v>8232869.9536977708</v>
      </c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</row>
    <row r="86" spans="1:57" s="30" customFormat="1">
      <c r="A86" s="525" t="s">
        <v>887</v>
      </c>
      <c r="B86" s="428"/>
      <c r="C86" s="428"/>
      <c r="D86" s="428"/>
      <c r="E86" s="526">
        <v>1480300</v>
      </c>
      <c r="F86" s="486">
        <f>'c12_d&amp;s'!F60</f>
        <v>218167.0789473684</v>
      </c>
      <c r="G86" s="486">
        <f>'c12_d&amp;s'!G60</f>
        <v>218167.0789473684</v>
      </c>
      <c r="H86" s="486">
        <f>'c12_d&amp;s'!H60</f>
        <v>788567.07894736843</v>
      </c>
      <c r="I86" s="486">
        <f>'c12_d&amp;s'!I60</f>
        <v>1041680.2368421053</v>
      </c>
      <c r="J86" s="486">
        <f>'c12_d&amp;s'!J60</f>
        <v>1735259.1270175439</v>
      </c>
      <c r="K86" s="486">
        <f>'c12_d&amp;s'!K60</f>
        <v>2473819.8070175434</v>
      </c>
      <c r="L86" s="486">
        <f>'c12_d&amp;s'!L60</f>
        <v>2205638.8070175434</v>
      </c>
      <c r="M86" s="486">
        <f>'c12_d&amp;s'!M60</f>
        <v>5828630.333333333</v>
      </c>
      <c r="N86" s="486">
        <f>'c12_d&amp;s'!N60</f>
        <v>10772271.074385963</v>
      </c>
      <c r="O86" s="486">
        <f>'c12_d&amp;s'!O60</f>
        <v>7224030.4869192978</v>
      </c>
      <c r="P86" s="486">
        <f>'c12_d&amp;s'!P60</f>
        <v>4401398.0988952974</v>
      </c>
      <c r="Q86" s="486">
        <f>'c12_d&amp;s'!Q60</f>
        <v>4361744.7392305788</v>
      </c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</row>
    <row r="87" spans="1:57" s="30" customFormat="1">
      <c r="A87" s="525" t="s">
        <v>888</v>
      </c>
      <c r="B87" s="428"/>
      <c r="C87" s="428"/>
      <c r="D87" s="428"/>
      <c r="E87" s="526">
        <v>0</v>
      </c>
      <c r="F87" s="486">
        <f>'c12_bi&amp;F'!F60</f>
        <v>56084.210526315779</v>
      </c>
      <c r="G87" s="486">
        <f>'c12_bi&amp;F'!G60</f>
        <v>56084.210526315779</v>
      </c>
      <c r="H87" s="486">
        <f>'c12_bi&amp;F'!H60</f>
        <v>121263.15789473683</v>
      </c>
      <c r="I87" s="486">
        <f>'c12_bi&amp;F'!I60</f>
        <v>162276.31578947368</v>
      </c>
      <c r="J87" s="486">
        <f>'c12_bi&amp;F'!J60</f>
        <v>154294.73684210522</v>
      </c>
      <c r="K87" s="486">
        <f>'c12_bi&amp;F'!K60</f>
        <v>154294.73684210522</v>
      </c>
      <c r="L87" s="486">
        <f>'c12_bi&amp;F'!L60</f>
        <v>267978.94736842101</v>
      </c>
      <c r="M87" s="486">
        <f>'c12_bi&amp;F'!M60</f>
        <v>360942.10526315786</v>
      </c>
      <c r="N87" s="486">
        <f>'c12_bi&amp;F'!N60</f>
        <v>1216752.6315789474</v>
      </c>
      <c r="O87" s="486">
        <f>'c12_bi&amp;F'!O60</f>
        <v>1306752.6315789474</v>
      </c>
      <c r="P87" s="486">
        <f>'c12_bi&amp;F'!P60</f>
        <v>1306752.6315789474</v>
      </c>
      <c r="Q87" s="486">
        <f>'c12_bi&amp;F'!Q60</f>
        <v>1306752.6315789474</v>
      </c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</row>
    <row r="88" spans="1:57" s="30" customFormat="1" ht="15.5" customHeight="1" thickTop="1" thickBot="1">
      <c r="A88" s="525" t="s">
        <v>889</v>
      </c>
      <c r="B88" s="527" t="s">
        <v>805</v>
      </c>
      <c r="C88" s="527" t="s">
        <v>890</v>
      </c>
      <c r="D88" s="428"/>
      <c r="E88" s="528"/>
      <c r="F88" s="529">
        <f t="shared" ref="F88:Q88" si="20">SUM(F85:F87)</f>
        <v>995387.76315789472</v>
      </c>
      <c r="G88" s="529">
        <f t="shared" si="20"/>
        <v>995387.76315789472</v>
      </c>
      <c r="H88" s="529">
        <f t="shared" si="20"/>
        <v>1630966.7105263157</v>
      </c>
      <c r="I88" s="529">
        <f t="shared" si="20"/>
        <v>2037948.289473684</v>
      </c>
      <c r="J88" s="529">
        <f t="shared" si="20"/>
        <v>2200269.6533333333</v>
      </c>
      <c r="K88" s="529">
        <f t="shared" si="20"/>
        <v>3530751.8333333326</v>
      </c>
      <c r="L88" s="529">
        <f t="shared" si="20"/>
        <v>3421728.7280701748</v>
      </c>
      <c r="M88" s="529">
        <f t="shared" si="20"/>
        <v>8574636.0438596494</v>
      </c>
      <c r="N88" s="528">
        <f t="shared" si="20"/>
        <v>16581919.233333331</v>
      </c>
      <c r="O88" s="528">
        <f t="shared" si="20"/>
        <v>14753020.143266667</v>
      </c>
      <c r="P88" s="528">
        <f t="shared" si="20"/>
        <v>14689949.777564667</v>
      </c>
      <c r="Q88" s="528">
        <f t="shared" si="20"/>
        <v>13901367.324507296</v>
      </c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</row>
    <row r="89" spans="1:57" ht="15" customHeight="1" thickTop="1">
      <c r="A89" s="427"/>
      <c r="B89" s="448"/>
      <c r="C89" s="448"/>
      <c r="D89" s="448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</row>
    <row r="90" spans="1:57">
      <c r="A90" s="427"/>
      <c r="B90" s="448"/>
      <c r="C90" s="448"/>
      <c r="D90" s="448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</row>
    <row r="91" spans="1:57">
      <c r="A91" s="427"/>
      <c r="B91" s="448"/>
      <c r="C91" s="448"/>
      <c r="D91" s="448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</row>
    <row r="92" spans="1:57">
      <c r="A92" s="427"/>
      <c r="B92" s="448"/>
      <c r="C92" s="448"/>
      <c r="D92" s="448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</row>
    <row r="93" spans="1:57">
      <c r="A93" s="427"/>
      <c r="B93" s="448"/>
      <c r="C93" s="448"/>
      <c r="D93" s="448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</row>
    <row r="94" spans="1:57">
      <c r="A94" s="427"/>
      <c r="B94" s="448"/>
      <c r="C94" s="448"/>
      <c r="D94" s="448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</row>
    <row r="95" spans="1:57">
      <c r="A95" s="427"/>
      <c r="B95" s="448"/>
      <c r="C95" s="448"/>
      <c r="D95" s="448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</row>
    <row r="96" spans="1:57">
      <c r="A96" s="427"/>
      <c r="B96" s="448"/>
      <c r="C96" s="448"/>
      <c r="D96" s="448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</row>
    <row r="97" spans="1:57">
      <c r="A97" s="427"/>
      <c r="B97" s="448"/>
      <c r="C97" s="448"/>
      <c r="D97" s="448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</row>
    <row r="98" spans="1:57">
      <c r="A98" s="427"/>
      <c r="B98" s="448"/>
      <c r="C98" s="448"/>
      <c r="D98" s="448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</row>
    <row r="99" spans="1:57">
      <c r="A99" s="427"/>
      <c r="B99" s="448"/>
      <c r="C99" s="448"/>
      <c r="D99" s="448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</row>
    <row r="100" spans="1:57">
      <c r="A100" s="427"/>
      <c r="B100" s="448"/>
      <c r="C100" s="448"/>
      <c r="D100" s="448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</row>
    <row r="101" spans="1:57">
      <c r="A101" s="427"/>
      <c r="B101" s="448"/>
      <c r="C101" s="448"/>
      <c r="D101" s="448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</row>
    <row r="102" spans="1:57">
      <c r="A102" s="427"/>
      <c r="B102" s="448"/>
      <c r="C102" s="448"/>
      <c r="D102" s="448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</row>
    <row r="103" spans="1:57">
      <c r="A103" s="427"/>
      <c r="B103" s="448"/>
      <c r="C103" s="448"/>
      <c r="D103" s="448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</row>
    <row r="104" spans="1:57">
      <c r="A104" s="427"/>
      <c r="B104" s="448"/>
      <c r="C104" s="448"/>
      <c r="D104" s="448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</row>
    <row r="105" spans="1:57">
      <c r="A105" s="427"/>
      <c r="B105" s="448"/>
      <c r="C105" s="448"/>
      <c r="D105" s="448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</row>
    <row r="106" spans="1:57">
      <c r="A106" s="427"/>
      <c r="B106" s="448"/>
      <c r="C106" s="448"/>
      <c r="D106" s="448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</row>
    <row r="107" spans="1:57">
      <c r="A107" s="427"/>
      <c r="B107" s="448"/>
      <c r="C107" s="448"/>
      <c r="D107" s="448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</row>
    <row r="108" spans="1:57">
      <c r="A108" s="427"/>
      <c r="B108" s="448"/>
      <c r="C108" s="448"/>
      <c r="D108" s="448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</row>
    <row r="109" spans="1:57">
      <c r="A109" s="427"/>
      <c r="B109" s="448"/>
      <c r="C109" s="448"/>
      <c r="D109" s="448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</row>
    <row r="110" spans="1:57">
      <c r="A110" s="427"/>
      <c r="B110" s="448"/>
      <c r="C110" s="448"/>
      <c r="D110" s="448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</row>
    <row r="111" spans="1:57">
      <c r="A111" s="427"/>
      <c r="B111" s="448"/>
      <c r="C111" s="448"/>
      <c r="D111" s="448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</row>
    <row r="112" spans="1:57">
      <c r="A112" s="427"/>
      <c r="B112" s="448"/>
      <c r="C112" s="448"/>
      <c r="D112" s="448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</row>
    <row r="113" spans="1:57">
      <c r="A113" s="427"/>
      <c r="B113" s="448"/>
      <c r="C113" s="448"/>
      <c r="D113" s="448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</row>
    <row r="114" spans="1:57">
      <c r="A114" s="427"/>
      <c r="B114" s="448"/>
      <c r="C114" s="448"/>
      <c r="D114" s="448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</row>
    <row r="115" spans="1:57">
      <c r="A115" s="427"/>
      <c r="B115" s="448"/>
      <c r="C115" s="448"/>
      <c r="D115" s="448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</row>
    <row r="116" spans="1:57">
      <c r="A116" s="427"/>
      <c r="B116" s="448"/>
      <c r="C116" s="448"/>
      <c r="D116" s="448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</row>
    <row r="117" spans="1:57">
      <c r="A117" s="427"/>
      <c r="B117" s="448"/>
      <c r="C117" s="448"/>
      <c r="D117" s="448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</row>
    <row r="118" spans="1:57">
      <c r="A118" s="427"/>
      <c r="B118" s="448"/>
      <c r="C118" s="448"/>
      <c r="D118" s="448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</row>
    <row r="119" spans="1:57">
      <c r="A119" s="427"/>
      <c r="B119" s="448"/>
      <c r="C119" s="448"/>
      <c r="D119" s="448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</row>
    <row r="120" spans="1:57">
      <c r="A120" s="427"/>
      <c r="B120" s="448"/>
      <c r="C120" s="448"/>
      <c r="D120" s="448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</row>
    <row r="121" spans="1:57">
      <c r="A121" s="427"/>
      <c r="B121" s="448"/>
      <c r="C121" s="448"/>
      <c r="D121" s="448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</row>
    <row r="122" spans="1:57">
      <c r="A122" s="427"/>
      <c r="B122" s="448"/>
      <c r="C122" s="448"/>
      <c r="D122" s="448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</row>
    <row r="123" spans="1:57">
      <c r="A123" s="427"/>
      <c r="B123" s="448"/>
      <c r="C123" s="448"/>
      <c r="D123" s="448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</row>
    <row r="124" spans="1:57">
      <c r="A124" s="427"/>
      <c r="B124" s="448"/>
      <c r="C124" s="448"/>
      <c r="D124" s="448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</row>
    <row r="125" spans="1:57">
      <c r="A125" s="427"/>
      <c r="B125" s="448"/>
      <c r="C125" s="448"/>
      <c r="D125" s="448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</row>
    <row r="126" spans="1:57">
      <c r="A126" s="427"/>
      <c r="B126" s="448"/>
      <c r="C126" s="448"/>
      <c r="D126" s="448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</row>
    <row r="127" spans="1:57">
      <c r="A127" s="427"/>
      <c r="B127" s="448"/>
      <c r="C127" s="448"/>
      <c r="D127" s="448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</row>
    <row r="128" spans="1:57">
      <c r="A128" s="427"/>
      <c r="B128" s="448"/>
      <c r="C128" s="448"/>
      <c r="D128" s="448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</row>
    <row r="129" spans="1:57">
      <c r="A129" s="427"/>
      <c r="B129" s="448"/>
      <c r="C129" s="448"/>
      <c r="D129" s="448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</row>
    <row r="130" spans="1:57">
      <c r="A130" s="427"/>
      <c r="B130" s="448"/>
      <c r="C130" s="448"/>
      <c r="D130" s="448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</row>
    <row r="131" spans="1:57">
      <c r="A131" s="427"/>
      <c r="B131" s="448"/>
      <c r="C131" s="448"/>
      <c r="D131" s="448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</row>
    <row r="132" spans="1:57">
      <c r="A132" s="427"/>
      <c r="B132" s="448"/>
      <c r="C132" s="448"/>
      <c r="D132" s="448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</row>
    <row r="133" spans="1:57">
      <c r="A133" s="427"/>
      <c r="B133" s="448"/>
      <c r="C133" s="448"/>
      <c r="D133" s="448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</row>
    <row r="134" spans="1:57">
      <c r="A134" s="427"/>
      <c r="B134" s="448"/>
      <c r="C134" s="448"/>
      <c r="D134" s="448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</row>
    <row r="135" spans="1:57">
      <c r="A135" s="427"/>
      <c r="B135" s="448"/>
      <c r="C135" s="448"/>
      <c r="D135" s="448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</row>
    <row r="136" spans="1:57">
      <c r="A136" s="427"/>
      <c r="B136" s="448"/>
      <c r="C136" s="448"/>
      <c r="D136" s="448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</row>
    <row r="137" spans="1:57">
      <c r="A137" s="427"/>
      <c r="B137" s="448"/>
      <c r="C137" s="448"/>
      <c r="D137" s="448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</row>
    <row r="138" spans="1:57">
      <c r="A138" s="427"/>
      <c r="B138" s="448"/>
      <c r="C138" s="448"/>
      <c r="D138" s="448"/>
      <c r="E138" s="427"/>
      <c r="F138" s="427"/>
      <c r="G138" s="427"/>
      <c r="H138" s="427"/>
      <c r="I138" s="427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</row>
    <row r="139" spans="1:57">
      <c r="A139" s="427"/>
      <c r="B139" s="448"/>
      <c r="C139" s="448"/>
      <c r="D139" s="448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</row>
    <row r="140" spans="1:57">
      <c r="A140" s="427"/>
      <c r="B140" s="448"/>
      <c r="C140" s="448"/>
      <c r="D140" s="448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</row>
    <row r="141" spans="1:57">
      <c r="A141" s="427"/>
      <c r="B141" s="448"/>
      <c r="C141" s="448"/>
      <c r="D141" s="448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</row>
    <row r="142" spans="1:57">
      <c r="A142" s="427"/>
      <c r="B142" s="448"/>
      <c r="C142" s="448"/>
      <c r="D142" s="448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</row>
    <row r="143" spans="1:57">
      <c r="A143" s="427"/>
      <c r="B143" s="448"/>
      <c r="C143" s="448"/>
      <c r="D143" s="448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</row>
    <row r="144" spans="1:57">
      <c r="A144" s="427"/>
      <c r="B144" s="448"/>
      <c r="C144" s="448"/>
      <c r="D144" s="448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</row>
    <row r="145" spans="1:57">
      <c r="A145" s="427"/>
      <c r="B145" s="448"/>
      <c r="C145" s="448"/>
      <c r="D145" s="448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</row>
    <row r="146" spans="1:57" ht="14.65" customHeight="1" thickBot="1">
      <c r="A146" s="427"/>
      <c r="B146" s="448"/>
      <c r="C146" s="448"/>
      <c r="D146" s="448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</row>
    <row r="147" spans="1:57" ht="14.65" customHeight="1" thickTop="1">
      <c r="A147" s="427"/>
      <c r="B147" s="448"/>
      <c r="C147" s="448"/>
      <c r="D147" s="448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B11" sqref="B11"/>
    </sheetView>
  </sheetViews>
  <sheetFormatPr defaultColWidth="12.54296875" defaultRowHeight="14.5"/>
  <cols>
    <col min="1" max="1" width="26" customWidth="1"/>
    <col min="2" max="2" width="4.453125" style="424" customWidth="1"/>
    <col min="3" max="3" width="19.90625" style="418" customWidth="1"/>
    <col min="4" max="4" width="7.6328125" style="424" customWidth="1"/>
    <col min="5" max="5" width="13.26953125" bestFit="1" customWidth="1"/>
    <col min="6" max="6" width="12.6328125" bestFit="1" customWidth="1"/>
  </cols>
  <sheetData>
    <row r="1" spans="1:57">
      <c r="A1" s="427"/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</row>
    <row r="2" spans="1:57">
      <c r="A2" s="430" t="s">
        <v>50</v>
      </c>
      <c r="B2" s="431"/>
      <c r="C2" s="431"/>
      <c r="D2" s="431"/>
      <c r="E2" s="433">
        <v>45657</v>
      </c>
      <c r="F2" s="433">
        <v>45747</v>
      </c>
      <c r="G2" s="433">
        <v>45838</v>
      </c>
      <c r="H2" s="433">
        <v>45930</v>
      </c>
      <c r="I2" s="433">
        <v>46022</v>
      </c>
      <c r="J2" s="433">
        <v>46112</v>
      </c>
      <c r="K2" s="433">
        <v>46203</v>
      </c>
      <c r="L2" s="433">
        <v>46295</v>
      </c>
      <c r="M2" s="433">
        <v>46387</v>
      </c>
      <c r="N2" s="433">
        <v>46752</v>
      </c>
      <c r="O2" s="433">
        <v>47118</v>
      </c>
      <c r="P2" s="433">
        <v>47483</v>
      </c>
      <c r="Q2" s="433">
        <v>47848</v>
      </c>
      <c r="R2" s="434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  <c r="AW2" s="434"/>
      <c r="AX2" s="434"/>
      <c r="AY2" s="434"/>
      <c r="AZ2" s="434"/>
      <c r="BA2" s="434"/>
      <c r="BB2" s="434"/>
      <c r="BC2" s="434"/>
      <c r="BD2" s="434"/>
      <c r="BE2" s="434"/>
    </row>
    <row r="3" spans="1:57">
      <c r="A3" s="430" t="s">
        <v>128</v>
      </c>
      <c r="B3" s="431"/>
      <c r="C3" s="431"/>
      <c r="D3" s="431"/>
      <c r="E3" s="436" t="s">
        <v>129</v>
      </c>
      <c r="F3" s="436" t="s">
        <v>130</v>
      </c>
      <c r="G3" s="436" t="s">
        <v>131</v>
      </c>
      <c r="H3" s="436" t="s">
        <v>132</v>
      </c>
      <c r="I3" s="436" t="s">
        <v>129</v>
      </c>
      <c r="J3" s="436" t="s">
        <v>130</v>
      </c>
      <c r="K3" s="436" t="s">
        <v>131</v>
      </c>
      <c r="L3" s="436" t="s">
        <v>132</v>
      </c>
      <c r="M3" s="436" t="s">
        <v>129</v>
      </c>
      <c r="N3" s="436" t="s">
        <v>129</v>
      </c>
      <c r="O3" s="436" t="s">
        <v>129</v>
      </c>
      <c r="P3" s="436" t="s">
        <v>129</v>
      </c>
      <c r="Q3" s="436" t="s">
        <v>129</v>
      </c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</row>
    <row r="4" spans="1:57" ht="18.5" customHeight="1">
      <c r="A4" s="427"/>
      <c r="B4" s="437" t="s">
        <v>0</v>
      </c>
      <c r="C4" s="438" t="s">
        <v>891</v>
      </c>
      <c r="D4" s="437" t="s">
        <v>2</v>
      </c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27"/>
      <c r="AZ4" s="427"/>
      <c r="BA4" s="427"/>
      <c r="BB4" s="427"/>
      <c r="BC4" s="427"/>
      <c r="BD4" s="427"/>
      <c r="BE4" s="427"/>
    </row>
    <row r="5" spans="1:57" s="32" customFormat="1">
      <c r="A5" s="504" t="s">
        <v>892</v>
      </c>
      <c r="B5" s="442"/>
      <c r="C5" s="444"/>
      <c r="D5" s="442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</row>
    <row r="6" spans="1:57" s="32" customFormat="1">
      <c r="A6" s="530" t="s">
        <v>893</v>
      </c>
      <c r="B6" s="442"/>
      <c r="C6" s="444"/>
      <c r="D6" s="445"/>
      <c r="E6" s="486">
        <f>0</f>
        <v>0</v>
      </c>
      <c r="F6" s="486">
        <f t="shared" ref="F6:Q6" si="0">E11</f>
        <v>9950</v>
      </c>
      <c r="G6" s="486">
        <f t="shared" si="0"/>
        <v>9950</v>
      </c>
      <c r="H6" s="486">
        <f t="shared" si="0"/>
        <v>9950</v>
      </c>
      <c r="I6" s="486">
        <f t="shared" si="0"/>
        <v>9950</v>
      </c>
      <c r="J6" s="486">
        <f t="shared" si="0"/>
        <v>9950</v>
      </c>
      <c r="K6" s="486">
        <f t="shared" si="0"/>
        <v>1586876.0129824569</v>
      </c>
      <c r="L6" s="486">
        <f t="shared" si="0"/>
        <v>3808278.7778634094</v>
      </c>
      <c r="M6" s="486">
        <f t="shared" si="0"/>
        <v>5957548.937481204</v>
      </c>
      <c r="N6" s="486">
        <f t="shared" si="0"/>
        <v>9426375.5753884725</v>
      </c>
      <c r="O6" s="486">
        <f t="shared" si="0"/>
        <v>11836154.449912284</v>
      </c>
      <c r="P6" s="486">
        <f t="shared" si="0"/>
        <v>12405818.64291276</v>
      </c>
      <c r="Q6" s="486">
        <f t="shared" si="0"/>
        <v>14153408.207917538</v>
      </c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  <c r="AW6" s="427"/>
      <c r="AX6" s="427"/>
      <c r="AY6" s="427"/>
      <c r="AZ6" s="427"/>
      <c r="BA6" s="427"/>
      <c r="BB6" s="427"/>
      <c r="BC6" s="427"/>
      <c r="BD6" s="427"/>
      <c r="BE6" s="427"/>
    </row>
    <row r="7" spans="1:57" s="32" customFormat="1">
      <c r="A7" s="530" t="s">
        <v>894</v>
      </c>
      <c r="B7" s="442"/>
      <c r="C7" s="444"/>
      <c r="D7" s="445"/>
      <c r="E7" s="486">
        <f>'c12_oc'!E48</f>
        <v>3119951</v>
      </c>
      <c r="F7" s="486">
        <f>'c12_oc'!F48</f>
        <v>606771.44172932347</v>
      </c>
      <c r="G7" s="486">
        <f>'c12_oc'!G48</f>
        <v>606771.44172932347</v>
      </c>
      <c r="H7" s="486">
        <f>'c12_oc'!H48</f>
        <v>895230.3890977446</v>
      </c>
      <c r="I7" s="486">
        <f>'c12_oc'!I48</f>
        <v>894851.96804511314</v>
      </c>
      <c r="J7" s="486">
        <f>'c12_oc'!J48</f>
        <v>828093.76238095248</v>
      </c>
      <c r="K7" s="486">
        <f>'c12_oc'!K48</f>
        <v>1372055.7648809524</v>
      </c>
      <c r="L7" s="486">
        <f>'c12_oc'!L48</f>
        <v>1299923.1596177947</v>
      </c>
      <c r="M7" s="486">
        <f>'c12_oc'!M48</f>
        <v>2619479.6379072675</v>
      </c>
      <c r="N7" s="486">
        <f>'c12_oc'!N48</f>
        <v>4462390.874523811</v>
      </c>
      <c r="O7" s="486">
        <f>'c12_oc'!O48</f>
        <v>3822276.1930004768</v>
      </c>
      <c r="P7" s="486">
        <f>'c12_oc'!P48</f>
        <v>3800201.5650047772</v>
      </c>
      <c r="Q7" s="486">
        <f>'c12_oc'!Q48</f>
        <v>3524197.7064346969</v>
      </c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</row>
    <row r="8" spans="1:57" s="32" customFormat="1">
      <c r="A8" s="530" t="s">
        <v>895</v>
      </c>
      <c r="B8" s="442"/>
      <c r="C8" s="444"/>
      <c r="D8" s="445"/>
      <c r="E8" s="486">
        <f>-'c12_oc'!E63</f>
        <v>1540999</v>
      </c>
      <c r="F8" s="486">
        <f>-'c12_oc'!F63+'c12_oc'!E63+'c12_oc'!F62</f>
        <v>531057.55577067658</v>
      </c>
      <c r="G8" s="486">
        <f>-'c12_oc'!G63+'c12_oc'!F63+'c12_oc'!G62</f>
        <v>456905.55577067658</v>
      </c>
      <c r="H8" s="486">
        <f>-'c12_oc'!H63+'c12_oc'!G63+'c12_oc'!H62</f>
        <v>206452.60840225546</v>
      </c>
      <c r="I8" s="486">
        <f>-'c12_oc'!I63+'c12_oc'!H63+'c12_oc'!I62</f>
        <v>-1093900.9705451131</v>
      </c>
      <c r="J8" s="486">
        <f>-'c12_oc'!J63+'c12_oc'!I63+'c12_oc'!J62</f>
        <v>-100514.74939849554</v>
      </c>
      <c r="K8" s="486">
        <f>-'c12_oc'!K63+'c12_oc'!J63+'c12_oc'!K62</f>
        <v>0</v>
      </c>
      <c r="L8" s="486">
        <f>-'c12_oc'!L63+'c12_oc'!K63+'c12_oc'!L62</f>
        <v>0</v>
      </c>
      <c r="M8" s="486">
        <f>-'c12_oc'!M63+'c12_oc'!L63+'c12_oc'!M62</f>
        <v>0</v>
      </c>
      <c r="N8" s="486">
        <f>-'c12_oc'!N63+'c12_oc'!M63+'c12_oc'!N62</f>
        <v>0</v>
      </c>
      <c r="O8" s="486">
        <f>-'c12_oc'!O63+'c12_oc'!N63+'c12_oc'!O62</f>
        <v>0</v>
      </c>
      <c r="P8" s="486">
        <f>-'c12_oc'!P63+'c12_oc'!O63+'c12_oc'!P62</f>
        <v>0</v>
      </c>
      <c r="Q8" s="486">
        <f>-'c12_oc'!Q63+'c12_oc'!P63+'c12_oc'!Q62</f>
        <v>0</v>
      </c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</row>
    <row r="9" spans="1:57" s="32" customFormat="1">
      <c r="A9" s="530" t="s">
        <v>1134</v>
      </c>
      <c r="B9" s="428"/>
      <c r="C9" s="429"/>
      <c r="D9" s="428"/>
      <c r="E9" s="486">
        <f>'c12_oc'!E60</f>
        <v>-4651000</v>
      </c>
      <c r="F9" s="486">
        <f>'c12_oc'!F60</f>
        <v>-1137828.9975000001</v>
      </c>
      <c r="G9" s="486">
        <f>'c12_oc'!G60</f>
        <v>-1063676.9975000001</v>
      </c>
      <c r="H9" s="486">
        <f>'c12_oc'!H60</f>
        <v>-1101682.9975000001</v>
      </c>
      <c r="I9" s="486">
        <f>'c12_oc'!I60</f>
        <v>199049.00249999994</v>
      </c>
      <c r="J9" s="486">
        <f>'c12_oc'!J60</f>
        <v>849347</v>
      </c>
      <c r="K9" s="486">
        <f>'c12_oc'!K60</f>
        <v>849347</v>
      </c>
      <c r="L9" s="486">
        <f>'c12_oc'!L60</f>
        <v>849347</v>
      </c>
      <c r="M9" s="486">
        <f>'c12_oc'!M60</f>
        <v>849347</v>
      </c>
      <c r="N9" s="486">
        <f>'c12_oc'!N60</f>
        <v>-2052612</v>
      </c>
      <c r="O9" s="486">
        <f>'c12_oc'!O60</f>
        <v>-2052612</v>
      </c>
      <c r="P9" s="486">
        <f>'c12_oc'!P60</f>
        <v>-2052612</v>
      </c>
      <c r="Q9" s="486">
        <f>'c12_oc'!Q60</f>
        <v>-2052612</v>
      </c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</row>
    <row r="10" spans="1:57" s="32" customFormat="1">
      <c r="A10" s="530" t="s">
        <v>896</v>
      </c>
      <c r="B10" s="428" t="s">
        <v>17</v>
      </c>
      <c r="C10" s="429"/>
      <c r="D10" s="428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86">
        <v>-1200000</v>
      </c>
      <c r="P10" s="427"/>
      <c r="Q10" s="486">
        <v>-4200000</v>
      </c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</row>
    <row r="11" spans="1:57" s="32" customFormat="1">
      <c r="A11" s="504" t="s">
        <v>897</v>
      </c>
      <c r="B11" s="428"/>
      <c r="C11" s="429"/>
      <c r="D11" s="428"/>
      <c r="E11" s="486">
        <f t="shared" ref="E11:Q11" si="1">SUM(E6:E10)</f>
        <v>9950</v>
      </c>
      <c r="F11" s="486">
        <f t="shared" si="1"/>
        <v>9950</v>
      </c>
      <c r="G11" s="486">
        <f t="shared" si="1"/>
        <v>9950</v>
      </c>
      <c r="H11" s="486">
        <f t="shared" si="1"/>
        <v>9950</v>
      </c>
      <c r="I11" s="486">
        <f t="shared" si="1"/>
        <v>9950</v>
      </c>
      <c r="J11" s="486">
        <f t="shared" si="1"/>
        <v>1586876.0129824569</v>
      </c>
      <c r="K11" s="486">
        <f t="shared" si="1"/>
        <v>3808278.7778634094</v>
      </c>
      <c r="L11" s="486">
        <f t="shared" si="1"/>
        <v>5957548.937481204</v>
      </c>
      <c r="M11" s="486">
        <f t="shared" si="1"/>
        <v>9426375.5753884725</v>
      </c>
      <c r="N11" s="486">
        <f t="shared" si="1"/>
        <v>11836154.449912284</v>
      </c>
      <c r="O11" s="486">
        <f t="shared" si="1"/>
        <v>12405818.64291276</v>
      </c>
      <c r="P11" s="486">
        <f t="shared" si="1"/>
        <v>14153408.207917538</v>
      </c>
      <c r="Q11" s="486">
        <f t="shared" si="1"/>
        <v>11424993.914352234</v>
      </c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</row>
    <row r="12" spans="1:57" s="32" customFormat="1">
      <c r="A12" s="504" t="s">
        <v>898</v>
      </c>
      <c r="B12" s="428"/>
      <c r="C12" s="429"/>
      <c r="D12" s="428"/>
      <c r="E12" s="486">
        <f>-'c12_oc'!E75</f>
        <v>0</v>
      </c>
      <c r="F12" s="486">
        <f>-'c12_oc'!F75</f>
        <v>-264555.125</v>
      </c>
      <c r="G12" s="486">
        <f>-'c12_oc'!G75</f>
        <v>-1654110.25</v>
      </c>
      <c r="H12" s="486">
        <f>-'c12_oc'!H75</f>
        <v>-2356165.375</v>
      </c>
      <c r="I12" s="486">
        <f>-'c12_oc'!I75</f>
        <v>-2964570.5</v>
      </c>
      <c r="J12" s="486">
        <f>-'c12_oc'!J75</f>
        <v>-2970159.2973749996</v>
      </c>
      <c r="K12" s="486">
        <f>-'c12_oc'!K75</f>
        <v>-2465036.0922499998</v>
      </c>
      <c r="L12" s="486">
        <f>-'c12_oc'!L75</f>
        <v>-2022503.3871249997</v>
      </c>
      <c r="M12" s="486">
        <f>-'c12_oc'!M75</f>
        <v>-1664945.5194999997</v>
      </c>
      <c r="N12" s="486">
        <f>-'c12_oc'!N75</f>
        <v>-1612953.8668849997</v>
      </c>
      <c r="O12" s="486">
        <f>-'c12_oc'!O75</f>
        <v>-1238953.8398315497</v>
      </c>
      <c r="P12" s="486">
        <f>-'c12_oc'!P75</f>
        <v>-2072783.8119664963</v>
      </c>
      <c r="Q12" s="486">
        <f>-'c12_oc'!Q75</f>
        <v>-2734101.9936666666</v>
      </c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</row>
    <row r="13" spans="1:57" s="32" customFormat="1">
      <c r="A13" s="504" t="s">
        <v>899</v>
      </c>
      <c r="B13" s="428"/>
      <c r="C13" s="429"/>
      <c r="D13" s="428"/>
      <c r="E13" s="486">
        <f t="shared" ref="E13:Q13" si="2">SUM(E11:E12)</f>
        <v>9950</v>
      </c>
      <c r="F13" s="486">
        <f t="shared" si="2"/>
        <v>-254605.125</v>
      </c>
      <c r="G13" s="486">
        <f t="shared" si="2"/>
        <v>-1644160.25</v>
      </c>
      <c r="H13" s="486">
        <f t="shared" si="2"/>
        <v>-2346215.375</v>
      </c>
      <c r="I13" s="486">
        <f t="shared" si="2"/>
        <v>-2954620.5</v>
      </c>
      <c r="J13" s="486">
        <f t="shared" si="2"/>
        <v>-1383283.2843925427</v>
      </c>
      <c r="K13" s="486">
        <f t="shared" si="2"/>
        <v>1343242.6856134096</v>
      </c>
      <c r="L13" s="486">
        <f t="shared" si="2"/>
        <v>3935045.5503562046</v>
      </c>
      <c r="M13" s="486">
        <f t="shared" si="2"/>
        <v>7761430.0558884731</v>
      </c>
      <c r="N13" s="486">
        <f t="shared" si="2"/>
        <v>10223200.583027285</v>
      </c>
      <c r="O13" s="486">
        <f t="shared" si="2"/>
        <v>11166864.803081211</v>
      </c>
      <c r="P13" s="486">
        <f t="shared" si="2"/>
        <v>12080624.395951042</v>
      </c>
      <c r="Q13" s="486">
        <f t="shared" si="2"/>
        <v>8690891.920685567</v>
      </c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</row>
    <row r="14" spans="1:57" s="6" customFormat="1">
      <c r="A14" s="427"/>
      <c r="B14" s="428"/>
      <c r="C14" s="429"/>
      <c r="D14" s="428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</row>
    <row r="15" spans="1:57" s="32" customFormat="1">
      <c r="A15" s="504" t="s">
        <v>900</v>
      </c>
      <c r="B15" s="428"/>
      <c r="C15" s="429"/>
      <c r="D15" s="428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</row>
    <row r="16" spans="1:57" s="32" customFormat="1">
      <c r="A16" s="504" t="s">
        <v>901</v>
      </c>
      <c r="B16" s="428"/>
      <c r="C16" s="429"/>
      <c r="D16" s="428"/>
      <c r="E16" s="486">
        <f>'c12_oc'!E63</f>
        <v>-1540999</v>
      </c>
      <c r="F16" s="486">
        <f>'c12_oc'!F63</f>
        <v>-2072056.5557706766</v>
      </c>
      <c r="G16" s="486">
        <f>'c12_oc'!G63</f>
        <v>-2528962.1115413532</v>
      </c>
      <c r="H16" s="486">
        <f>'c12_oc'!H63</f>
        <v>-2735414.7199436086</v>
      </c>
      <c r="I16" s="486">
        <f>'c12_oc'!I63</f>
        <v>-1641513.7493984955</v>
      </c>
      <c r="J16" s="486">
        <f>'c12_oc'!J63</f>
        <v>0</v>
      </c>
      <c r="K16" s="486">
        <f>'c12_oc'!K63</f>
        <v>0</v>
      </c>
      <c r="L16" s="486">
        <f>'c12_oc'!L63</f>
        <v>0</v>
      </c>
      <c r="M16" s="486">
        <f>'c12_oc'!M63</f>
        <v>0</v>
      </c>
      <c r="N16" s="486">
        <f>'c12_oc'!N63</f>
        <v>0</v>
      </c>
      <c r="O16" s="486">
        <f>'c12_oc'!O63</f>
        <v>0</v>
      </c>
      <c r="P16" s="486">
        <f>'c12_oc'!P63</f>
        <v>0</v>
      </c>
      <c r="Q16" s="486">
        <f>'c12_oc'!Q63</f>
        <v>0</v>
      </c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</row>
    <row r="17" spans="1:57" s="6" customFormat="1">
      <c r="A17" s="427"/>
      <c r="B17" s="428"/>
      <c r="C17" s="429"/>
      <c r="D17" s="428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</row>
    <row r="18" spans="1:57" s="32" customFormat="1">
      <c r="A18" s="504" t="s">
        <v>184</v>
      </c>
      <c r="B18" s="428"/>
      <c r="C18" s="429"/>
      <c r="D18" s="428"/>
      <c r="E18" s="486">
        <f t="shared" ref="E18:Q18" si="3">E16+E13</f>
        <v>-1531049</v>
      </c>
      <c r="F18" s="486">
        <f t="shared" si="3"/>
        <v>-2326661.6807706766</v>
      </c>
      <c r="G18" s="486">
        <f t="shared" si="3"/>
        <v>-4173122.3615413532</v>
      </c>
      <c r="H18" s="486">
        <f t="shared" si="3"/>
        <v>-5081630.0949436091</v>
      </c>
      <c r="I18" s="486">
        <f t="shared" si="3"/>
        <v>-4596134.249398496</v>
      </c>
      <c r="J18" s="486">
        <f t="shared" si="3"/>
        <v>-1383283.2843925427</v>
      </c>
      <c r="K18" s="486">
        <f t="shared" si="3"/>
        <v>1343242.6856134096</v>
      </c>
      <c r="L18" s="486">
        <f t="shared" si="3"/>
        <v>3935045.5503562046</v>
      </c>
      <c r="M18" s="486">
        <f t="shared" si="3"/>
        <v>7761430.0558884731</v>
      </c>
      <c r="N18" s="486">
        <f t="shared" si="3"/>
        <v>10223200.583027285</v>
      </c>
      <c r="O18" s="486">
        <f t="shared" si="3"/>
        <v>11166864.803081211</v>
      </c>
      <c r="P18" s="486">
        <f t="shared" si="3"/>
        <v>12080624.395951042</v>
      </c>
      <c r="Q18" s="486">
        <f t="shared" si="3"/>
        <v>8690891.920685567</v>
      </c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</row>
    <row r="19" spans="1:57" s="6" customFormat="1">
      <c r="A19" s="427"/>
      <c r="B19" s="428"/>
      <c r="C19" s="429"/>
      <c r="D19" s="428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</row>
    <row r="20" spans="1:57">
      <c r="A20" s="427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</row>
    <row r="21" spans="1:57">
      <c r="A21" s="427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</row>
    <row r="22" spans="1:57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</row>
    <row r="23" spans="1:57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</row>
    <row r="24" spans="1:57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</row>
    <row r="25" spans="1:57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</row>
    <row r="26" spans="1:57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</row>
    <row r="27" spans="1:57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</row>
    <row r="28" spans="1:57">
      <c r="A28" s="427"/>
      <c r="B28" s="427"/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</row>
    <row r="29" spans="1:57">
      <c r="A29" s="427"/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</row>
    <row r="30" spans="1:57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</row>
    <row r="31" spans="1:57">
      <c r="A31" s="427"/>
      <c r="B31" s="427"/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</row>
    <row r="32" spans="1:57">
      <c r="A32" s="427"/>
      <c r="B32" s="427"/>
      <c r="C32" s="427"/>
      <c r="D32" s="427"/>
      <c r="E32" s="427"/>
      <c r="F32" s="427"/>
      <c r="G32" s="427"/>
      <c r="H32" s="427"/>
      <c r="I32" s="427"/>
      <c r="J32" s="427"/>
      <c r="K32" s="427"/>
      <c r="L32" s="427"/>
      <c r="M32" s="427"/>
      <c r="N32" s="427"/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</row>
    <row r="33" spans="1:57">
      <c r="A33" s="427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</row>
    <row r="34" spans="1:57">
      <c r="A34" s="427"/>
      <c r="B34" s="427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</row>
    <row r="35" spans="1:57">
      <c r="A35" s="427"/>
      <c r="B35" s="427"/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427"/>
      <c r="N35" s="427"/>
      <c r="O35" s="427"/>
      <c r="P35" s="427"/>
      <c r="Q35" s="427"/>
      <c r="R35" s="427"/>
      <c r="S35" s="427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</row>
    <row r="36" spans="1:57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</row>
    <row r="37" spans="1:57">
      <c r="A37" s="427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</row>
    <row r="38" spans="1:57">
      <c r="A38" s="427"/>
      <c r="B38" s="427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</row>
    <row r="39" spans="1:57">
      <c r="A39" s="427"/>
      <c r="B39" s="427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</row>
    <row r="40" spans="1:57">
      <c r="A40" s="427"/>
      <c r="B40" s="427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</row>
    <row r="41" spans="1:57">
      <c r="A41" s="427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</row>
    <row r="42" spans="1:57">
      <c r="A42" s="427"/>
      <c r="B42" s="427"/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</row>
    <row r="43" spans="1:57">
      <c r="A43" s="427"/>
      <c r="B43" s="427"/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</row>
    <row r="44" spans="1:57">
      <c r="A44" s="427"/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</row>
    <row r="45" spans="1:57">
      <c r="A45" s="427"/>
      <c r="B45" s="427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</row>
    <row r="46" spans="1:57">
      <c r="A46" s="427"/>
      <c r="B46" s="427"/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7"/>
      <c r="N46" s="427"/>
      <c r="O46" s="427"/>
      <c r="P46" s="427"/>
      <c r="Q46" s="427"/>
      <c r="R46" s="427"/>
      <c r="S46" s="427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</row>
    <row r="47" spans="1:57">
      <c r="A47" s="427"/>
      <c r="B47" s="427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</row>
    <row r="48" spans="1:57">
      <c r="A48" s="427"/>
      <c r="B48" s="427"/>
      <c r="C48" s="427"/>
      <c r="D48" s="427"/>
      <c r="E48" s="427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</row>
    <row r="49" spans="1:57">
      <c r="A49" s="427"/>
      <c r="B49" s="427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 s="427"/>
      <c r="BA49" s="427"/>
      <c r="BB49" s="427"/>
      <c r="BC49" s="427"/>
      <c r="BD49" s="427"/>
      <c r="BE49" s="427"/>
    </row>
    <row r="50" spans="1:57">
      <c r="A50" s="427"/>
      <c r="B50" s="427"/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</row>
    <row r="51" spans="1:57">
      <c r="A51" s="427"/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</row>
    <row r="52" spans="1:57">
      <c r="A52" s="427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</row>
    <row r="53" spans="1:57">
      <c r="A53" s="427"/>
      <c r="B53" s="427"/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</row>
    <row r="54" spans="1:57">
      <c r="A54" s="427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</row>
    <row r="55" spans="1:57">
      <c r="A55" s="427"/>
      <c r="B55" s="427"/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</row>
    <row r="56" spans="1:57">
      <c r="A56" s="427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</row>
    <row r="57" spans="1:57">
      <c r="A57" s="427"/>
      <c r="B57" s="427"/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</row>
    <row r="58" spans="1:57">
      <c r="A58" s="427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7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</row>
    <row r="59" spans="1:57">
      <c r="A59" s="427"/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</row>
    <row r="60" spans="1:57">
      <c r="A60" s="427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</row>
    <row r="61" spans="1:57">
      <c r="A61" s="427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</row>
    <row r="62" spans="1:57">
      <c r="A62" s="427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</row>
    <row r="63" spans="1:57">
      <c r="A63" s="427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</row>
    <row r="64" spans="1:57">
      <c r="A64" s="427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7"/>
      <c r="R64" s="427"/>
      <c r="S64" s="427"/>
      <c r="T64" s="427"/>
      <c r="U64" s="427"/>
      <c r="V64" s="427"/>
      <c r="W64" s="427"/>
      <c r="X64" s="427"/>
      <c r="Y64" s="427"/>
      <c r="Z64" s="427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</row>
    <row r="65" spans="1:57">
      <c r="A65" s="427"/>
      <c r="B65" s="427"/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</row>
    <row r="66" spans="1:57">
      <c r="A66" s="427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</row>
    <row r="67" spans="1:57">
      <c r="A67" s="427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7"/>
      <c r="O67" s="427"/>
      <c r="P67" s="427"/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</row>
    <row r="68" spans="1:57">
      <c r="A68" s="427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</row>
    <row r="69" spans="1:57">
      <c r="A69" s="427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</row>
    <row r="70" spans="1:57">
      <c r="A70" s="427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</row>
    <row r="71" spans="1:57">
      <c r="A71" s="427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</row>
    <row r="72" spans="1:57">
      <c r="A72" s="427"/>
      <c r="B72" s="427"/>
      <c r="C72" s="427"/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427"/>
      <c r="W72" s="427"/>
      <c r="X72" s="427"/>
      <c r="Y72" s="427"/>
      <c r="Z72" s="427"/>
      <c r="AA72" s="427"/>
      <c r="AB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</row>
    <row r="73" spans="1:57">
      <c r="A73" s="427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7"/>
      <c r="Q73" s="427"/>
      <c r="R73" s="427"/>
      <c r="S73" s="427"/>
      <c r="T73" s="427"/>
      <c r="U73" s="427"/>
      <c r="V73" s="427"/>
      <c r="W73" s="427"/>
      <c r="X73" s="427"/>
      <c r="Y73" s="427"/>
      <c r="Z73" s="427"/>
      <c r="AA73" s="427"/>
      <c r="AB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</row>
    <row r="74" spans="1:57">
      <c r="A74" s="427"/>
      <c r="B74" s="427"/>
      <c r="C74" s="427"/>
      <c r="D74" s="427"/>
      <c r="E74" s="427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7"/>
      <c r="BE74" s="427"/>
    </row>
    <row r="75" spans="1:57">
      <c r="A75" s="427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7"/>
      <c r="BE75" s="427"/>
    </row>
    <row r="76" spans="1:57">
      <c r="A76" s="427"/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7"/>
      <c r="BE76" s="427"/>
    </row>
    <row r="77" spans="1:57">
      <c r="A77" s="427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7"/>
      <c r="Q77" s="427"/>
      <c r="R77" s="427"/>
      <c r="S77" s="427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AZ77" s="427"/>
      <c r="BA77" s="427"/>
      <c r="BB77" s="427"/>
      <c r="BC77" s="427"/>
      <c r="BD77" s="427"/>
      <c r="BE77" s="427"/>
    </row>
    <row r="78" spans="1:57">
      <c r="A78" s="427"/>
      <c r="B78" s="427"/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7"/>
      <c r="BE78" s="427"/>
    </row>
    <row r="79" spans="1:57">
      <c r="A79" s="427"/>
      <c r="B79" s="427"/>
      <c r="C79" s="427"/>
      <c r="D79" s="427"/>
      <c r="E79" s="427"/>
      <c r="F79" s="427"/>
      <c r="G79" s="427"/>
      <c r="H79" s="427"/>
      <c r="I79" s="427"/>
      <c r="J79" s="427"/>
      <c r="K79" s="427"/>
      <c r="L79" s="427"/>
      <c r="M79" s="427"/>
      <c r="N79" s="427"/>
      <c r="O79" s="427"/>
      <c r="P79" s="427"/>
      <c r="Q79" s="427"/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</row>
    <row r="80" spans="1:57">
      <c r="A80" s="427"/>
      <c r="B80" s="427"/>
      <c r="C80" s="427"/>
      <c r="D80" s="427"/>
      <c r="E80" s="427"/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</row>
    <row r="81" spans="1:57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</row>
    <row r="82" spans="1:57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</row>
    <row r="83" spans="1:57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</row>
    <row r="84" spans="1:57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</row>
    <row r="85" spans="1:57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</row>
    <row r="86" spans="1:57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</row>
    <row r="87" spans="1:57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</row>
    <row r="88" spans="1:57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</row>
    <row r="89" spans="1:57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</row>
    <row r="90" spans="1:57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</row>
    <row r="91" spans="1:57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</row>
    <row r="92" spans="1:57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</row>
    <row r="93" spans="1:57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</row>
    <row r="94" spans="1:57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</row>
    <row r="95" spans="1:57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</row>
    <row r="96" spans="1:57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</row>
    <row r="97" spans="1:57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</row>
    <row r="98" spans="1:57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</row>
    <row r="99" spans="1:57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</row>
    <row r="100" spans="1:57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</row>
    <row r="101" spans="1:57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</row>
    <row r="102" spans="1:57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</row>
    <row r="103" spans="1:57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</row>
    <row r="104" spans="1:57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</row>
    <row r="105" spans="1:57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</row>
    <row r="106" spans="1:57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</row>
    <row r="107" spans="1:57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</row>
    <row r="108" spans="1:57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</row>
    <row r="109" spans="1:57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</row>
    <row r="110" spans="1:57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</row>
    <row r="111" spans="1:57">
      <c r="A111" s="427"/>
      <c r="B111" s="448"/>
      <c r="C111" s="427"/>
      <c r="D111" s="448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</row>
    <row r="112" spans="1:57">
      <c r="A112" s="427"/>
      <c r="B112" s="448"/>
      <c r="C112" s="427"/>
      <c r="D112" s="448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</row>
    <row r="113" spans="1:57">
      <c r="A113" s="427"/>
      <c r="B113" s="448"/>
      <c r="C113" s="427"/>
      <c r="D113" s="448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</row>
    <row r="114" spans="1:57">
      <c r="A114" s="427"/>
      <c r="B114" s="448"/>
      <c r="C114" s="427"/>
      <c r="D114" s="448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</row>
    <row r="115" spans="1:57">
      <c r="A115" s="427"/>
      <c r="B115" s="448"/>
      <c r="C115" s="427"/>
      <c r="D115" s="448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</row>
    <row r="116" spans="1:57">
      <c r="A116" s="427"/>
      <c r="B116" s="448"/>
      <c r="C116" s="427"/>
      <c r="D116" s="448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</row>
    <row r="117" spans="1:57">
      <c r="A117" s="427"/>
      <c r="B117" s="448"/>
      <c r="C117" s="427"/>
      <c r="D117" s="448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</row>
    <row r="118" spans="1:57">
      <c r="A118" s="427"/>
      <c r="B118" s="448"/>
      <c r="C118" s="427"/>
      <c r="D118" s="448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</row>
    <row r="119" spans="1:57">
      <c r="A119" s="427"/>
      <c r="B119" s="448"/>
      <c r="C119" s="427"/>
      <c r="D119" s="448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</row>
    <row r="120" spans="1:57">
      <c r="A120" s="427"/>
      <c r="B120" s="448"/>
      <c r="C120" s="427"/>
      <c r="D120" s="448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</row>
    <row r="121" spans="1:57">
      <c r="A121" s="427"/>
      <c r="B121" s="448"/>
      <c r="C121" s="427"/>
      <c r="D121" s="448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</row>
    <row r="122" spans="1:57">
      <c r="A122" s="427"/>
      <c r="B122" s="448"/>
      <c r="C122" s="427"/>
      <c r="D122" s="448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</row>
    <row r="123" spans="1:57">
      <c r="A123" s="427"/>
      <c r="B123" s="448"/>
      <c r="C123" s="427"/>
      <c r="D123" s="448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</row>
    <row r="124" spans="1:57">
      <c r="A124" s="427"/>
      <c r="B124" s="448"/>
      <c r="C124" s="427"/>
      <c r="D124" s="448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</row>
    <row r="125" spans="1:57">
      <c r="A125" s="427"/>
      <c r="B125" s="448"/>
      <c r="C125" s="427"/>
      <c r="D125" s="448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</row>
    <row r="126" spans="1:57">
      <c r="A126" s="427"/>
      <c r="B126" s="448"/>
      <c r="C126" s="427"/>
      <c r="D126" s="448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</row>
    <row r="127" spans="1:57">
      <c r="A127" s="427"/>
      <c r="B127" s="448"/>
      <c r="C127" s="427"/>
      <c r="D127" s="448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</row>
    <row r="128" spans="1:57">
      <c r="A128" s="427"/>
      <c r="B128" s="448"/>
      <c r="C128" s="427"/>
      <c r="D128" s="448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</row>
    <row r="129" spans="1:57">
      <c r="A129" s="427"/>
      <c r="B129" s="448"/>
      <c r="C129" s="427"/>
      <c r="D129" s="448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</row>
    <row r="130" spans="1:57">
      <c r="A130" s="427"/>
      <c r="B130" s="448"/>
      <c r="C130" s="427"/>
      <c r="D130" s="448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</row>
    <row r="131" spans="1:57">
      <c r="A131" s="427"/>
      <c r="B131" s="448"/>
      <c r="C131" s="427"/>
      <c r="D131" s="448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</row>
    <row r="132" spans="1:57">
      <c r="A132" s="427"/>
      <c r="B132" s="448"/>
      <c r="C132" s="427"/>
      <c r="D132" s="448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</row>
    <row r="133" spans="1:57">
      <c r="A133" s="427"/>
      <c r="B133" s="448"/>
      <c r="C133" s="427"/>
      <c r="D133" s="448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</row>
    <row r="134" spans="1:57">
      <c r="A134" s="427"/>
      <c r="B134" s="448"/>
      <c r="C134" s="427"/>
      <c r="D134" s="448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</row>
    <row r="135" spans="1:57">
      <c r="A135" s="427"/>
      <c r="B135" s="448"/>
      <c r="C135" s="427"/>
      <c r="D135" s="448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</row>
    <row r="136" spans="1:57">
      <c r="A136" s="427"/>
      <c r="B136" s="448"/>
      <c r="C136" s="427"/>
      <c r="D136" s="448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</row>
    <row r="137" spans="1:57">
      <c r="A137" s="427"/>
      <c r="B137" s="448"/>
      <c r="C137" s="427"/>
      <c r="D137" s="448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</row>
    <row r="138" spans="1:57">
      <c r="A138" s="427"/>
      <c r="B138" s="448"/>
      <c r="C138" s="427"/>
      <c r="D138" s="448"/>
      <c r="E138" s="427"/>
      <c r="F138" s="427"/>
      <c r="G138" s="427"/>
      <c r="H138" s="427"/>
      <c r="I138" s="427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</row>
    <row r="139" spans="1:57">
      <c r="A139" s="427"/>
      <c r="B139" s="448"/>
      <c r="C139" s="427"/>
      <c r="D139" s="448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</row>
    <row r="140" spans="1:57">
      <c r="A140" s="427"/>
      <c r="B140" s="448"/>
      <c r="C140" s="427"/>
      <c r="D140" s="448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</row>
    <row r="141" spans="1:57">
      <c r="A141" s="427"/>
      <c r="B141" s="448"/>
      <c r="C141" s="427"/>
      <c r="D141" s="448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</row>
    <row r="142" spans="1:57">
      <c r="A142" s="427"/>
      <c r="B142" s="448"/>
      <c r="C142" s="427"/>
      <c r="D142" s="448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</row>
    <row r="143" spans="1:57">
      <c r="A143" s="427"/>
      <c r="B143" s="448"/>
      <c r="C143" s="427"/>
      <c r="D143" s="448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</row>
    <row r="144" spans="1:57">
      <c r="A144" s="427"/>
      <c r="B144" s="448"/>
      <c r="C144" s="427"/>
      <c r="D144" s="448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</row>
    <row r="145" spans="1:57">
      <c r="A145" s="427"/>
      <c r="B145" s="448"/>
      <c r="C145" s="427"/>
      <c r="D145" s="448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</row>
    <row r="146" spans="1:57">
      <c r="A146" s="427"/>
      <c r="B146" s="448"/>
      <c r="C146" s="427"/>
      <c r="D146" s="448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</row>
    <row r="147" spans="1:57">
      <c r="A147" s="427"/>
      <c r="B147" s="448"/>
      <c r="C147" s="427"/>
      <c r="D147" s="448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</row>
    <row r="148" spans="1:57">
      <c r="A148" s="427"/>
      <c r="B148" s="448"/>
      <c r="C148" s="427"/>
      <c r="D148" s="448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AZ148" s="427"/>
      <c r="BA148" s="427"/>
      <c r="BB148" s="427"/>
      <c r="BC148" s="427"/>
      <c r="BD148" s="427"/>
      <c r="BE148" s="427"/>
    </row>
    <row r="149" spans="1:57">
      <c r="A149" s="427"/>
      <c r="B149" s="448"/>
      <c r="C149" s="427"/>
      <c r="D149" s="448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R149"/>
  <sheetViews>
    <sheetView showGridLines="0" tabSelected="1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E22" sqref="E22"/>
    </sheetView>
  </sheetViews>
  <sheetFormatPr defaultRowHeight="14.5"/>
  <cols>
    <col min="1" max="1" width="40" style="35" bestFit="1" customWidth="1"/>
    <col min="2" max="2" width="4.453125" style="424" customWidth="1"/>
    <col min="3" max="3" width="27" style="418" bestFit="1" customWidth="1"/>
    <col min="4" max="4" width="11.81640625" style="418" bestFit="1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4" s="4" customFormat="1" ht="18.399999999999999" customHeight="1">
      <c r="A1" s="531"/>
      <c r="B1" s="428"/>
      <c r="C1" s="429"/>
      <c r="D1" s="429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24"/>
      <c r="T1" s="524"/>
      <c r="U1" s="427"/>
      <c r="V1" s="427"/>
      <c r="W1" s="427"/>
      <c r="X1" s="427"/>
      <c r="Y1" s="427"/>
      <c r="Z1" s="427"/>
      <c r="AA1" s="427"/>
      <c r="AB1" s="427"/>
      <c r="AC1" s="471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</row>
    <row r="2" spans="1:44">
      <c r="A2" s="533" t="s">
        <v>50</v>
      </c>
      <c r="B2" s="431"/>
      <c r="C2" s="431"/>
      <c r="D2" s="430"/>
      <c r="E2" s="534">
        <v>45657</v>
      </c>
      <c r="F2" s="534">
        <v>45747</v>
      </c>
      <c r="G2" s="534">
        <v>45838</v>
      </c>
      <c r="H2" s="534">
        <v>45930</v>
      </c>
      <c r="I2" s="534">
        <v>46022</v>
      </c>
      <c r="J2" s="534">
        <v>46112</v>
      </c>
      <c r="K2" s="534">
        <v>46203</v>
      </c>
      <c r="L2" s="534">
        <v>46295</v>
      </c>
      <c r="M2" s="534">
        <v>46387</v>
      </c>
      <c r="N2" s="534">
        <v>46752</v>
      </c>
      <c r="O2" s="534">
        <v>47118</v>
      </c>
      <c r="P2" s="534">
        <v>47483</v>
      </c>
      <c r="Q2" s="534">
        <v>47848</v>
      </c>
      <c r="R2" s="533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</row>
    <row r="3" spans="1:44" ht="14.65" customHeight="1">
      <c r="A3" s="533" t="s">
        <v>128</v>
      </c>
      <c r="B3" s="431"/>
      <c r="C3" s="431"/>
      <c r="D3" s="430"/>
      <c r="E3" s="535" t="s">
        <v>129</v>
      </c>
      <c r="F3" s="535" t="s">
        <v>130</v>
      </c>
      <c r="G3" s="535" t="s">
        <v>131</v>
      </c>
      <c r="H3" s="535" t="s">
        <v>132</v>
      </c>
      <c r="I3" s="535" t="s">
        <v>129</v>
      </c>
      <c r="J3" s="535" t="s">
        <v>130</v>
      </c>
      <c r="K3" s="535" t="s">
        <v>131</v>
      </c>
      <c r="L3" s="535" t="s">
        <v>132</v>
      </c>
      <c r="M3" s="535" t="s">
        <v>129</v>
      </c>
      <c r="N3" s="536" t="s">
        <v>129</v>
      </c>
      <c r="O3" s="536" t="s">
        <v>129</v>
      </c>
      <c r="P3" s="536" t="s">
        <v>129</v>
      </c>
      <c r="Q3" s="536" t="s">
        <v>129</v>
      </c>
      <c r="R3" s="537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</row>
    <row r="4" spans="1:44" ht="14.65" customHeight="1">
      <c r="A4" s="427"/>
      <c r="B4" s="437" t="s">
        <v>0</v>
      </c>
      <c r="C4" s="438" t="s">
        <v>1</v>
      </c>
      <c r="D4" s="438" t="s">
        <v>2</v>
      </c>
      <c r="E4" s="538"/>
      <c r="F4" s="538"/>
      <c r="G4" s="538"/>
      <c r="H4" s="538"/>
      <c r="I4" s="538"/>
      <c r="J4" s="538"/>
      <c r="K4" s="538"/>
      <c r="L4" s="538"/>
      <c r="M4" s="538"/>
      <c r="N4" s="539"/>
      <c r="O4" s="539"/>
      <c r="P4" s="539"/>
      <c r="Q4" s="539"/>
      <c r="R4" s="540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</row>
    <row r="5" spans="1:44" ht="15" customHeight="1" thickBot="1">
      <c r="A5" s="541" t="s">
        <v>902</v>
      </c>
      <c r="B5" s="442"/>
      <c r="C5" s="441" t="s">
        <v>903</v>
      </c>
      <c r="D5" s="444"/>
      <c r="E5" s="531"/>
      <c r="F5" s="531"/>
      <c r="G5" s="531"/>
      <c r="H5" s="531"/>
      <c r="I5" s="542"/>
      <c r="J5" s="531"/>
      <c r="K5" s="531"/>
      <c r="L5" s="531"/>
      <c r="M5" s="531"/>
      <c r="N5" s="531"/>
      <c r="O5" s="531"/>
      <c r="P5" s="531"/>
      <c r="Q5" s="531"/>
      <c r="R5" s="531"/>
      <c r="S5" s="427"/>
      <c r="T5" s="451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</row>
    <row r="6" spans="1:44">
      <c r="A6" s="541" t="s">
        <v>1014</v>
      </c>
      <c r="B6" s="440" t="s">
        <v>17</v>
      </c>
      <c r="C6" s="441" t="s">
        <v>1015</v>
      </c>
      <c r="D6" s="441" t="s">
        <v>906</v>
      </c>
      <c r="E6" s="543">
        <v>535096.5</v>
      </c>
      <c r="F6" s="544">
        <f>696500/4</f>
        <v>174125</v>
      </c>
      <c r="G6" s="544">
        <f>696500/4</f>
        <v>174125</v>
      </c>
      <c r="H6" s="544">
        <f>696500/4</f>
        <v>174125</v>
      </c>
      <c r="I6" s="505">
        <f>696500/4</f>
        <v>174125</v>
      </c>
      <c r="J6" s="505">
        <f>745476/4</f>
        <v>186369</v>
      </c>
      <c r="K6" s="505">
        <f>745476/4</f>
        <v>186369</v>
      </c>
      <c r="L6" s="505">
        <f>745476/4</f>
        <v>186369</v>
      </c>
      <c r="M6" s="505">
        <f>745476/4</f>
        <v>186369</v>
      </c>
      <c r="N6" s="543">
        <f>+M6*4*1.03</f>
        <v>767840.28</v>
      </c>
      <c r="O6" s="543">
        <f t="shared" ref="O6:Q9" si="0">+N6*1.03</f>
        <v>790875.48840000003</v>
      </c>
      <c r="P6" s="543">
        <f t="shared" si="0"/>
        <v>814601.75305200007</v>
      </c>
      <c r="Q6" s="543">
        <f t="shared" si="0"/>
        <v>839039.80564356013</v>
      </c>
      <c r="R6" s="545" t="s">
        <v>907</v>
      </c>
      <c r="S6" s="471"/>
      <c r="T6" s="546"/>
      <c r="U6" s="427"/>
      <c r="V6" s="427"/>
      <c r="W6" s="427"/>
      <c r="X6" s="427"/>
      <c r="Y6" s="486"/>
      <c r="Z6" s="486"/>
      <c r="AA6" s="486"/>
      <c r="AB6" s="486"/>
      <c r="AC6" s="543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</row>
    <row r="7" spans="1:44">
      <c r="A7" s="541" t="s">
        <v>1016</v>
      </c>
      <c r="B7" s="440" t="s">
        <v>17</v>
      </c>
      <c r="C7" s="441" t="s">
        <v>1017</v>
      </c>
      <c r="D7" s="441" t="s">
        <v>906</v>
      </c>
      <c r="E7" s="547">
        <v>535096.5</v>
      </c>
      <c r="F7" s="544">
        <f>704168/4</f>
        <v>176042</v>
      </c>
      <c r="G7" s="544">
        <f>704168/4</f>
        <v>176042</v>
      </c>
      <c r="H7" s="544">
        <f>704168/4</f>
        <v>176042</v>
      </c>
      <c r="I7" s="544">
        <f>704168/4</f>
        <v>176042</v>
      </c>
      <c r="J7" s="544">
        <f>+I7*1.03</f>
        <v>181323.26</v>
      </c>
      <c r="K7" s="544">
        <f>+J7</f>
        <v>181323.26</v>
      </c>
      <c r="L7" s="544">
        <f>+K7</f>
        <v>181323.26</v>
      </c>
      <c r="M7" s="544">
        <f>+L7</f>
        <v>181323.26</v>
      </c>
      <c r="N7" s="543">
        <f>+M7*4*1.03</f>
        <v>747051.83120000002</v>
      </c>
      <c r="O7" s="543">
        <f t="shared" si="0"/>
        <v>769463.38613600004</v>
      </c>
      <c r="P7" s="543">
        <f t="shared" si="0"/>
        <v>792547.28772008012</v>
      </c>
      <c r="Q7" s="543">
        <f t="shared" si="0"/>
        <v>816323.70635168254</v>
      </c>
      <c r="R7" s="543"/>
      <c r="S7" s="427"/>
      <c r="T7" s="546"/>
      <c r="U7" s="427"/>
      <c r="V7" s="427"/>
      <c r="W7" s="543"/>
      <c r="X7" s="543"/>
      <c r="Y7" s="543"/>
      <c r="Z7" s="543"/>
      <c r="AA7" s="543"/>
      <c r="AB7" s="543"/>
      <c r="AC7" s="543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</row>
    <row r="8" spans="1:44">
      <c r="A8" s="541" t="s">
        <v>1018</v>
      </c>
      <c r="B8" s="440" t="s">
        <v>17</v>
      </c>
      <c r="C8" s="441" t="s">
        <v>1015</v>
      </c>
      <c r="D8" s="441" t="s">
        <v>913</v>
      </c>
      <c r="E8" s="547">
        <v>569458</v>
      </c>
      <c r="F8" s="544">
        <f>644120/4</f>
        <v>161030</v>
      </c>
      <c r="G8" s="544">
        <f>644120/4</f>
        <v>161030</v>
      </c>
      <c r="H8" s="544">
        <f>644120/4</f>
        <v>161030</v>
      </c>
      <c r="I8" s="505">
        <f>644120/4</f>
        <v>161030</v>
      </c>
      <c r="J8" s="505">
        <f>834731/4</f>
        <v>208682.75</v>
      </c>
      <c r="K8" s="505">
        <f>834731/4</f>
        <v>208682.75</v>
      </c>
      <c r="L8" s="505">
        <f>834731/4</f>
        <v>208682.75</v>
      </c>
      <c r="M8" s="505">
        <f>834731/4</f>
        <v>208682.75</v>
      </c>
      <c r="N8" s="543">
        <f>+M8*4*1.03</f>
        <v>859772.93</v>
      </c>
      <c r="O8" s="543">
        <f t="shared" si="0"/>
        <v>885566.11790000007</v>
      </c>
      <c r="P8" s="543">
        <f t="shared" si="0"/>
        <v>912133.10143700009</v>
      </c>
      <c r="Q8" s="543">
        <f t="shared" si="0"/>
        <v>939497.0944801101</v>
      </c>
      <c r="R8" s="543"/>
      <c r="S8" s="429"/>
      <c r="T8" s="548"/>
      <c r="U8" s="427"/>
      <c r="V8" s="427"/>
      <c r="W8" s="543"/>
      <c r="X8" s="486"/>
      <c r="Y8" s="486"/>
      <c r="Z8" s="486"/>
      <c r="AA8" s="486"/>
      <c r="AB8" s="486"/>
      <c r="AC8" s="543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</row>
    <row r="9" spans="1:44">
      <c r="A9" s="541" t="s">
        <v>1019</v>
      </c>
      <c r="B9" s="439" t="s">
        <v>17</v>
      </c>
      <c r="C9" s="439" t="s">
        <v>1017</v>
      </c>
      <c r="D9" s="439" t="s">
        <v>913</v>
      </c>
      <c r="E9" s="547">
        <v>0</v>
      </c>
      <c r="F9" s="544">
        <f>283311/4</f>
        <v>70827.75</v>
      </c>
      <c r="G9" s="544">
        <f>283311/4</f>
        <v>70827.75</v>
      </c>
      <c r="H9" s="544">
        <f>283311/4</f>
        <v>70827.75</v>
      </c>
      <c r="I9" s="544">
        <f>283311/4</f>
        <v>70827.75</v>
      </c>
      <c r="J9" s="544">
        <f>+I9*1.03</f>
        <v>72952.582500000004</v>
      </c>
      <c r="K9" s="544">
        <f>+J9</f>
        <v>72952.582500000004</v>
      </c>
      <c r="L9" s="544">
        <f>+K9</f>
        <v>72952.582500000004</v>
      </c>
      <c r="M9" s="544">
        <f>+L9</f>
        <v>72952.582500000004</v>
      </c>
      <c r="N9" s="543">
        <f>+M9*4*1.03</f>
        <v>300564.63990000001</v>
      </c>
      <c r="O9" s="543">
        <f t="shared" si="0"/>
        <v>309581.57909700001</v>
      </c>
      <c r="P9" s="543">
        <f t="shared" si="0"/>
        <v>318869.02646990999</v>
      </c>
      <c r="Q9" s="543">
        <f t="shared" si="0"/>
        <v>328435.09726400732</v>
      </c>
      <c r="R9" s="543"/>
      <c r="S9" s="429"/>
      <c r="T9" s="549"/>
      <c r="U9" s="427"/>
      <c r="V9" s="427"/>
      <c r="W9" s="543"/>
      <c r="X9" s="543"/>
      <c r="Y9" s="543"/>
      <c r="Z9" s="543"/>
      <c r="AA9" s="543"/>
      <c r="AB9" s="543"/>
      <c r="AC9" s="543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</row>
    <row r="10" spans="1:44">
      <c r="A10" s="541" t="s">
        <v>1020</v>
      </c>
      <c r="B10" s="439" t="s">
        <v>17</v>
      </c>
      <c r="C10" s="439" t="s">
        <v>1015</v>
      </c>
      <c r="D10" s="439" t="s">
        <v>916</v>
      </c>
      <c r="E10" s="547">
        <v>0</v>
      </c>
      <c r="F10" s="544">
        <v>0</v>
      </c>
      <c r="G10" s="544">
        <v>0</v>
      </c>
      <c r="H10" s="544">
        <v>0</v>
      </c>
      <c r="I10" s="544">
        <v>0</v>
      </c>
      <c r="J10" s="544">
        <v>0</v>
      </c>
      <c r="K10" s="505">
        <v>0</v>
      </c>
      <c r="L10" s="505">
        <v>0</v>
      </c>
      <c r="M10" s="505">
        <v>0</v>
      </c>
      <c r="N10" s="543">
        <v>450000</v>
      </c>
      <c r="O10" s="543">
        <v>1000000</v>
      </c>
      <c r="P10" s="543">
        <v>1214000</v>
      </c>
      <c r="Q10" s="543">
        <f>+P10</f>
        <v>1214000</v>
      </c>
      <c r="R10" s="543"/>
      <c r="S10" s="429"/>
      <c r="T10" s="550"/>
      <c r="U10" s="427"/>
      <c r="V10" s="427"/>
      <c r="W10" s="543"/>
      <c r="X10" s="543"/>
      <c r="Y10" s="543"/>
      <c r="Z10" s="486"/>
      <c r="AA10" s="486"/>
      <c r="AB10" s="486"/>
      <c r="AC10" s="543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</row>
    <row r="11" spans="1:44">
      <c r="A11" s="541" t="s">
        <v>1021</v>
      </c>
      <c r="B11" s="439" t="s">
        <v>17</v>
      </c>
      <c r="C11" s="439" t="s">
        <v>1017</v>
      </c>
      <c r="D11" s="439" t="s">
        <v>916</v>
      </c>
      <c r="E11" s="543"/>
      <c r="F11" s="544"/>
      <c r="G11" s="544"/>
      <c r="H11" s="544"/>
      <c r="I11" s="544"/>
      <c r="J11" s="544"/>
      <c r="K11" s="505"/>
      <c r="L11" s="505"/>
      <c r="M11" s="505"/>
      <c r="N11" s="543"/>
      <c r="O11" s="543"/>
      <c r="P11" s="543">
        <v>696000</v>
      </c>
      <c r="Q11" s="543">
        <f>+P11</f>
        <v>696000</v>
      </c>
      <c r="R11" s="543"/>
      <c r="S11" s="429"/>
      <c r="T11" s="550"/>
      <c r="U11" s="427"/>
      <c r="V11" s="427"/>
      <c r="W11" s="543"/>
      <c r="X11" s="543"/>
      <c r="Y11" s="543"/>
      <c r="Z11" s="486"/>
      <c r="AA11" s="486"/>
      <c r="AB11" s="486"/>
      <c r="AC11" s="543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</row>
    <row r="12" spans="1:44">
      <c r="A12" s="541" t="s">
        <v>206</v>
      </c>
      <c r="B12" s="439" t="s">
        <v>17</v>
      </c>
      <c r="C12" s="439" t="s">
        <v>1015</v>
      </c>
      <c r="D12" s="439" t="s">
        <v>928</v>
      </c>
      <c r="E12" s="547">
        <v>0</v>
      </c>
      <c r="F12" s="544">
        <v>0</v>
      </c>
      <c r="G12" s="544">
        <v>0</v>
      </c>
      <c r="H12" s="544">
        <v>0</v>
      </c>
      <c r="I12" s="544">
        <v>0</v>
      </c>
      <c r="J12" s="544">
        <v>0</v>
      </c>
      <c r="K12" s="544">
        <v>0</v>
      </c>
      <c r="L12" s="544">
        <v>0</v>
      </c>
      <c r="M12" s="544">
        <v>0</v>
      </c>
      <c r="N12" s="543">
        <v>0</v>
      </c>
      <c r="O12" s="543">
        <v>0</v>
      </c>
      <c r="P12" s="543">
        <v>0</v>
      </c>
      <c r="Q12" s="543">
        <v>0</v>
      </c>
      <c r="R12" s="543"/>
      <c r="S12" s="429"/>
      <c r="T12" s="551"/>
      <c r="U12" s="427"/>
      <c r="V12" s="427"/>
      <c r="W12" s="543"/>
      <c r="X12" s="543"/>
      <c r="Y12" s="543"/>
      <c r="Z12" s="543"/>
      <c r="AA12" s="543"/>
      <c r="AB12" s="543"/>
      <c r="AC12" s="543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</row>
    <row r="13" spans="1:44">
      <c r="A13" s="541" t="s">
        <v>146</v>
      </c>
      <c r="B13" s="439" t="s">
        <v>17</v>
      </c>
      <c r="C13" s="439" t="s">
        <v>1015</v>
      </c>
      <c r="D13" s="439" t="s">
        <v>479</v>
      </c>
      <c r="E13" s="547">
        <v>0</v>
      </c>
      <c r="F13" s="544">
        <v>0</v>
      </c>
      <c r="G13" s="544">
        <v>0</v>
      </c>
      <c r="H13" s="544">
        <v>0</v>
      </c>
      <c r="I13" s="544">
        <v>0</v>
      </c>
      <c r="J13" s="544">
        <v>0</v>
      </c>
      <c r="K13" s="544"/>
      <c r="L13" s="544"/>
      <c r="M13" s="544"/>
      <c r="N13" s="543"/>
      <c r="O13" s="543"/>
      <c r="P13" s="543">
        <f>N6</f>
        <v>767840.28</v>
      </c>
      <c r="Q13" s="543">
        <f>O6</f>
        <v>790875.48840000003</v>
      </c>
      <c r="R13" s="543"/>
      <c r="S13" s="429"/>
      <c r="T13" s="551"/>
      <c r="U13" s="477"/>
      <c r="V13" s="477"/>
      <c r="W13" s="477"/>
      <c r="X13" s="477"/>
      <c r="Y13" s="477"/>
      <c r="Z13" s="477"/>
      <c r="AA13" s="477"/>
      <c r="AB13" s="477"/>
      <c r="AC13" s="47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</row>
    <row r="14" spans="1:44">
      <c r="A14" s="541" t="s">
        <v>151</v>
      </c>
      <c r="B14" s="439" t="s">
        <v>17</v>
      </c>
      <c r="C14" s="439" t="s">
        <v>1015</v>
      </c>
      <c r="D14" s="439" t="s">
        <v>935</v>
      </c>
      <c r="E14" s="543"/>
      <c r="F14" s="544"/>
      <c r="G14" s="544"/>
      <c r="H14" s="544"/>
      <c r="I14" s="544"/>
      <c r="J14" s="544"/>
      <c r="K14" s="544"/>
      <c r="L14" s="544"/>
      <c r="M14" s="544">
        <v>0</v>
      </c>
      <c r="N14" s="543">
        <v>1000000</v>
      </c>
      <c r="O14" s="543">
        <v>1000000</v>
      </c>
      <c r="P14" s="543">
        <v>1000000</v>
      </c>
      <c r="Q14" s="543">
        <v>1000000</v>
      </c>
      <c r="R14" s="543"/>
      <c r="S14" s="429"/>
      <c r="T14" s="551"/>
      <c r="U14" s="477"/>
      <c r="V14" s="477"/>
      <c r="W14" s="477"/>
      <c r="X14" s="477"/>
      <c r="Y14" s="477"/>
      <c r="Z14" s="477"/>
      <c r="AA14" s="477"/>
      <c r="AB14" s="477"/>
      <c r="AC14" s="47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</row>
    <row r="15" spans="1:44" s="417" customFormat="1">
      <c r="A15" s="531" t="s">
        <v>1127</v>
      </c>
      <c r="B15" s="428"/>
      <c r="C15" s="429"/>
      <c r="D15" s="429"/>
      <c r="E15" s="543"/>
      <c r="F15" s="543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Q15" s="543"/>
      <c r="R15" s="543"/>
      <c r="S15" s="429"/>
      <c r="T15" s="551"/>
      <c r="U15" s="477"/>
      <c r="V15" s="477"/>
      <c r="W15" s="477"/>
      <c r="X15" s="477"/>
      <c r="Y15" s="477"/>
      <c r="Z15" s="477"/>
      <c r="AA15" s="477"/>
      <c r="AB15" s="477"/>
      <c r="AC15" s="47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</row>
    <row r="16" spans="1:44" s="417" customFormat="1">
      <c r="A16" s="531" t="s">
        <v>1127</v>
      </c>
      <c r="B16" s="428"/>
      <c r="C16" s="429"/>
      <c r="D16" s="429"/>
      <c r="E16" s="543"/>
      <c r="F16" s="543"/>
      <c r="G16" s="543"/>
      <c r="H16" s="543"/>
      <c r="I16" s="543"/>
      <c r="J16" s="543"/>
      <c r="K16" s="543"/>
      <c r="L16" s="543"/>
      <c r="M16" s="543"/>
      <c r="N16" s="543"/>
      <c r="O16" s="543"/>
      <c r="P16" s="543"/>
      <c r="Q16" s="543"/>
      <c r="R16" s="543"/>
      <c r="S16" s="429"/>
      <c r="T16" s="551"/>
      <c r="U16" s="477"/>
      <c r="V16" s="477"/>
      <c r="W16" s="477"/>
      <c r="X16" s="477"/>
      <c r="Y16" s="477"/>
      <c r="Z16" s="477"/>
      <c r="AA16" s="477"/>
      <c r="AB16" s="477"/>
      <c r="AC16" s="47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</row>
    <row r="17" spans="1:44" s="417" customFormat="1">
      <c r="A17" s="531" t="s">
        <v>1127</v>
      </c>
      <c r="B17" s="428"/>
      <c r="C17" s="429"/>
      <c r="D17" s="429"/>
      <c r="E17" s="543"/>
      <c r="F17" s="543"/>
      <c r="G17" s="543"/>
      <c r="H17" s="543"/>
      <c r="I17" s="543"/>
      <c r="J17" s="543"/>
      <c r="K17" s="543"/>
      <c r="L17" s="543"/>
      <c r="M17" s="543"/>
      <c r="N17" s="543"/>
      <c r="O17" s="543"/>
      <c r="P17" s="543"/>
      <c r="Q17" s="543"/>
      <c r="R17" s="543"/>
      <c r="S17" s="429"/>
      <c r="T17" s="551"/>
      <c r="U17" s="477"/>
      <c r="V17" s="477"/>
      <c r="W17" s="477"/>
      <c r="X17" s="477"/>
      <c r="Y17" s="477"/>
      <c r="Z17" s="477"/>
      <c r="AA17" s="477"/>
      <c r="AB17" s="477"/>
      <c r="AC17" s="47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</row>
    <row r="18" spans="1:44" s="417" customFormat="1">
      <c r="A18" s="531" t="s">
        <v>1127</v>
      </c>
      <c r="B18" s="428"/>
      <c r="C18" s="429"/>
      <c r="D18" s="429"/>
      <c r="E18" s="543"/>
      <c r="F18" s="543"/>
      <c r="G18" s="543"/>
      <c r="H18" s="543"/>
      <c r="I18" s="543"/>
      <c r="J18" s="543"/>
      <c r="K18" s="543"/>
      <c r="L18" s="543"/>
      <c r="M18" s="543"/>
      <c r="N18" s="543"/>
      <c r="O18" s="543"/>
      <c r="P18" s="543"/>
      <c r="Q18" s="543"/>
      <c r="R18" s="543"/>
      <c r="S18" s="429"/>
      <c r="T18" s="551"/>
      <c r="U18" s="477"/>
      <c r="V18" s="477"/>
      <c r="W18" s="477"/>
      <c r="X18" s="477"/>
      <c r="Y18" s="477"/>
      <c r="Z18" s="477"/>
      <c r="AA18" s="477"/>
      <c r="AB18" s="477"/>
      <c r="AC18" s="47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</row>
    <row r="19" spans="1:44" s="417" customFormat="1">
      <c r="A19" s="531" t="s">
        <v>1127</v>
      </c>
      <c r="B19" s="428"/>
      <c r="C19" s="429"/>
      <c r="D19" s="429"/>
      <c r="E19" s="543"/>
      <c r="F19" s="543"/>
      <c r="G19" s="543"/>
      <c r="H19" s="543"/>
      <c r="I19" s="543"/>
      <c r="J19" s="543"/>
      <c r="K19" s="543"/>
      <c r="L19" s="543"/>
      <c r="M19" s="543"/>
      <c r="N19" s="543"/>
      <c r="O19" s="543"/>
      <c r="P19" s="543"/>
      <c r="Q19" s="543"/>
      <c r="R19" s="543"/>
      <c r="S19" s="429"/>
      <c r="T19" s="551"/>
      <c r="U19" s="477"/>
      <c r="V19" s="477"/>
      <c r="W19" s="477"/>
      <c r="X19" s="477"/>
      <c r="Y19" s="477"/>
      <c r="Z19" s="477"/>
      <c r="AA19" s="477"/>
      <c r="AB19" s="477"/>
      <c r="AC19" s="47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</row>
    <row r="20" spans="1:44" s="417" customFormat="1">
      <c r="A20" s="531" t="s">
        <v>1127</v>
      </c>
      <c r="B20" s="428"/>
      <c r="C20" s="429"/>
      <c r="D20" s="429"/>
      <c r="E20" s="543"/>
      <c r="F20" s="543"/>
      <c r="G20" s="543"/>
      <c r="H20" s="543"/>
      <c r="I20" s="543"/>
      <c r="J20" s="543"/>
      <c r="K20" s="543"/>
      <c r="L20" s="543"/>
      <c r="M20" s="543"/>
      <c r="N20" s="543"/>
      <c r="O20" s="543"/>
      <c r="P20" s="543"/>
      <c r="Q20" s="543"/>
      <c r="R20" s="543"/>
      <c r="S20" s="429"/>
      <c r="T20" s="551"/>
      <c r="U20" s="477"/>
      <c r="V20" s="477"/>
      <c r="W20" s="477"/>
      <c r="X20" s="477"/>
      <c r="Y20" s="477"/>
      <c r="Z20" s="477"/>
      <c r="AA20" s="477"/>
      <c r="AB20" s="477"/>
      <c r="AC20" s="47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</row>
    <row r="21" spans="1:44" s="417" customFormat="1">
      <c r="A21" s="531" t="s">
        <v>1127</v>
      </c>
      <c r="B21" s="428"/>
      <c r="C21" s="429"/>
      <c r="D21" s="429"/>
      <c r="E21" s="543"/>
      <c r="F21" s="543"/>
      <c r="G21" s="543"/>
      <c r="H21" s="543"/>
      <c r="I21" s="543"/>
      <c r="J21" s="543"/>
      <c r="K21" s="543"/>
      <c r="L21" s="543"/>
      <c r="M21" s="543"/>
      <c r="N21" s="543"/>
      <c r="O21" s="543"/>
      <c r="P21" s="543"/>
      <c r="Q21" s="543"/>
      <c r="R21" s="543"/>
      <c r="S21" s="429"/>
      <c r="T21" s="551"/>
      <c r="U21" s="477"/>
      <c r="V21" s="477"/>
      <c r="W21" s="477"/>
      <c r="X21" s="477"/>
      <c r="Y21" s="477"/>
      <c r="Z21" s="477"/>
      <c r="AA21" s="477"/>
      <c r="AB21" s="477"/>
      <c r="AC21" s="47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</row>
    <row r="22" spans="1:44" s="417" customFormat="1">
      <c r="A22" s="531" t="s">
        <v>1127</v>
      </c>
      <c r="B22" s="428"/>
      <c r="C22" s="429"/>
      <c r="D22" s="429"/>
      <c r="E22" s="543"/>
      <c r="F22" s="543"/>
      <c r="G22" s="543"/>
      <c r="H22" s="543"/>
      <c r="I22" s="543"/>
      <c r="J22" s="543"/>
      <c r="K22" s="543"/>
      <c r="L22" s="543"/>
      <c r="M22" s="543"/>
      <c r="N22" s="543"/>
      <c r="O22" s="543"/>
      <c r="P22" s="543"/>
      <c r="Q22" s="543"/>
      <c r="R22" s="543"/>
      <c r="S22" s="429"/>
      <c r="T22" s="551"/>
      <c r="U22" s="477"/>
      <c r="V22" s="477"/>
      <c r="W22" s="477"/>
      <c r="X22" s="477"/>
      <c r="Y22" s="477"/>
      <c r="Z22" s="477"/>
      <c r="AA22" s="477"/>
      <c r="AB22" s="477"/>
      <c r="AC22" s="47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</row>
    <row r="23" spans="1:44" s="417" customFormat="1">
      <c r="A23" s="531" t="s">
        <v>1127</v>
      </c>
      <c r="B23" s="428"/>
      <c r="C23" s="429"/>
      <c r="D23" s="429"/>
      <c r="E23" s="543"/>
      <c r="F23" s="543"/>
      <c r="G23" s="543"/>
      <c r="H23" s="543"/>
      <c r="I23" s="543"/>
      <c r="J23" s="543"/>
      <c r="K23" s="543"/>
      <c r="L23" s="543"/>
      <c r="M23" s="543"/>
      <c r="N23" s="543"/>
      <c r="O23" s="543"/>
      <c r="P23" s="543"/>
      <c r="Q23" s="543"/>
      <c r="R23" s="543"/>
      <c r="S23" s="429"/>
      <c r="T23" s="551"/>
      <c r="U23" s="477"/>
      <c r="V23" s="477"/>
      <c r="W23" s="477"/>
      <c r="X23" s="477"/>
      <c r="Y23" s="477"/>
      <c r="Z23" s="477"/>
      <c r="AA23" s="477"/>
      <c r="AB23" s="477"/>
      <c r="AC23" s="47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</row>
    <row r="24" spans="1:44" ht="15" customHeight="1">
      <c r="A24" s="541" t="s">
        <v>152</v>
      </c>
      <c r="B24" s="439" t="s">
        <v>17</v>
      </c>
      <c r="C24" s="439" t="s">
        <v>1015</v>
      </c>
      <c r="D24" s="439" t="s">
        <v>936</v>
      </c>
      <c r="E24" s="543"/>
      <c r="F24" s="544"/>
      <c r="G24" s="544"/>
      <c r="H24" s="544"/>
      <c r="I24" s="544"/>
      <c r="J24" s="544"/>
      <c r="K24" s="544"/>
      <c r="L24" s="544"/>
      <c r="M24" s="544"/>
      <c r="N24" s="543"/>
      <c r="O24" s="543"/>
      <c r="P24" s="543"/>
      <c r="Q24" s="543"/>
      <c r="R24" s="543"/>
      <c r="S24" s="524"/>
      <c r="T24" s="524"/>
      <c r="U24" s="427"/>
      <c r="V24" s="427"/>
      <c r="W24" s="427"/>
      <c r="X24" s="477"/>
      <c r="Y24" s="477"/>
      <c r="Z24" s="477"/>
      <c r="AA24" s="477"/>
      <c r="AB24" s="477"/>
      <c r="AC24" s="47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</row>
    <row r="25" spans="1:44">
      <c r="A25" s="552" t="s">
        <v>937</v>
      </c>
      <c r="B25" s="439" t="s">
        <v>805</v>
      </c>
      <c r="C25" s="439" t="s">
        <v>938</v>
      </c>
      <c r="D25" s="427"/>
      <c r="E25" s="543"/>
      <c r="F25" s="553">
        <f t="shared" ref="E25:Q25" si="1">SUM(F6:F24)</f>
        <v>582024.75</v>
      </c>
      <c r="G25" s="553">
        <f t="shared" si="1"/>
        <v>582024.75</v>
      </c>
      <c r="H25" s="553">
        <f t="shared" si="1"/>
        <v>582024.75</v>
      </c>
      <c r="I25" s="553">
        <f t="shared" si="1"/>
        <v>582024.75</v>
      </c>
      <c r="J25" s="553">
        <f t="shared" si="1"/>
        <v>649327.59250000003</v>
      </c>
      <c r="K25" s="553">
        <f t="shared" si="1"/>
        <v>649327.59250000003</v>
      </c>
      <c r="L25" s="553">
        <f t="shared" si="1"/>
        <v>649327.59250000003</v>
      </c>
      <c r="M25" s="553">
        <f t="shared" si="1"/>
        <v>649327.59250000003</v>
      </c>
      <c r="N25" s="543">
        <f t="shared" si="1"/>
        <v>4125229.6811000002</v>
      </c>
      <c r="O25" s="543">
        <f t="shared" si="1"/>
        <v>4755486.5715330001</v>
      </c>
      <c r="P25" s="543">
        <f t="shared" si="1"/>
        <v>6515991.4486789899</v>
      </c>
      <c r="Q25" s="543">
        <f t="shared" si="1"/>
        <v>6624171.1921393601</v>
      </c>
      <c r="R25" s="543"/>
      <c r="S25" s="554"/>
      <c r="T25" s="524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</row>
    <row r="26" spans="1:44" ht="15" customHeight="1" thickBot="1">
      <c r="A26" s="427"/>
      <c r="B26" s="427"/>
      <c r="C26" s="427"/>
      <c r="D26" s="427"/>
      <c r="E26" s="543"/>
      <c r="F26" s="543"/>
      <c r="G26" s="543"/>
      <c r="H26" s="543"/>
      <c r="I26" s="543"/>
      <c r="J26" s="543"/>
      <c r="K26" s="543"/>
      <c r="L26" s="543"/>
      <c r="M26" s="543"/>
      <c r="N26" s="543"/>
      <c r="O26" s="543"/>
      <c r="P26" s="543"/>
      <c r="Q26" s="543"/>
      <c r="R26" s="543"/>
      <c r="S26" s="554"/>
      <c r="T26" s="524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</row>
    <row r="27" spans="1:44">
      <c r="A27" s="541" t="s">
        <v>939</v>
      </c>
      <c r="B27" s="439" t="s">
        <v>17</v>
      </c>
      <c r="C27" s="439" t="s">
        <v>940</v>
      </c>
      <c r="D27" s="427"/>
      <c r="E27" s="543"/>
      <c r="F27" s="544">
        <f>-F9</f>
        <v>-70827.75</v>
      </c>
      <c r="G27" s="544">
        <f>-G9</f>
        <v>-70827.75</v>
      </c>
      <c r="H27" s="544">
        <f>-H9</f>
        <v>-70827.75</v>
      </c>
      <c r="I27" s="544">
        <f>-I9-111350</f>
        <v>-182177.75</v>
      </c>
      <c r="J27" s="544">
        <f>-J25</f>
        <v>-649327.59250000003</v>
      </c>
      <c r="K27" s="544">
        <f>-K7-K9</f>
        <v>-254275.84250000003</v>
      </c>
      <c r="L27" s="544">
        <f>-L7-L9</f>
        <v>-254275.84250000003</v>
      </c>
      <c r="M27" s="544">
        <f>-M7-M9-M14</f>
        <v>-254275.84250000003</v>
      </c>
      <c r="N27" s="543">
        <f>-N7-N9-N14</f>
        <v>-2047616.4711</v>
      </c>
      <c r="O27" s="543">
        <f>-O7-O9</f>
        <v>-1079044.965233</v>
      </c>
      <c r="P27" s="543">
        <f>-P7-P9</f>
        <v>-1111416.3141899901</v>
      </c>
      <c r="Q27" s="543"/>
      <c r="R27" s="545" t="s">
        <v>907</v>
      </c>
      <c r="S27" s="524"/>
      <c r="T27" s="524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</row>
    <row r="28" spans="1:44" ht="15" customHeight="1" thickBot="1">
      <c r="A28" s="541" t="s">
        <v>941</v>
      </c>
      <c r="B28" s="439" t="s">
        <v>17</v>
      </c>
      <c r="C28" s="439" t="s">
        <v>942</v>
      </c>
      <c r="D28" s="427"/>
      <c r="E28" s="429"/>
      <c r="F28" s="555"/>
      <c r="G28" s="555"/>
      <c r="H28" s="555"/>
      <c r="I28" s="556"/>
      <c r="J28" s="556">
        <v>50000</v>
      </c>
      <c r="K28" s="556">
        <v>246869.75</v>
      </c>
      <c r="L28" s="556">
        <v>246869.75</v>
      </c>
      <c r="M28" s="556">
        <v>1246869.75</v>
      </c>
      <c r="N28" s="477">
        <f>SUM(J7:M7)+SUM(J9:M9)</f>
        <v>1017103.3700000001</v>
      </c>
      <c r="O28" s="477">
        <f>+N7+N9</f>
        <v>1047616.4711</v>
      </c>
      <c r="P28" s="486">
        <f>+O7+O9+N14</f>
        <v>2079044.965233</v>
      </c>
      <c r="Q28" s="486">
        <f>-P29</f>
        <v>110519.81418999005</v>
      </c>
      <c r="R28" s="427"/>
      <c r="S28" s="524"/>
      <c r="T28" s="524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</row>
    <row r="29" spans="1:44" s="5" customFormat="1">
      <c r="A29" s="541" t="s">
        <v>943</v>
      </c>
      <c r="B29" s="527" t="s">
        <v>805</v>
      </c>
      <c r="C29" s="525" t="s">
        <v>944</v>
      </c>
      <c r="D29" s="429"/>
      <c r="E29" s="543"/>
      <c r="F29" s="553">
        <f t="shared" ref="F29:Q29" si="2">+F27+E29+F28</f>
        <v>-70827.75</v>
      </c>
      <c r="G29" s="553">
        <f t="shared" si="2"/>
        <v>-141655.5</v>
      </c>
      <c r="H29" s="553">
        <f t="shared" si="2"/>
        <v>-212483.25</v>
      </c>
      <c r="I29" s="553">
        <f t="shared" si="2"/>
        <v>-394661</v>
      </c>
      <c r="J29" s="553">
        <f t="shared" si="2"/>
        <v>-993988.59250000003</v>
      </c>
      <c r="K29" s="553">
        <f t="shared" si="2"/>
        <v>-1001394.6850000001</v>
      </c>
      <c r="L29" s="553">
        <f t="shared" si="2"/>
        <v>-1008800.7775000001</v>
      </c>
      <c r="M29" s="553">
        <f t="shared" si="2"/>
        <v>-16206.870000000112</v>
      </c>
      <c r="N29" s="543">
        <f t="shared" si="2"/>
        <v>-1046719.9711</v>
      </c>
      <c r="O29" s="543">
        <f t="shared" si="2"/>
        <v>-1078148.4652329998</v>
      </c>
      <c r="P29" s="543">
        <f t="shared" si="2"/>
        <v>-110519.81418999005</v>
      </c>
      <c r="Q29" s="543">
        <f t="shared" si="2"/>
        <v>0</v>
      </c>
      <c r="R29" s="427"/>
      <c r="S29" s="524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</row>
    <row r="30" spans="1:44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</row>
    <row r="31" spans="1:44">
      <c r="A31" s="541" t="s">
        <v>945</v>
      </c>
      <c r="B31" s="439" t="s">
        <v>805</v>
      </c>
      <c r="C31" s="439" t="s">
        <v>946</v>
      </c>
      <c r="D31" s="427"/>
      <c r="E31" s="557"/>
      <c r="F31" s="558">
        <f t="shared" ref="E31:Q31" si="3">+F25+F27</f>
        <v>511197</v>
      </c>
      <c r="G31" s="558">
        <f t="shared" si="3"/>
        <v>511197</v>
      </c>
      <c r="H31" s="558">
        <f t="shared" si="3"/>
        <v>511197</v>
      </c>
      <c r="I31" s="558">
        <f t="shared" si="3"/>
        <v>399847</v>
      </c>
      <c r="J31" s="558">
        <f t="shared" si="3"/>
        <v>0</v>
      </c>
      <c r="K31" s="558">
        <f t="shared" si="3"/>
        <v>395051.75</v>
      </c>
      <c r="L31" s="558">
        <f t="shared" si="3"/>
        <v>395051.75</v>
      </c>
      <c r="M31" s="558">
        <f t="shared" si="3"/>
        <v>395051.75</v>
      </c>
      <c r="N31" s="486">
        <f t="shared" si="3"/>
        <v>2077613.2100000002</v>
      </c>
      <c r="O31" s="486">
        <f t="shared" si="3"/>
        <v>3676441.6063000001</v>
      </c>
      <c r="P31" s="486">
        <f t="shared" si="3"/>
        <v>5404575.1344889998</v>
      </c>
      <c r="Q31" s="486">
        <f t="shared" si="3"/>
        <v>6624171.1921393601</v>
      </c>
      <c r="R31" s="427"/>
      <c r="S31" s="524"/>
      <c r="T31" s="524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</row>
    <row r="32" spans="1:44">
      <c r="A32" s="541" t="s">
        <v>947</v>
      </c>
      <c r="B32" s="439" t="s">
        <v>805</v>
      </c>
      <c r="C32" s="439" t="s">
        <v>948</v>
      </c>
      <c r="D32" s="427"/>
      <c r="E32" s="557"/>
      <c r="F32" s="558">
        <f t="shared" ref="E32:Q32" si="4">+F28+F31</f>
        <v>511197</v>
      </c>
      <c r="G32" s="558">
        <f t="shared" si="4"/>
        <v>511197</v>
      </c>
      <c r="H32" s="558">
        <f t="shared" si="4"/>
        <v>511197</v>
      </c>
      <c r="I32" s="558">
        <f t="shared" si="4"/>
        <v>399847</v>
      </c>
      <c r="J32" s="558">
        <f t="shared" si="4"/>
        <v>50000</v>
      </c>
      <c r="K32" s="558">
        <f t="shared" si="4"/>
        <v>641921.5</v>
      </c>
      <c r="L32" s="558">
        <f t="shared" si="4"/>
        <v>641921.5</v>
      </c>
      <c r="M32" s="558">
        <f t="shared" si="4"/>
        <v>1641921.5</v>
      </c>
      <c r="N32" s="486">
        <f t="shared" si="4"/>
        <v>3094716.58</v>
      </c>
      <c r="O32" s="486">
        <f t="shared" si="4"/>
        <v>4724058.0773999998</v>
      </c>
      <c r="P32" s="486">
        <f t="shared" si="4"/>
        <v>7483620.0997219998</v>
      </c>
      <c r="Q32" s="486">
        <f t="shared" si="4"/>
        <v>6734691.0063293502</v>
      </c>
      <c r="R32" s="427"/>
      <c r="S32" s="524"/>
      <c r="T32" s="524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</row>
    <row r="33" spans="1:44">
      <c r="A33" s="427"/>
      <c r="B33" s="427"/>
      <c r="C33" s="427"/>
      <c r="D33" s="427"/>
      <c r="E33" s="543"/>
      <c r="F33" s="543"/>
      <c r="G33" s="543"/>
      <c r="H33" s="543"/>
      <c r="I33" s="543"/>
      <c r="J33" s="543"/>
      <c r="K33" s="543"/>
      <c r="L33" s="543"/>
      <c r="M33" s="543"/>
      <c r="N33" s="543"/>
      <c r="O33" s="543"/>
      <c r="P33" s="543"/>
      <c r="Q33" s="543"/>
      <c r="R33" s="543"/>
      <c r="S33" s="559"/>
      <c r="T33" s="524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</row>
    <row r="34" spans="1:44" ht="15" customHeight="1" thickBot="1">
      <c r="A34" s="541" t="s">
        <v>949</v>
      </c>
      <c r="B34" s="427"/>
      <c r="C34" s="439" t="s">
        <v>950</v>
      </c>
      <c r="D34" s="427"/>
      <c r="E34" s="543"/>
      <c r="F34" s="543"/>
      <c r="G34" s="543"/>
      <c r="H34" s="427"/>
      <c r="I34" s="427"/>
      <c r="J34" s="543"/>
      <c r="K34" s="560"/>
      <c r="L34" s="560"/>
      <c r="M34" s="560"/>
      <c r="N34" s="560"/>
      <c r="O34" s="560"/>
      <c r="P34" s="560"/>
      <c r="Q34" s="560"/>
      <c r="R34" s="543"/>
      <c r="S34" s="559"/>
      <c r="T34" s="524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</row>
    <row r="35" spans="1:44">
      <c r="A35" s="541" t="s">
        <v>205</v>
      </c>
      <c r="B35" s="439" t="s">
        <v>17</v>
      </c>
      <c r="C35" s="439" t="s">
        <v>1022</v>
      </c>
      <c r="D35" s="439" t="s">
        <v>906</v>
      </c>
      <c r="E35" s="547"/>
      <c r="F35" s="544">
        <f>191000/4</f>
        <v>47750</v>
      </c>
      <c r="G35" s="544">
        <f>191000/4</f>
        <v>47750</v>
      </c>
      <c r="H35" s="544">
        <f>191000/4</f>
        <v>47750</v>
      </c>
      <c r="I35" s="544">
        <f>191000/4</f>
        <v>47750</v>
      </c>
      <c r="J35" s="544">
        <v>0</v>
      </c>
      <c r="K35" s="544">
        <v>0</v>
      </c>
      <c r="L35" s="544">
        <v>0</v>
      </c>
      <c r="M35" s="544">
        <v>0</v>
      </c>
      <c r="N35" s="543">
        <v>0</v>
      </c>
      <c r="O35" s="543">
        <v>0</v>
      </c>
      <c r="P35" s="543">
        <v>0</v>
      </c>
      <c r="Q35" s="543">
        <v>0</v>
      </c>
      <c r="R35" s="545" t="s">
        <v>907</v>
      </c>
      <c r="S35" s="559"/>
      <c r="T35" s="524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</row>
    <row r="36" spans="1:44">
      <c r="A36" s="541" t="s">
        <v>140</v>
      </c>
      <c r="B36" s="439" t="s">
        <v>17</v>
      </c>
      <c r="C36" s="439" t="s">
        <v>1022</v>
      </c>
      <c r="D36" s="439" t="s">
        <v>913</v>
      </c>
      <c r="E36" s="547"/>
      <c r="F36" s="544">
        <f>169000/4</f>
        <v>42250</v>
      </c>
      <c r="G36" s="544">
        <f>169000/4</f>
        <v>42250</v>
      </c>
      <c r="H36" s="544">
        <f>169000/4</f>
        <v>42250</v>
      </c>
      <c r="I36" s="544">
        <f>169000/4</f>
        <v>42250</v>
      </c>
      <c r="J36" s="544">
        <v>0</v>
      </c>
      <c r="K36" s="544">
        <v>0</v>
      </c>
      <c r="L36" s="544">
        <v>0</v>
      </c>
      <c r="M36" s="544">
        <v>0</v>
      </c>
      <c r="N36" s="543">
        <v>0</v>
      </c>
      <c r="O36" s="543">
        <v>0</v>
      </c>
      <c r="P36" s="543">
        <v>0</v>
      </c>
      <c r="Q36" s="543">
        <v>0</v>
      </c>
      <c r="R36" s="543"/>
      <c r="S36" s="524"/>
      <c r="T36" s="524"/>
      <c r="U36" s="427"/>
      <c r="V36" s="427"/>
      <c r="W36" s="427"/>
      <c r="X36" s="427"/>
      <c r="Y36" s="427"/>
      <c r="Z36" s="427"/>
      <c r="AA36" s="427"/>
      <c r="AB36" s="427"/>
      <c r="AC36" s="427"/>
      <c r="AD36" s="561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</row>
    <row r="37" spans="1:44">
      <c r="A37" s="541" t="s">
        <v>11</v>
      </c>
      <c r="B37" s="439" t="s">
        <v>17</v>
      </c>
      <c r="C37" s="439" t="s">
        <v>1022</v>
      </c>
      <c r="D37" s="439" t="s">
        <v>916</v>
      </c>
      <c r="E37" s="547"/>
      <c r="F37" s="544">
        <v>0</v>
      </c>
      <c r="G37" s="544">
        <v>0</v>
      </c>
      <c r="H37" s="544">
        <v>0</v>
      </c>
      <c r="I37" s="544">
        <v>0</v>
      </c>
      <c r="J37" s="544">
        <v>0</v>
      </c>
      <c r="K37" s="544">
        <v>0</v>
      </c>
      <c r="L37" s="544">
        <v>0</v>
      </c>
      <c r="M37" s="544">
        <v>0</v>
      </c>
      <c r="N37" s="543">
        <v>0</v>
      </c>
      <c r="O37" s="543">
        <v>0</v>
      </c>
      <c r="P37" s="543">
        <v>0</v>
      </c>
      <c r="Q37" s="543">
        <v>0</v>
      </c>
      <c r="R37" s="543"/>
      <c r="S37" s="559"/>
      <c r="T37" s="524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</row>
    <row r="38" spans="1:44">
      <c r="A38" s="541" t="s">
        <v>146</v>
      </c>
      <c r="B38" s="439" t="s">
        <v>17</v>
      </c>
      <c r="C38" s="439" t="s">
        <v>1022</v>
      </c>
      <c r="D38" s="439" t="s">
        <v>479</v>
      </c>
      <c r="E38" s="547"/>
      <c r="F38" s="544">
        <v>0</v>
      </c>
      <c r="G38" s="544">
        <v>0</v>
      </c>
      <c r="H38" s="544">
        <v>0</v>
      </c>
      <c r="I38" s="544">
        <v>0</v>
      </c>
      <c r="J38" s="544">
        <v>0</v>
      </c>
      <c r="K38" s="544">
        <v>0</v>
      </c>
      <c r="L38" s="544">
        <v>0</v>
      </c>
      <c r="M38" s="544">
        <v>0</v>
      </c>
      <c r="N38" s="543">
        <v>0</v>
      </c>
      <c r="O38" s="543">
        <v>0</v>
      </c>
      <c r="P38" s="543">
        <v>0</v>
      </c>
      <c r="Q38" s="543">
        <v>0</v>
      </c>
      <c r="R38" s="543"/>
      <c r="S38" s="559"/>
      <c r="T38" s="524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</row>
    <row r="39" spans="1:44" s="417" customFormat="1">
      <c r="A39" s="531" t="s">
        <v>1127</v>
      </c>
      <c r="B39" s="428"/>
      <c r="C39" s="429"/>
      <c r="D39" s="429"/>
      <c r="E39" s="543"/>
      <c r="F39" s="543"/>
      <c r="G39" s="543"/>
      <c r="H39" s="543"/>
      <c r="I39" s="543"/>
      <c r="J39" s="543"/>
      <c r="K39" s="543"/>
      <c r="L39" s="543"/>
      <c r="M39" s="543"/>
      <c r="N39" s="543"/>
      <c r="O39" s="543"/>
      <c r="P39" s="543"/>
      <c r="Q39" s="543"/>
      <c r="R39" s="543"/>
      <c r="S39" s="559"/>
      <c r="T39" s="524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</row>
    <row r="40" spans="1:44" s="417" customFormat="1">
      <c r="A40" s="531" t="s">
        <v>1127</v>
      </c>
      <c r="B40" s="428"/>
      <c r="C40" s="429"/>
      <c r="D40" s="429"/>
      <c r="E40" s="543"/>
      <c r="F40" s="543"/>
      <c r="G40" s="543"/>
      <c r="H40" s="543"/>
      <c r="I40" s="543"/>
      <c r="J40" s="543"/>
      <c r="K40" s="543"/>
      <c r="L40" s="543"/>
      <c r="M40" s="543"/>
      <c r="N40" s="543"/>
      <c r="O40" s="543"/>
      <c r="P40" s="543"/>
      <c r="Q40" s="543"/>
      <c r="R40" s="543"/>
      <c r="S40" s="559"/>
      <c r="T40" s="524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</row>
    <row r="41" spans="1:44" s="417" customFormat="1">
      <c r="A41" s="531" t="s">
        <v>1127</v>
      </c>
      <c r="B41" s="428"/>
      <c r="C41" s="429"/>
      <c r="D41" s="429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59"/>
      <c r="T41" s="524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</row>
    <row r="42" spans="1:44" s="417" customFormat="1">
      <c r="A42" s="531" t="s">
        <v>1127</v>
      </c>
      <c r="B42" s="428"/>
      <c r="C42" s="429"/>
      <c r="D42" s="429"/>
      <c r="E42" s="543"/>
      <c r="F42" s="543"/>
      <c r="G42" s="543"/>
      <c r="H42" s="543"/>
      <c r="I42" s="543"/>
      <c r="J42" s="543"/>
      <c r="K42" s="543"/>
      <c r="L42" s="543"/>
      <c r="M42" s="543"/>
      <c r="N42" s="543"/>
      <c r="O42" s="543"/>
      <c r="P42" s="543"/>
      <c r="Q42" s="543"/>
      <c r="R42" s="543"/>
      <c r="S42" s="559"/>
      <c r="T42" s="524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</row>
    <row r="43" spans="1:44" s="417" customFormat="1">
      <c r="A43" s="531" t="s">
        <v>1127</v>
      </c>
      <c r="B43" s="428"/>
      <c r="C43" s="429"/>
      <c r="D43" s="429"/>
      <c r="E43" s="543"/>
      <c r="F43" s="543"/>
      <c r="G43" s="543"/>
      <c r="H43" s="543"/>
      <c r="I43" s="543"/>
      <c r="J43" s="543"/>
      <c r="K43" s="543"/>
      <c r="L43" s="543"/>
      <c r="M43" s="543"/>
      <c r="N43" s="543"/>
      <c r="O43" s="543"/>
      <c r="P43" s="543"/>
      <c r="Q43" s="543"/>
      <c r="R43" s="543"/>
      <c r="S43" s="559"/>
      <c r="T43" s="524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</row>
    <row r="44" spans="1:44" s="417" customFormat="1">
      <c r="A44" s="531" t="s">
        <v>1127</v>
      </c>
      <c r="B44" s="428"/>
      <c r="C44" s="429"/>
      <c r="D44" s="429"/>
      <c r="E44" s="543"/>
      <c r="F44" s="543"/>
      <c r="G44" s="543"/>
      <c r="H44" s="543"/>
      <c r="I44" s="543"/>
      <c r="J44" s="543"/>
      <c r="K44" s="543"/>
      <c r="L44" s="543"/>
      <c r="M44" s="543"/>
      <c r="N44" s="543"/>
      <c r="O44" s="543"/>
      <c r="P44" s="543"/>
      <c r="Q44" s="543"/>
      <c r="R44" s="543"/>
      <c r="S44" s="559"/>
      <c r="T44" s="524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</row>
    <row r="45" spans="1:44" ht="15" customHeight="1">
      <c r="A45" s="541" t="s">
        <v>14</v>
      </c>
      <c r="B45" s="439" t="s">
        <v>17</v>
      </c>
      <c r="C45" s="439" t="s">
        <v>1022</v>
      </c>
      <c r="D45" s="439" t="s">
        <v>928</v>
      </c>
      <c r="E45" s="547"/>
      <c r="F45" s="544">
        <v>0</v>
      </c>
      <c r="G45" s="544">
        <v>0</v>
      </c>
      <c r="H45" s="544">
        <v>0</v>
      </c>
      <c r="I45" s="544">
        <v>0</v>
      </c>
      <c r="J45" s="544">
        <v>0</v>
      </c>
      <c r="K45" s="544">
        <v>0</v>
      </c>
      <c r="L45" s="544">
        <v>0</v>
      </c>
      <c r="M45" s="544">
        <v>0</v>
      </c>
      <c r="N45" s="543">
        <v>0</v>
      </c>
      <c r="O45" s="543">
        <v>0</v>
      </c>
      <c r="P45" s="543">
        <v>0</v>
      </c>
      <c r="Q45" s="543">
        <v>0</v>
      </c>
      <c r="R45" s="543"/>
      <c r="S45" s="524"/>
      <c r="T45" s="524"/>
      <c r="U45" s="427"/>
      <c r="V45" s="427"/>
      <c r="W45" s="543"/>
      <c r="X45" s="543"/>
      <c r="Y45" s="543"/>
      <c r="Z45" s="543"/>
      <c r="AA45" s="543"/>
      <c r="AB45" s="543"/>
      <c r="AC45" s="543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</row>
    <row r="46" spans="1:44">
      <c r="A46" s="552" t="s">
        <v>962</v>
      </c>
      <c r="B46" s="439" t="s">
        <v>805</v>
      </c>
      <c r="C46" s="439" t="s">
        <v>963</v>
      </c>
      <c r="D46" s="427"/>
      <c r="E46" s="543"/>
      <c r="F46" s="553">
        <f t="shared" ref="E46:Q46" si="5">SUM(F35:F45)</f>
        <v>90000</v>
      </c>
      <c r="G46" s="553">
        <f t="shared" si="5"/>
        <v>90000</v>
      </c>
      <c r="H46" s="553">
        <f t="shared" si="5"/>
        <v>90000</v>
      </c>
      <c r="I46" s="553">
        <f t="shared" si="5"/>
        <v>90000</v>
      </c>
      <c r="J46" s="553">
        <f t="shared" si="5"/>
        <v>0</v>
      </c>
      <c r="K46" s="553">
        <f t="shared" si="5"/>
        <v>0</v>
      </c>
      <c r="L46" s="553">
        <f t="shared" si="5"/>
        <v>0</v>
      </c>
      <c r="M46" s="553">
        <f t="shared" si="5"/>
        <v>0</v>
      </c>
      <c r="N46" s="543">
        <f t="shared" si="5"/>
        <v>0</v>
      </c>
      <c r="O46" s="543">
        <f t="shared" si="5"/>
        <v>0</v>
      </c>
      <c r="P46" s="543">
        <f t="shared" si="5"/>
        <v>0</v>
      </c>
      <c r="Q46" s="543">
        <f t="shared" si="5"/>
        <v>0</v>
      </c>
      <c r="R46" s="543"/>
      <c r="S46" s="554"/>
      <c r="T46" s="524"/>
      <c r="U46" s="427"/>
      <c r="V46" s="427"/>
      <c r="W46" s="543"/>
      <c r="X46" s="543"/>
      <c r="Y46" s="543"/>
      <c r="Z46" s="543"/>
      <c r="AA46" s="543"/>
      <c r="AB46" s="543"/>
      <c r="AC46" s="543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</row>
    <row r="47" spans="1:44" ht="15" customHeight="1" thickBot="1">
      <c r="A47" s="427"/>
      <c r="B47" s="427"/>
      <c r="C47" s="427"/>
      <c r="D47" s="427"/>
      <c r="E47" s="543"/>
      <c r="F47" s="543"/>
      <c r="G47" s="543"/>
      <c r="H47" s="543"/>
      <c r="I47" s="543"/>
      <c r="J47" s="543"/>
      <c r="K47" s="543"/>
      <c r="L47" s="543"/>
      <c r="M47" s="543"/>
      <c r="N47" s="543"/>
      <c r="O47" s="543"/>
      <c r="P47" s="543"/>
      <c r="Q47" s="543"/>
      <c r="R47" s="543"/>
      <c r="S47" s="524"/>
      <c r="T47" s="524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</row>
    <row r="48" spans="1:44">
      <c r="A48" s="541" t="s">
        <v>939</v>
      </c>
      <c r="B48" s="439" t="s">
        <v>17</v>
      </c>
      <c r="C48" s="439" t="s">
        <v>964</v>
      </c>
      <c r="D48" s="427"/>
      <c r="E48" s="543"/>
      <c r="F48" s="544">
        <v>-42250</v>
      </c>
      <c r="G48" s="544">
        <v>-42250</v>
      </c>
      <c r="H48" s="544">
        <v>-42250</v>
      </c>
      <c r="I48" s="544">
        <v>-42250</v>
      </c>
      <c r="J48" s="544">
        <v>0</v>
      </c>
      <c r="K48" s="544">
        <f t="shared" ref="K48:Q48" si="6">-SUM(K35:K45)</f>
        <v>0</v>
      </c>
      <c r="L48" s="544">
        <f t="shared" si="6"/>
        <v>0</v>
      </c>
      <c r="M48" s="544">
        <f t="shared" si="6"/>
        <v>0</v>
      </c>
      <c r="N48" s="543">
        <f t="shared" si="6"/>
        <v>0</v>
      </c>
      <c r="O48" s="543">
        <f t="shared" si="6"/>
        <v>0</v>
      </c>
      <c r="P48" s="543">
        <f t="shared" si="6"/>
        <v>0</v>
      </c>
      <c r="Q48" s="543">
        <f t="shared" si="6"/>
        <v>0</v>
      </c>
      <c r="R48" s="545" t="s">
        <v>907</v>
      </c>
      <c r="S48" s="524"/>
      <c r="T48" s="524"/>
      <c r="U48" s="427"/>
      <c r="V48" s="427"/>
      <c r="W48" s="543"/>
      <c r="X48" s="543"/>
      <c r="Y48" s="543"/>
      <c r="Z48" s="543"/>
      <c r="AA48" s="543"/>
      <c r="AB48" s="543"/>
      <c r="AC48" s="543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</row>
    <row r="49" spans="1:44" ht="15" customHeight="1" thickBot="1">
      <c r="A49" s="541" t="s">
        <v>1023</v>
      </c>
      <c r="B49" s="439" t="s">
        <v>17</v>
      </c>
      <c r="C49" s="439" t="s">
        <v>966</v>
      </c>
      <c r="D49" s="427"/>
      <c r="E49" s="429"/>
      <c r="F49" s="555"/>
      <c r="G49" s="555"/>
      <c r="H49" s="555"/>
      <c r="I49" s="556"/>
      <c r="J49" s="556"/>
      <c r="K49" s="556"/>
      <c r="L49" s="556"/>
      <c r="M49" s="556">
        <v>169000</v>
      </c>
      <c r="N49" s="477">
        <v>0</v>
      </c>
      <c r="O49" s="477">
        <v>0</v>
      </c>
      <c r="P49" s="486">
        <v>0</v>
      </c>
      <c r="Q49" s="486">
        <v>0</v>
      </c>
      <c r="R49" s="543"/>
      <c r="S49" s="524"/>
      <c r="T49" s="524"/>
      <c r="U49" s="477"/>
      <c r="V49" s="477"/>
      <c r="W49" s="477"/>
      <c r="X49" s="477"/>
      <c r="Y49" s="477"/>
      <c r="Z49" s="477"/>
      <c r="AA49" s="477"/>
      <c r="AB49" s="477"/>
      <c r="AC49" s="47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</row>
    <row r="50" spans="1:44">
      <c r="A50" s="541" t="s">
        <v>967</v>
      </c>
      <c r="B50" s="439" t="s">
        <v>805</v>
      </c>
      <c r="C50" s="439" t="s">
        <v>968</v>
      </c>
      <c r="D50" s="427"/>
      <c r="E50" s="543"/>
      <c r="F50" s="553">
        <f t="shared" ref="F50:Q50" si="7">+F48+E50+F49</f>
        <v>-42250</v>
      </c>
      <c r="G50" s="553">
        <f t="shared" si="7"/>
        <v>-84500</v>
      </c>
      <c r="H50" s="553">
        <f t="shared" si="7"/>
        <v>-126750</v>
      </c>
      <c r="I50" s="553">
        <f t="shared" si="7"/>
        <v>-169000</v>
      </c>
      <c r="J50" s="553">
        <f t="shared" si="7"/>
        <v>-169000</v>
      </c>
      <c r="K50" s="553">
        <f t="shared" si="7"/>
        <v>-169000</v>
      </c>
      <c r="L50" s="553">
        <f t="shared" si="7"/>
        <v>-169000</v>
      </c>
      <c r="M50" s="553">
        <f t="shared" si="7"/>
        <v>0</v>
      </c>
      <c r="N50" s="543">
        <f t="shared" si="7"/>
        <v>0</v>
      </c>
      <c r="O50" s="543">
        <f t="shared" si="7"/>
        <v>0</v>
      </c>
      <c r="P50" s="543">
        <f t="shared" si="7"/>
        <v>0</v>
      </c>
      <c r="Q50" s="543">
        <f t="shared" si="7"/>
        <v>0</v>
      </c>
      <c r="R50" s="543"/>
      <c r="S50" s="524"/>
      <c r="T50" s="524"/>
      <c r="U50" s="427"/>
      <c r="V50" s="471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</row>
    <row r="51" spans="1:44">
      <c r="A51" s="531"/>
      <c r="B51" s="427"/>
      <c r="C51" s="427"/>
      <c r="D51" s="427"/>
      <c r="E51" s="543"/>
      <c r="F51" s="543"/>
      <c r="G51" s="543"/>
      <c r="H51" s="543"/>
      <c r="I51" s="543"/>
      <c r="J51" s="543"/>
      <c r="K51" s="543"/>
      <c r="L51" s="543"/>
      <c r="M51" s="543"/>
      <c r="N51" s="543"/>
      <c r="O51" s="543"/>
      <c r="P51" s="543"/>
      <c r="Q51" s="543"/>
      <c r="R51" s="543"/>
      <c r="S51" s="524"/>
      <c r="T51" s="524"/>
      <c r="U51" s="427"/>
      <c r="V51" s="471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</row>
    <row r="52" spans="1:44">
      <c r="A52" s="541" t="s">
        <v>969</v>
      </c>
      <c r="B52" s="439" t="s">
        <v>805</v>
      </c>
      <c r="C52" s="439" t="s">
        <v>970</v>
      </c>
      <c r="D52" s="427"/>
      <c r="E52" s="429"/>
      <c r="F52" s="562">
        <f t="shared" ref="E52:Q52" si="8">+F46+F48</f>
        <v>47750</v>
      </c>
      <c r="G52" s="558">
        <f t="shared" si="8"/>
        <v>47750</v>
      </c>
      <c r="H52" s="558">
        <f t="shared" si="8"/>
        <v>47750</v>
      </c>
      <c r="I52" s="558">
        <f t="shared" si="8"/>
        <v>47750</v>
      </c>
      <c r="J52" s="558">
        <f t="shared" si="8"/>
        <v>0</v>
      </c>
      <c r="K52" s="558">
        <f t="shared" si="8"/>
        <v>0</v>
      </c>
      <c r="L52" s="558">
        <f t="shared" si="8"/>
        <v>0</v>
      </c>
      <c r="M52" s="558">
        <f t="shared" si="8"/>
        <v>0</v>
      </c>
      <c r="N52" s="477">
        <f t="shared" si="8"/>
        <v>0</v>
      </c>
      <c r="O52" s="477">
        <f t="shared" si="8"/>
        <v>0</v>
      </c>
      <c r="P52" s="486">
        <f t="shared" si="8"/>
        <v>0</v>
      </c>
      <c r="Q52" s="486">
        <f t="shared" si="8"/>
        <v>0</v>
      </c>
      <c r="R52" s="543"/>
      <c r="S52" s="524"/>
      <c r="T52" s="524"/>
      <c r="U52" s="477"/>
      <c r="V52" s="477"/>
      <c r="W52" s="477"/>
      <c r="X52" s="477"/>
      <c r="Y52" s="477"/>
      <c r="Z52" s="477"/>
      <c r="AA52" s="477"/>
      <c r="AB52" s="477"/>
      <c r="AC52" s="47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</row>
    <row r="53" spans="1:44">
      <c r="A53" s="541" t="s">
        <v>971</v>
      </c>
      <c r="B53" s="439" t="s">
        <v>805</v>
      </c>
      <c r="C53" s="439" t="s">
        <v>972</v>
      </c>
      <c r="D53" s="427"/>
      <c r="E53" s="557"/>
      <c r="F53" s="558">
        <f t="shared" ref="E53:Q53" si="9">+F49+F52</f>
        <v>47750</v>
      </c>
      <c r="G53" s="558">
        <f t="shared" si="9"/>
        <v>47750</v>
      </c>
      <c r="H53" s="558">
        <f t="shared" si="9"/>
        <v>47750</v>
      </c>
      <c r="I53" s="558">
        <f t="shared" si="9"/>
        <v>47750</v>
      </c>
      <c r="J53" s="558">
        <f t="shared" si="9"/>
        <v>0</v>
      </c>
      <c r="K53" s="558">
        <f t="shared" si="9"/>
        <v>0</v>
      </c>
      <c r="L53" s="558">
        <f t="shared" si="9"/>
        <v>0</v>
      </c>
      <c r="M53" s="558">
        <f t="shared" si="9"/>
        <v>169000</v>
      </c>
      <c r="N53" s="486">
        <f t="shared" si="9"/>
        <v>0</v>
      </c>
      <c r="O53" s="486">
        <f t="shared" si="9"/>
        <v>0</v>
      </c>
      <c r="P53" s="486">
        <f t="shared" si="9"/>
        <v>0</v>
      </c>
      <c r="Q53" s="486">
        <f t="shared" si="9"/>
        <v>0</v>
      </c>
      <c r="R53" s="543"/>
      <c r="S53" s="524"/>
      <c r="T53" s="524"/>
      <c r="U53" s="477"/>
      <c r="V53" s="477"/>
      <c r="W53" s="477"/>
      <c r="X53" s="477"/>
      <c r="Y53" s="477"/>
      <c r="Z53" s="477"/>
      <c r="AA53" s="477"/>
      <c r="AB53" s="477"/>
      <c r="AC53" s="47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</row>
    <row r="54" spans="1:44">
      <c r="A54" s="427"/>
      <c r="B54" s="427"/>
      <c r="C54" s="427"/>
      <c r="D54" s="427"/>
      <c r="E54" s="543"/>
      <c r="F54" s="543"/>
      <c r="G54" s="543"/>
      <c r="H54" s="543"/>
      <c r="I54" s="543"/>
      <c r="J54" s="543"/>
      <c r="K54" s="543"/>
      <c r="L54" s="543"/>
      <c r="M54" s="543"/>
      <c r="N54" s="543"/>
      <c r="O54" s="543"/>
      <c r="P54" s="543"/>
      <c r="Q54" s="543"/>
      <c r="R54" s="427"/>
      <c r="S54" s="524"/>
      <c r="T54" s="524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</row>
    <row r="55" spans="1:44">
      <c r="A55" s="541" t="s">
        <v>973</v>
      </c>
      <c r="B55" s="427"/>
      <c r="C55" s="439" t="s">
        <v>974</v>
      </c>
      <c r="D55" s="427"/>
      <c r="E55" s="543"/>
      <c r="F55" s="543"/>
      <c r="G55" s="543"/>
      <c r="H55" s="543"/>
      <c r="I55" s="543"/>
      <c r="J55" s="543"/>
      <c r="K55" s="543"/>
      <c r="L55" s="543"/>
      <c r="M55" s="543"/>
      <c r="N55" s="543"/>
      <c r="O55" s="543"/>
      <c r="P55" s="543"/>
      <c r="Q55" s="543"/>
      <c r="R55" s="427"/>
      <c r="S55" s="524"/>
      <c r="T55" s="524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</row>
    <row r="56" spans="1:44">
      <c r="A56" s="541" t="s">
        <v>975</v>
      </c>
      <c r="B56" s="439" t="s">
        <v>805</v>
      </c>
      <c r="C56" s="439" t="s">
        <v>976</v>
      </c>
      <c r="D56" s="427"/>
      <c r="E56" s="563"/>
      <c r="F56" s="564">
        <f>1/(1-'c12_inputs'!$E$7)</f>
        <v>1.0526315789473684</v>
      </c>
      <c r="G56" s="564">
        <f>1/(1-'c12_inputs'!$E$7)</f>
        <v>1.0526315789473684</v>
      </c>
      <c r="H56" s="564">
        <f>1/(1-'c12_inputs'!$E$7)</f>
        <v>1.0526315789473684</v>
      </c>
      <c r="I56" s="564">
        <f>1/(1-'c12_inputs'!$E$7)</f>
        <v>1.0526315789473684</v>
      </c>
      <c r="J56" s="564">
        <f>1/(1-'c12_inputs'!$E$7)</f>
        <v>1.0526315789473684</v>
      </c>
      <c r="K56" s="564">
        <f>1/(1-'c12_inputs'!$E$7)</f>
        <v>1.0526315789473684</v>
      </c>
      <c r="L56" s="564">
        <f>1/(1-'c12_inputs'!$E$7)</f>
        <v>1.0526315789473684</v>
      </c>
      <c r="M56" s="564">
        <f>1/(1-'c12_inputs'!$E$7)</f>
        <v>1.0526315789473684</v>
      </c>
      <c r="N56" s="563">
        <f>1/(1-'c12_inputs'!$E$7)</f>
        <v>1.0526315789473684</v>
      </c>
      <c r="O56" s="563">
        <f>1/(1-'c12_inputs'!$E$7)</f>
        <v>1.0526315789473684</v>
      </c>
      <c r="P56" s="563">
        <f>1/(1-'c12_inputs'!$E$7)</f>
        <v>1.0526315789473684</v>
      </c>
      <c r="Q56" s="563">
        <f>1/(1-'c12_inputs'!$E$7)</f>
        <v>1.0526315789473684</v>
      </c>
      <c r="R56" s="543"/>
      <c r="S56" s="524"/>
      <c r="T56" s="524"/>
      <c r="U56" s="427"/>
      <c r="V56" s="427"/>
      <c r="W56" s="427"/>
      <c r="X56" s="477"/>
      <c r="Y56" s="477"/>
      <c r="Z56" s="477"/>
      <c r="AA56" s="477"/>
      <c r="AB56" s="477"/>
      <c r="AC56" s="47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</row>
    <row r="57" spans="1:44">
      <c r="A57" s="541" t="s">
        <v>977</v>
      </c>
      <c r="B57" s="439" t="s">
        <v>805</v>
      </c>
      <c r="C57" s="439" t="s">
        <v>978</v>
      </c>
      <c r="D57" s="427"/>
      <c r="E57" s="486"/>
      <c r="F57" s="565">
        <f t="shared" ref="E57:Q57" si="10">F78</f>
        <v>154080</v>
      </c>
      <c r="G57" s="565">
        <f t="shared" si="10"/>
        <v>154080</v>
      </c>
      <c r="H57" s="565">
        <f t="shared" si="10"/>
        <v>154080</v>
      </c>
      <c r="I57" s="565">
        <f t="shared" si="10"/>
        <v>367075</v>
      </c>
      <c r="J57" s="565">
        <f t="shared" si="10"/>
        <v>247680</v>
      </c>
      <c r="K57" s="565">
        <f t="shared" si="10"/>
        <v>247680</v>
      </c>
      <c r="L57" s="565">
        <f t="shared" si="10"/>
        <v>290880</v>
      </c>
      <c r="M57" s="565">
        <f t="shared" si="10"/>
        <v>545435</v>
      </c>
      <c r="N57" s="486">
        <f t="shared" si="10"/>
        <v>1423270</v>
      </c>
      <c r="O57" s="486">
        <f t="shared" si="10"/>
        <v>1423270</v>
      </c>
      <c r="P57" s="486">
        <f t="shared" si="10"/>
        <v>1423270</v>
      </c>
      <c r="Q57" s="486">
        <f t="shared" si="10"/>
        <v>1423270</v>
      </c>
      <c r="R57" s="543"/>
      <c r="S57" s="524"/>
      <c r="T57" s="524"/>
      <c r="U57" s="427"/>
      <c r="V57" s="427"/>
      <c r="W57" s="427"/>
      <c r="X57" s="477"/>
      <c r="Y57" s="477"/>
      <c r="Z57" s="477"/>
      <c r="AA57" s="477"/>
      <c r="AB57" s="477"/>
      <c r="AC57" s="47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</row>
    <row r="58" spans="1:44">
      <c r="A58" s="552" t="s">
        <v>1024</v>
      </c>
      <c r="B58" s="439" t="s">
        <v>805</v>
      </c>
      <c r="C58" s="439" t="s">
        <v>980</v>
      </c>
      <c r="D58" s="427"/>
      <c r="E58" s="543"/>
      <c r="F58" s="553">
        <f t="shared" ref="E58:Q58" si="11">F57*F56</f>
        <v>162189.4736842105</v>
      </c>
      <c r="G58" s="553">
        <f t="shared" si="11"/>
        <v>162189.4736842105</v>
      </c>
      <c r="H58" s="553">
        <f t="shared" si="11"/>
        <v>162189.4736842105</v>
      </c>
      <c r="I58" s="553">
        <f t="shared" si="11"/>
        <v>386394.73684210522</v>
      </c>
      <c r="J58" s="553">
        <f t="shared" si="11"/>
        <v>260715.78947368418</v>
      </c>
      <c r="K58" s="553">
        <f t="shared" si="11"/>
        <v>260715.78947368418</v>
      </c>
      <c r="L58" s="553">
        <f t="shared" si="11"/>
        <v>306189.4736842105</v>
      </c>
      <c r="M58" s="553">
        <f t="shared" si="11"/>
        <v>574142.10526315786</v>
      </c>
      <c r="N58" s="543">
        <f t="shared" si="11"/>
        <v>1498178.9473684209</v>
      </c>
      <c r="O58" s="543">
        <f t="shared" si="11"/>
        <v>1498178.9473684209</v>
      </c>
      <c r="P58" s="543">
        <f t="shared" si="11"/>
        <v>1498178.9473684209</v>
      </c>
      <c r="Q58" s="543">
        <f t="shared" si="11"/>
        <v>1498178.9473684209</v>
      </c>
      <c r="R58" s="543"/>
      <c r="S58" s="524"/>
      <c r="T58" s="524"/>
      <c r="U58" s="427"/>
      <c r="V58" s="427"/>
      <c r="W58" s="427"/>
      <c r="X58" s="477"/>
      <c r="Y58" s="477"/>
      <c r="Z58" s="477"/>
      <c r="AA58" s="477"/>
      <c r="AB58" s="477"/>
      <c r="AC58" s="47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</row>
    <row r="59" spans="1:44">
      <c r="A59" s="427"/>
      <c r="B59" s="427"/>
      <c r="C59" s="427"/>
      <c r="D59" s="427"/>
      <c r="E59" s="543"/>
      <c r="F59" s="543"/>
      <c r="G59" s="543"/>
      <c r="H59" s="543"/>
      <c r="I59" s="543"/>
      <c r="J59" s="543"/>
      <c r="K59" s="543"/>
      <c r="L59" s="543"/>
      <c r="M59" s="543"/>
      <c r="N59" s="543"/>
      <c r="O59" s="543"/>
      <c r="P59" s="543"/>
      <c r="Q59" s="543"/>
      <c r="R59" s="543"/>
      <c r="S59" s="524"/>
      <c r="T59" s="524"/>
      <c r="U59" s="477"/>
      <c r="V59" s="477"/>
      <c r="W59" s="477"/>
      <c r="X59" s="477"/>
      <c r="Y59" s="477"/>
      <c r="Z59" s="477"/>
      <c r="AA59" s="477"/>
      <c r="AB59" s="477"/>
      <c r="AC59" s="47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</row>
    <row r="60" spans="1:44" s="418" customFormat="1">
      <c r="A60" s="552" t="s">
        <v>1025</v>
      </c>
      <c r="B60" s="527" t="s">
        <v>805</v>
      </c>
      <c r="C60" s="439" t="s">
        <v>1026</v>
      </c>
      <c r="D60" s="429"/>
      <c r="E60" s="566"/>
      <c r="F60" s="567">
        <f t="shared" ref="E60:Q60" si="12">+F53+F32+F58</f>
        <v>721136.47368421056</v>
      </c>
      <c r="G60" s="567">
        <f t="shared" si="12"/>
        <v>721136.47368421056</v>
      </c>
      <c r="H60" s="567">
        <f t="shared" si="12"/>
        <v>721136.47368421056</v>
      </c>
      <c r="I60" s="567">
        <f t="shared" si="12"/>
        <v>833991.73684210517</v>
      </c>
      <c r="J60" s="567">
        <f t="shared" si="12"/>
        <v>310715.78947368416</v>
      </c>
      <c r="K60" s="567">
        <f t="shared" si="12"/>
        <v>902637.28947368416</v>
      </c>
      <c r="L60" s="567">
        <f t="shared" si="12"/>
        <v>948110.97368421056</v>
      </c>
      <c r="M60" s="567">
        <f t="shared" si="12"/>
        <v>2385063.6052631577</v>
      </c>
      <c r="N60" s="566">
        <f t="shared" si="12"/>
        <v>4592895.5273684207</v>
      </c>
      <c r="O60" s="566">
        <f t="shared" si="12"/>
        <v>6222237.0247684205</v>
      </c>
      <c r="P60" s="566">
        <f t="shared" si="12"/>
        <v>8981799.0470904205</v>
      </c>
      <c r="Q60" s="566">
        <f t="shared" si="12"/>
        <v>8232869.9536977708</v>
      </c>
      <c r="R60" s="427"/>
      <c r="S60" s="524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</row>
    <row r="61" spans="1:44" s="41" customFormat="1">
      <c r="A61" s="568"/>
      <c r="B61" s="428"/>
      <c r="C61" s="429"/>
      <c r="D61" s="429"/>
      <c r="E61" s="543"/>
      <c r="F61" s="543"/>
      <c r="G61" s="543"/>
      <c r="H61" s="543"/>
      <c r="I61" s="543"/>
      <c r="J61" s="543"/>
      <c r="K61" s="543"/>
      <c r="L61" s="543"/>
      <c r="M61" s="543"/>
      <c r="N61" s="543"/>
      <c r="O61" s="543"/>
      <c r="P61" s="543"/>
      <c r="Q61" s="543"/>
      <c r="R61" s="427"/>
      <c r="S61" s="524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</row>
    <row r="62" spans="1:44">
      <c r="A62" s="552" t="s">
        <v>983</v>
      </c>
      <c r="B62" s="439" t="s">
        <v>805</v>
      </c>
      <c r="C62" s="439" t="s">
        <v>984</v>
      </c>
      <c r="D62" s="427"/>
      <c r="E62" s="543"/>
      <c r="F62" s="553">
        <f t="shared" ref="E62:Q62" si="13">+F29+F50</f>
        <v>-113077.75</v>
      </c>
      <c r="G62" s="553">
        <f t="shared" si="13"/>
        <v>-226155.5</v>
      </c>
      <c r="H62" s="553">
        <f t="shared" si="13"/>
        <v>-339233.25</v>
      </c>
      <c r="I62" s="553">
        <f t="shared" si="13"/>
        <v>-563661</v>
      </c>
      <c r="J62" s="553">
        <f t="shared" si="13"/>
        <v>-1162988.5925</v>
      </c>
      <c r="K62" s="553">
        <f t="shared" si="13"/>
        <v>-1170394.6850000001</v>
      </c>
      <c r="L62" s="553">
        <f t="shared" si="13"/>
        <v>-1177800.7775000001</v>
      </c>
      <c r="M62" s="553">
        <f t="shared" si="13"/>
        <v>-16206.870000000112</v>
      </c>
      <c r="N62" s="543">
        <f t="shared" si="13"/>
        <v>-1046719.9711</v>
      </c>
      <c r="O62" s="543">
        <f t="shared" si="13"/>
        <v>-1078148.4652329998</v>
      </c>
      <c r="P62" s="543">
        <f t="shared" si="13"/>
        <v>-110519.81418999005</v>
      </c>
      <c r="Q62" s="543">
        <f t="shared" si="13"/>
        <v>0</v>
      </c>
      <c r="R62" s="543"/>
      <c r="S62" s="524"/>
      <c r="T62" s="524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</row>
    <row r="63" spans="1:44" ht="15" customHeight="1" thickBot="1">
      <c r="A63" s="427"/>
      <c r="B63" s="427"/>
      <c r="C63" s="427"/>
      <c r="D63" s="427"/>
      <c r="E63" s="543"/>
      <c r="F63" s="543"/>
      <c r="G63" s="543"/>
      <c r="H63" s="543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24"/>
      <c r="T63" s="524"/>
      <c r="U63" s="427"/>
      <c r="V63" s="427"/>
      <c r="W63" s="427"/>
      <c r="X63" s="477"/>
      <c r="Y63" s="477"/>
      <c r="Z63" s="477"/>
      <c r="AA63" s="477"/>
      <c r="AB63" s="477"/>
      <c r="AC63" s="47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</row>
    <row r="64" spans="1:44" ht="15" customHeight="1">
      <c r="A64" s="541" t="s">
        <v>985</v>
      </c>
      <c r="B64" s="439" t="s">
        <v>805</v>
      </c>
      <c r="C64" s="439" t="s">
        <v>986</v>
      </c>
      <c r="D64" s="427"/>
      <c r="E64" s="443"/>
      <c r="F64" s="569">
        <f>'c12_inputs'!$E$8</f>
        <v>0.35</v>
      </c>
      <c r="G64" s="569">
        <f>'c12_inputs'!$E$8</f>
        <v>0.35</v>
      </c>
      <c r="H64" s="569">
        <f>'c12_inputs'!$E$8</f>
        <v>0.35</v>
      </c>
      <c r="I64" s="569">
        <f>'c12_inputs'!$E$8</f>
        <v>0.35</v>
      </c>
      <c r="J64" s="569">
        <f>'c12_inputs'!$E$8</f>
        <v>0.35</v>
      </c>
      <c r="K64" s="569">
        <f>'c12_inputs'!$E$8</f>
        <v>0.35</v>
      </c>
      <c r="L64" s="569">
        <f>'c12_inputs'!$E$8</f>
        <v>0.35</v>
      </c>
      <c r="M64" s="569">
        <f>'c12_inputs'!$E$8</f>
        <v>0.35</v>
      </c>
      <c r="N64" s="443">
        <f>'c12_inputs'!$E$8</f>
        <v>0.35</v>
      </c>
      <c r="O64" s="443">
        <f>'c12_inputs'!$E$8</f>
        <v>0.35</v>
      </c>
      <c r="P64" s="443">
        <f>'c12_inputs'!$E$8</f>
        <v>0.35</v>
      </c>
      <c r="Q64" s="443">
        <f>'c12_inputs'!$E$8</f>
        <v>0.35</v>
      </c>
      <c r="R64" s="543"/>
      <c r="S64" s="524"/>
      <c r="T64" s="524"/>
      <c r="U64" s="427"/>
      <c r="V64" s="427"/>
      <c r="W64" s="427"/>
      <c r="X64" s="477"/>
      <c r="Y64" s="477"/>
      <c r="Z64" s="477"/>
      <c r="AA64" s="477"/>
      <c r="AB64" s="477"/>
      <c r="AC64" s="47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</row>
    <row r="65" spans="1:44" s="417" customFormat="1" ht="15" customHeight="1">
      <c r="A65" s="541" t="s">
        <v>987</v>
      </c>
      <c r="B65" s="527" t="s">
        <v>17</v>
      </c>
      <c r="C65" s="525" t="s">
        <v>988</v>
      </c>
      <c r="D65" s="429"/>
      <c r="E65" s="570"/>
      <c r="F65" s="571">
        <v>0.65</v>
      </c>
      <c r="G65" s="571">
        <v>0.65</v>
      </c>
      <c r="H65" s="571">
        <v>0.65</v>
      </c>
      <c r="I65" s="571">
        <v>0.65</v>
      </c>
      <c r="J65" s="571">
        <v>0</v>
      </c>
      <c r="K65" s="571">
        <v>0</v>
      </c>
      <c r="L65" s="571">
        <v>0</v>
      </c>
      <c r="M65" s="571">
        <v>0</v>
      </c>
      <c r="N65" s="443">
        <v>0</v>
      </c>
      <c r="O65" s="443">
        <v>0</v>
      </c>
      <c r="P65" s="443">
        <v>0</v>
      </c>
      <c r="Q65" s="443">
        <v>0</v>
      </c>
      <c r="R65" s="543"/>
      <c r="S65" s="524"/>
      <c r="T65" s="524"/>
      <c r="U65" s="427"/>
      <c r="V65" s="427"/>
      <c r="W65" s="427"/>
      <c r="X65" s="477"/>
      <c r="Y65" s="477"/>
      <c r="Z65" s="477"/>
      <c r="AA65" s="477"/>
      <c r="AB65" s="477"/>
      <c r="AC65" s="47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</row>
    <row r="66" spans="1:44" s="417" customFormat="1" ht="15" customHeight="1">
      <c r="A66" s="541" t="s">
        <v>989</v>
      </c>
      <c r="B66" s="527" t="s">
        <v>17</v>
      </c>
      <c r="C66" s="525" t="s">
        <v>990</v>
      </c>
      <c r="D66" s="429"/>
      <c r="E66" s="570"/>
      <c r="F66" s="571">
        <v>0.65</v>
      </c>
      <c r="G66" s="571">
        <v>0.65</v>
      </c>
      <c r="H66" s="571">
        <v>0.65</v>
      </c>
      <c r="I66" s="571">
        <v>0.65</v>
      </c>
      <c r="J66" s="571">
        <v>0.65</v>
      </c>
      <c r="K66" s="571">
        <v>0.65</v>
      </c>
      <c r="L66" s="571">
        <v>0.65</v>
      </c>
      <c r="M66" s="571">
        <v>0</v>
      </c>
      <c r="N66" s="443">
        <v>0</v>
      </c>
      <c r="O66" s="443">
        <v>0</v>
      </c>
      <c r="P66" s="443">
        <v>0</v>
      </c>
      <c r="Q66" s="443">
        <v>0</v>
      </c>
      <c r="R66" s="543"/>
      <c r="S66" s="524"/>
      <c r="T66" s="524"/>
      <c r="U66" s="427"/>
      <c r="V66" s="427"/>
      <c r="W66" s="427"/>
      <c r="X66" s="477"/>
      <c r="Y66" s="477"/>
      <c r="Z66" s="477"/>
      <c r="AA66" s="477"/>
      <c r="AB66" s="477"/>
      <c r="AC66" s="47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</row>
    <row r="67" spans="1:44" s="30" customFormat="1">
      <c r="A67" s="541" t="s">
        <v>991</v>
      </c>
      <c r="B67" s="527" t="s">
        <v>805</v>
      </c>
      <c r="C67" s="525" t="s">
        <v>797</v>
      </c>
      <c r="D67" s="429"/>
      <c r="E67" s="572"/>
      <c r="F67" s="573">
        <f>'c12_inputs'!$E$7</f>
        <v>0.05</v>
      </c>
      <c r="G67" s="573">
        <f>'c12_inputs'!$E$7</f>
        <v>0.05</v>
      </c>
      <c r="H67" s="573">
        <f>'c12_inputs'!$E$7</f>
        <v>0.05</v>
      </c>
      <c r="I67" s="573">
        <f>'c12_inputs'!$E$7</f>
        <v>0.05</v>
      </c>
      <c r="J67" s="573">
        <f>'c12_inputs'!$E$7</f>
        <v>0.05</v>
      </c>
      <c r="K67" s="573">
        <f>'c12_inputs'!$E$7</f>
        <v>0.05</v>
      </c>
      <c r="L67" s="573">
        <f>'c12_inputs'!$E$7</f>
        <v>0.05</v>
      </c>
      <c r="M67" s="573">
        <f>'c12_inputs'!$E$7</f>
        <v>0.05</v>
      </c>
      <c r="N67" s="572">
        <f>'c12_inputs'!$E$7</f>
        <v>0.05</v>
      </c>
      <c r="O67" s="572">
        <f>'c12_inputs'!$E$7</f>
        <v>0.05</v>
      </c>
      <c r="P67" s="572">
        <f>'c12_inputs'!$E$7</f>
        <v>0.05</v>
      </c>
      <c r="Q67" s="572">
        <f>'c12_inputs'!$E$7</f>
        <v>0.05</v>
      </c>
      <c r="R67" s="427"/>
      <c r="S67" s="427"/>
      <c r="T67" s="427"/>
      <c r="U67" s="427"/>
      <c r="V67" s="427"/>
      <c r="W67" s="427"/>
      <c r="X67" s="427"/>
      <c r="Y67" s="427"/>
      <c r="Z67" s="486"/>
      <c r="AA67" s="486"/>
      <c r="AB67" s="486"/>
      <c r="AC67" s="486"/>
      <c r="AD67" s="486"/>
      <c r="AE67" s="486"/>
      <c r="AF67" s="486"/>
      <c r="AG67" s="427"/>
      <c r="AH67" s="486"/>
      <c r="AI67" s="486"/>
      <c r="AJ67" s="486"/>
      <c r="AK67" s="486"/>
      <c r="AL67" s="486"/>
      <c r="AM67" s="486"/>
      <c r="AN67" s="486"/>
      <c r="AO67" s="427"/>
      <c r="AP67" s="427"/>
      <c r="AQ67" s="427"/>
      <c r="AR67" s="427"/>
    </row>
    <row r="68" spans="1:44">
      <c r="A68" s="541" t="s">
        <v>992</v>
      </c>
      <c r="B68" s="439" t="s">
        <v>805</v>
      </c>
      <c r="C68" s="439" t="s">
        <v>993</v>
      </c>
      <c r="D68" s="427"/>
      <c r="E68" s="543"/>
      <c r="F68" s="553">
        <f t="shared" ref="E68:Q68" si="14">(F64+F65)*(F31+F52)+(F64+F66)*(F49+F28)</f>
        <v>558947</v>
      </c>
      <c r="G68" s="553">
        <f t="shared" si="14"/>
        <v>558947</v>
      </c>
      <c r="H68" s="553">
        <f t="shared" si="14"/>
        <v>558947</v>
      </c>
      <c r="I68" s="553">
        <f t="shared" si="14"/>
        <v>447597</v>
      </c>
      <c r="J68" s="553">
        <f t="shared" si="14"/>
        <v>50000</v>
      </c>
      <c r="K68" s="553">
        <f t="shared" si="14"/>
        <v>385137.86249999999</v>
      </c>
      <c r="L68" s="553">
        <f t="shared" si="14"/>
        <v>385137.86249999999</v>
      </c>
      <c r="M68" s="553">
        <f t="shared" si="14"/>
        <v>633822.52499999991</v>
      </c>
      <c r="N68" s="543">
        <f t="shared" si="14"/>
        <v>1083150.8030000001</v>
      </c>
      <c r="O68" s="543">
        <f t="shared" si="14"/>
        <v>1653420.3270899998</v>
      </c>
      <c r="P68" s="543">
        <f t="shared" si="14"/>
        <v>2619267.0349026998</v>
      </c>
      <c r="Q68" s="543">
        <f t="shared" si="14"/>
        <v>2357141.8522152724</v>
      </c>
      <c r="R68" s="443"/>
      <c r="S68" s="524"/>
      <c r="T68" s="524"/>
      <c r="U68" s="427"/>
      <c r="V68" s="427"/>
      <c r="W68" s="427"/>
      <c r="X68" s="477"/>
      <c r="Y68" s="477"/>
      <c r="Z68" s="477"/>
      <c r="AA68" s="477"/>
      <c r="AB68" s="477"/>
      <c r="AC68" s="47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</row>
    <row r="69" spans="1:44">
      <c r="A69" s="541" t="s">
        <v>994</v>
      </c>
      <c r="B69" s="439" t="s">
        <v>805</v>
      </c>
      <c r="C69" s="439" t="s">
        <v>995</v>
      </c>
      <c r="D69" s="427"/>
      <c r="E69" s="543"/>
      <c r="F69" s="553">
        <f t="shared" ref="E69:Q69" si="15">F67*F58</f>
        <v>8109.4736842105258</v>
      </c>
      <c r="G69" s="553">
        <f t="shared" si="15"/>
        <v>8109.4736842105258</v>
      </c>
      <c r="H69" s="553">
        <f t="shared" si="15"/>
        <v>8109.4736842105258</v>
      </c>
      <c r="I69" s="553">
        <f t="shared" si="15"/>
        <v>19319.736842105263</v>
      </c>
      <c r="J69" s="553">
        <f t="shared" si="15"/>
        <v>13035.78947368421</v>
      </c>
      <c r="K69" s="553">
        <f t="shared" si="15"/>
        <v>13035.78947368421</v>
      </c>
      <c r="L69" s="553">
        <f t="shared" si="15"/>
        <v>15309.473684210527</v>
      </c>
      <c r="M69" s="553">
        <f t="shared" si="15"/>
        <v>28707.105263157893</v>
      </c>
      <c r="N69" s="543">
        <f t="shared" si="15"/>
        <v>74908.947368421053</v>
      </c>
      <c r="O69" s="543">
        <f t="shared" si="15"/>
        <v>74908.947368421053</v>
      </c>
      <c r="P69" s="543">
        <f t="shared" si="15"/>
        <v>74908.947368421053</v>
      </c>
      <c r="Q69" s="543">
        <f t="shared" si="15"/>
        <v>74908.947368421053</v>
      </c>
      <c r="R69" s="543"/>
      <c r="S69" s="524"/>
      <c r="T69" s="524"/>
      <c r="U69" s="427"/>
      <c r="V69" s="427"/>
      <c r="W69" s="427"/>
      <c r="X69" s="477"/>
      <c r="Y69" s="477"/>
      <c r="Z69" s="477"/>
      <c r="AA69" s="477"/>
      <c r="AB69" s="477"/>
      <c r="AC69" s="47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</row>
    <row r="70" spans="1:44" s="417" customFormat="1">
      <c r="A70" s="552" t="s">
        <v>1027</v>
      </c>
      <c r="B70" s="527" t="s">
        <v>805</v>
      </c>
      <c r="C70" s="525" t="s">
        <v>1028</v>
      </c>
      <c r="D70" s="429"/>
      <c r="E70" s="566"/>
      <c r="F70" s="567">
        <f t="shared" ref="E70:Q70" si="16">F69+F68</f>
        <v>567056.47368421056</v>
      </c>
      <c r="G70" s="567">
        <f t="shared" si="16"/>
        <v>567056.47368421056</v>
      </c>
      <c r="H70" s="567">
        <f t="shared" si="16"/>
        <v>567056.47368421056</v>
      </c>
      <c r="I70" s="567">
        <f t="shared" si="16"/>
        <v>466916.73684210528</v>
      </c>
      <c r="J70" s="567">
        <f t="shared" si="16"/>
        <v>63035.789473684214</v>
      </c>
      <c r="K70" s="567">
        <f t="shared" si="16"/>
        <v>398173.6519736842</v>
      </c>
      <c r="L70" s="567">
        <f t="shared" si="16"/>
        <v>400447.33618421049</v>
      </c>
      <c r="M70" s="567">
        <f t="shared" si="16"/>
        <v>662529.63026315777</v>
      </c>
      <c r="N70" s="566">
        <f t="shared" si="16"/>
        <v>1158059.7503684212</v>
      </c>
      <c r="O70" s="566">
        <f t="shared" si="16"/>
        <v>1728329.2744584209</v>
      </c>
      <c r="P70" s="566">
        <f t="shared" si="16"/>
        <v>2694175.9822711209</v>
      </c>
      <c r="Q70" s="566">
        <f t="shared" si="16"/>
        <v>2432050.7995836935</v>
      </c>
      <c r="R70" s="443"/>
      <c r="S70" s="524"/>
      <c r="T70" s="524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</row>
    <row r="71" spans="1:44">
      <c r="A71" s="531"/>
      <c r="B71" s="427"/>
      <c r="C71" s="427"/>
      <c r="D71" s="427"/>
      <c r="E71" s="543"/>
      <c r="F71" s="543"/>
      <c r="G71" s="543"/>
      <c r="H71" s="543"/>
      <c r="I71" s="543"/>
      <c r="J71" s="543"/>
      <c r="K71" s="543"/>
      <c r="L71" s="543"/>
      <c r="M71" s="543"/>
      <c r="N71" s="543"/>
      <c r="O71" s="543"/>
      <c r="P71" s="543"/>
      <c r="Q71" s="543"/>
      <c r="R71" s="543"/>
      <c r="S71" s="524"/>
      <c r="T71" s="524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</row>
    <row r="72" spans="1:44" s="30" customFormat="1">
      <c r="A72" s="541" t="s">
        <v>998</v>
      </c>
      <c r="B72" s="527" t="s">
        <v>805</v>
      </c>
      <c r="C72" s="525" t="s">
        <v>999</v>
      </c>
      <c r="D72" s="429"/>
      <c r="E72" s="543"/>
      <c r="F72" s="553">
        <f t="shared" ref="E72:Q72" si="17">-(F64+F65)*(F27+F48)</f>
        <v>113077.75</v>
      </c>
      <c r="G72" s="553">
        <f t="shared" si="17"/>
        <v>113077.75</v>
      </c>
      <c r="H72" s="553">
        <f t="shared" si="17"/>
        <v>113077.75</v>
      </c>
      <c r="I72" s="553">
        <f t="shared" si="17"/>
        <v>224427.75</v>
      </c>
      <c r="J72" s="553">
        <f t="shared" si="17"/>
        <v>227264.65737500001</v>
      </c>
      <c r="K72" s="553">
        <f t="shared" si="17"/>
        <v>88996.544875000007</v>
      </c>
      <c r="L72" s="553">
        <f t="shared" si="17"/>
        <v>88996.544875000007</v>
      </c>
      <c r="M72" s="553">
        <f t="shared" si="17"/>
        <v>88996.544875000007</v>
      </c>
      <c r="N72" s="543">
        <f t="shared" si="17"/>
        <v>716665.76488499995</v>
      </c>
      <c r="O72" s="543">
        <f t="shared" si="17"/>
        <v>377665.73783154995</v>
      </c>
      <c r="P72" s="543">
        <f t="shared" si="17"/>
        <v>388995.70996649651</v>
      </c>
      <c r="Q72" s="543">
        <f t="shared" si="17"/>
        <v>0</v>
      </c>
      <c r="R72" s="427"/>
      <c r="S72" s="427"/>
      <c r="T72" s="427"/>
      <c r="U72" s="427"/>
      <c r="V72" s="427"/>
      <c r="W72" s="427"/>
      <c r="X72" s="427"/>
      <c r="Y72" s="427"/>
      <c r="Z72" s="486"/>
      <c r="AA72" s="486"/>
      <c r="AB72" s="486"/>
      <c r="AC72" s="486"/>
      <c r="AD72" s="486"/>
      <c r="AE72" s="486"/>
      <c r="AF72" s="486"/>
      <c r="AG72" s="427"/>
      <c r="AH72" s="486"/>
      <c r="AI72" s="486"/>
      <c r="AJ72" s="486"/>
      <c r="AK72" s="486"/>
      <c r="AL72" s="486"/>
      <c r="AM72" s="486"/>
      <c r="AN72" s="486"/>
      <c r="AO72" s="427"/>
      <c r="AP72" s="427"/>
      <c r="AQ72" s="427"/>
      <c r="AR72" s="427"/>
    </row>
    <row r="73" spans="1:44" s="30" customFormat="1">
      <c r="A73" s="541" t="s">
        <v>1000</v>
      </c>
      <c r="B73" s="527" t="s">
        <v>805</v>
      </c>
      <c r="C73" s="525" t="s">
        <v>1001</v>
      </c>
      <c r="D73" s="429"/>
      <c r="E73" s="543"/>
      <c r="F73" s="553">
        <f t="shared" ref="E73:Q73" si="18">-(F64+F66)*(F28+F49)</f>
        <v>0</v>
      </c>
      <c r="G73" s="553">
        <f t="shared" si="18"/>
        <v>0</v>
      </c>
      <c r="H73" s="553">
        <f t="shared" si="18"/>
        <v>0</v>
      </c>
      <c r="I73" s="553">
        <f t="shared" si="18"/>
        <v>0</v>
      </c>
      <c r="J73" s="553">
        <f t="shared" si="18"/>
        <v>-50000</v>
      </c>
      <c r="K73" s="553">
        <f t="shared" si="18"/>
        <v>-246869.75</v>
      </c>
      <c r="L73" s="553">
        <f t="shared" si="18"/>
        <v>-246869.75</v>
      </c>
      <c r="M73" s="553">
        <f t="shared" si="18"/>
        <v>-495554.41249999998</v>
      </c>
      <c r="N73" s="543">
        <f t="shared" si="18"/>
        <v>-355986.17950000003</v>
      </c>
      <c r="O73" s="543">
        <f t="shared" si="18"/>
        <v>-366665.76488499995</v>
      </c>
      <c r="P73" s="543">
        <f t="shared" si="18"/>
        <v>-727665.73783154995</v>
      </c>
      <c r="Q73" s="543">
        <f t="shared" si="18"/>
        <v>-38681.934966496512</v>
      </c>
      <c r="R73" s="427"/>
      <c r="S73" s="427"/>
      <c r="T73" s="427"/>
      <c r="U73" s="427"/>
      <c r="V73" s="427"/>
      <c r="W73" s="427"/>
      <c r="X73" s="427"/>
      <c r="Y73" s="427"/>
      <c r="Z73" s="486"/>
      <c r="AA73" s="486"/>
      <c r="AB73" s="486"/>
      <c r="AC73" s="486"/>
      <c r="AD73" s="486"/>
      <c r="AE73" s="486"/>
      <c r="AF73" s="486"/>
      <c r="AG73" s="427"/>
      <c r="AH73" s="486"/>
      <c r="AI73" s="486"/>
      <c r="AJ73" s="486"/>
      <c r="AK73" s="486"/>
      <c r="AL73" s="486"/>
      <c r="AM73" s="486"/>
      <c r="AN73" s="486"/>
      <c r="AO73" s="427"/>
      <c r="AP73" s="427"/>
      <c r="AQ73" s="427"/>
      <c r="AR73" s="427"/>
    </row>
    <row r="74" spans="1:44">
      <c r="A74" s="541" t="s">
        <v>1002</v>
      </c>
      <c r="B74" s="439" t="s">
        <v>17</v>
      </c>
      <c r="C74" s="439" t="s">
        <v>1003</v>
      </c>
      <c r="D74" s="427"/>
      <c r="E74" s="547"/>
      <c r="F74" s="544">
        <f t="shared" ref="F74:Q74" si="19">SUM(F72:F73)+E74</f>
        <v>113077.75</v>
      </c>
      <c r="G74" s="544">
        <f t="shared" si="19"/>
        <v>226155.5</v>
      </c>
      <c r="H74" s="544">
        <f t="shared" si="19"/>
        <v>339233.25</v>
      </c>
      <c r="I74" s="544">
        <f t="shared" si="19"/>
        <v>563661</v>
      </c>
      <c r="J74" s="544">
        <f t="shared" si="19"/>
        <v>740925.65737499995</v>
      </c>
      <c r="K74" s="544">
        <f t="shared" si="19"/>
        <v>583052.45224999997</v>
      </c>
      <c r="L74" s="544">
        <f t="shared" si="19"/>
        <v>425179.24712499999</v>
      </c>
      <c r="M74" s="544">
        <f t="shared" si="19"/>
        <v>18621.379500000039</v>
      </c>
      <c r="N74" s="543">
        <f t="shared" si="19"/>
        <v>379300.96488499996</v>
      </c>
      <c r="O74" s="543">
        <f t="shared" si="19"/>
        <v>390300.93783154996</v>
      </c>
      <c r="P74" s="543">
        <f t="shared" si="19"/>
        <v>51630.909966496518</v>
      </c>
      <c r="Q74" s="543">
        <f t="shared" si="19"/>
        <v>12948.975000000006</v>
      </c>
      <c r="R74" s="545" t="s">
        <v>1029</v>
      </c>
      <c r="S74" s="524"/>
      <c r="T74" s="524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</row>
    <row r="75" spans="1:44">
      <c r="A75" s="427"/>
      <c r="B75" s="427"/>
      <c r="C75" s="427"/>
      <c r="D75" s="427"/>
      <c r="E75" s="543"/>
      <c r="F75" s="543"/>
      <c r="G75" s="543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524"/>
      <c r="T75" s="524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</row>
    <row r="76" spans="1:44" ht="20" customHeight="1">
      <c r="A76" s="541" t="s">
        <v>1004</v>
      </c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524"/>
      <c r="T76" s="524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</row>
    <row r="77" spans="1:44" s="30" customFormat="1" ht="14.65" customHeight="1">
      <c r="A77" s="541" t="s">
        <v>1005</v>
      </c>
      <c r="B77" s="527" t="s">
        <v>805</v>
      </c>
      <c r="C77" s="525" t="s">
        <v>1006</v>
      </c>
      <c r="D77" s="429"/>
      <c r="E77" s="486"/>
      <c r="F77" s="565">
        <f>'.c12_hm_hr'!F31</f>
        <v>298080</v>
      </c>
      <c r="G77" s="565">
        <f>'.c12_hm_hr'!G31</f>
        <v>298080</v>
      </c>
      <c r="H77" s="565">
        <f>'.c12_hm_hr'!H31</f>
        <v>298080</v>
      </c>
      <c r="I77" s="565">
        <f>'.c12_hm_hr'!I31</f>
        <v>770825</v>
      </c>
      <c r="J77" s="565">
        <f>'.c12_hm_hr'!J31</f>
        <v>391680</v>
      </c>
      <c r="K77" s="565">
        <f>'.c12_hm_hr'!K31</f>
        <v>391680</v>
      </c>
      <c r="L77" s="565">
        <f>'.c12_hm_hr'!L31</f>
        <v>434880</v>
      </c>
      <c r="M77" s="565">
        <f>'.c12_hm_hr'!M31</f>
        <v>949185</v>
      </c>
      <c r="N77" s="486">
        <f>'.c12_hm_hr'!N31</f>
        <v>2518770</v>
      </c>
      <c r="O77" s="486">
        <f>'.c12_hm_hr'!O31</f>
        <v>2518770</v>
      </c>
      <c r="P77" s="486">
        <f>'.c12_hm_hr'!P31</f>
        <v>2518770</v>
      </c>
      <c r="Q77" s="486">
        <f>'.c12_hm_hr'!Q31</f>
        <v>2518770</v>
      </c>
      <c r="R77" s="523"/>
      <c r="S77" s="524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</row>
    <row r="78" spans="1:44" s="30" customFormat="1">
      <c r="A78" s="541" t="s">
        <v>1007</v>
      </c>
      <c r="B78" s="527" t="s">
        <v>805</v>
      </c>
      <c r="C78" s="525" t="s">
        <v>1008</v>
      </c>
      <c r="D78" s="429"/>
      <c r="E78" s="486"/>
      <c r="F78" s="565">
        <f>'.c12_hm_hr'!F32</f>
        <v>154080</v>
      </c>
      <c r="G78" s="565">
        <f>'.c12_hm_hr'!G32</f>
        <v>154080</v>
      </c>
      <c r="H78" s="565">
        <f>'.c12_hm_hr'!H32</f>
        <v>154080</v>
      </c>
      <c r="I78" s="565">
        <f>'.c12_hm_hr'!I32</f>
        <v>367075</v>
      </c>
      <c r="J78" s="565">
        <f>'.c12_hm_hr'!J32</f>
        <v>247680</v>
      </c>
      <c r="K78" s="565">
        <f>'.c12_hm_hr'!K32</f>
        <v>247680</v>
      </c>
      <c r="L78" s="565">
        <f>'.c12_hm_hr'!L32</f>
        <v>290880</v>
      </c>
      <c r="M78" s="565">
        <f>'.c12_hm_hr'!M32</f>
        <v>545435</v>
      </c>
      <c r="N78" s="486">
        <f>'.c12_hm_hr'!N32</f>
        <v>1423270</v>
      </c>
      <c r="O78" s="486">
        <f>'.c12_hm_hr'!O32</f>
        <v>1423270</v>
      </c>
      <c r="P78" s="486">
        <f>'.c12_hm_hr'!P32</f>
        <v>1423270</v>
      </c>
      <c r="Q78" s="486">
        <f>'.c12_hm_hr'!Q32</f>
        <v>1423270</v>
      </c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71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</row>
    <row r="79" spans="1:44" s="30" customFormat="1">
      <c r="A79" s="541" t="s">
        <v>1009</v>
      </c>
      <c r="B79" s="527" t="s">
        <v>805</v>
      </c>
      <c r="C79" s="525" t="s">
        <v>1010</v>
      </c>
      <c r="D79" s="429"/>
      <c r="E79" s="486"/>
      <c r="F79" s="565">
        <f>'.c12_hm_hr'!F33</f>
        <v>144000</v>
      </c>
      <c r="G79" s="565">
        <f>'.c12_hm_hr'!G33</f>
        <v>144000</v>
      </c>
      <c r="H79" s="565">
        <f>'.c12_hm_hr'!H33</f>
        <v>144000</v>
      </c>
      <c r="I79" s="565">
        <f>'.c12_hm_hr'!I33</f>
        <v>403750</v>
      </c>
      <c r="J79" s="565">
        <f>'.c12_hm_hr'!J33</f>
        <v>144000</v>
      </c>
      <c r="K79" s="565">
        <f>'.c12_hm_hr'!K33</f>
        <v>144000</v>
      </c>
      <c r="L79" s="565">
        <f>'.c12_hm_hr'!L33</f>
        <v>144000</v>
      </c>
      <c r="M79" s="565">
        <f>'.c12_hm_hr'!M33</f>
        <v>403750</v>
      </c>
      <c r="N79" s="486">
        <f>'.c12_hm_hr'!N33</f>
        <v>1095500</v>
      </c>
      <c r="O79" s="486">
        <f>'.c12_hm_hr'!O33</f>
        <v>1095500</v>
      </c>
      <c r="P79" s="486">
        <f>'.c12_hm_hr'!P33</f>
        <v>1095500</v>
      </c>
      <c r="Q79" s="486">
        <f>'.c12_hm_hr'!Q33</f>
        <v>1095500</v>
      </c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71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</row>
    <row r="80" spans="1:44" s="30" customFormat="1">
      <c r="A80" s="541" t="s">
        <v>1011</v>
      </c>
      <c r="B80" s="527" t="s">
        <v>805</v>
      </c>
      <c r="C80" s="525" t="s">
        <v>1012</v>
      </c>
      <c r="D80" s="429"/>
      <c r="E80" s="486"/>
      <c r="F80" s="565">
        <f>'.c12_hm_hr'!F34</f>
        <v>0</v>
      </c>
      <c r="G80" s="565">
        <f>'.c12_hm_hr'!G34</f>
        <v>0</v>
      </c>
      <c r="H80" s="565">
        <f>'.c12_hm_hr'!H34</f>
        <v>0</v>
      </c>
      <c r="I80" s="565">
        <f>'.c12_hm_hr'!I34</f>
        <v>0</v>
      </c>
      <c r="J80" s="565">
        <f>'.c12_hm_hr'!J34</f>
        <v>0</v>
      </c>
      <c r="K80" s="565">
        <f>'.c12_hm_hr'!K34</f>
        <v>0</v>
      </c>
      <c r="L80" s="565">
        <f>'.c12_hm_hr'!L34</f>
        <v>0</v>
      </c>
      <c r="M80" s="565">
        <f>'.c12_hm_hr'!M34</f>
        <v>0</v>
      </c>
      <c r="N80" s="486">
        <f>'.c12_hm_hr'!N34</f>
        <v>0</v>
      </c>
      <c r="O80" s="486">
        <f>'.c12_hm_hr'!O34</f>
        <v>0</v>
      </c>
      <c r="P80" s="486">
        <f>'.c12_hm_hr'!P34</f>
        <v>0</v>
      </c>
      <c r="Q80" s="486">
        <f>'.c12_hm_hr'!Q34</f>
        <v>0</v>
      </c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71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</row>
    <row r="81" spans="1:44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</row>
    <row r="82" spans="1:44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</row>
    <row r="83" spans="1:44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</row>
    <row r="84" spans="1:44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</row>
    <row r="85" spans="1:44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</row>
    <row r="86" spans="1:44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</row>
    <row r="87" spans="1:44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</row>
    <row r="88" spans="1:44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</row>
    <row r="89" spans="1:44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</row>
    <row r="90" spans="1:44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</row>
    <row r="91" spans="1:44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</row>
    <row r="92" spans="1:44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</row>
    <row r="93" spans="1:44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</row>
    <row r="94" spans="1:44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</row>
    <row r="95" spans="1:44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</row>
    <row r="96" spans="1:44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</row>
    <row r="97" spans="1:44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</row>
    <row r="98" spans="1:44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</row>
    <row r="99" spans="1:44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</row>
    <row r="100" spans="1:44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</row>
    <row r="101" spans="1:44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</row>
    <row r="102" spans="1:44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</row>
    <row r="103" spans="1:44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</row>
    <row r="104" spans="1:44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</row>
    <row r="105" spans="1:44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</row>
    <row r="106" spans="1:44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</row>
    <row r="107" spans="1:44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</row>
    <row r="108" spans="1:44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</row>
    <row r="109" spans="1:44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</row>
    <row r="110" spans="1:44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</row>
    <row r="111" spans="1:44">
      <c r="A111" s="427"/>
      <c r="B111" s="448"/>
      <c r="C111" s="427"/>
      <c r="D111" s="427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</row>
    <row r="112" spans="1:44">
      <c r="A112" s="427"/>
      <c r="B112" s="448"/>
      <c r="C112" s="427"/>
      <c r="D112" s="427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</row>
    <row r="113" spans="1:44">
      <c r="A113" s="427"/>
      <c r="B113" s="448"/>
      <c r="C113" s="427"/>
      <c r="D113" s="427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</row>
    <row r="114" spans="1:44">
      <c r="A114" s="427"/>
      <c r="B114" s="448"/>
      <c r="C114" s="427"/>
      <c r="D114" s="427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</row>
    <row r="115" spans="1:44">
      <c r="A115" s="427"/>
      <c r="B115" s="448"/>
      <c r="C115" s="427"/>
      <c r="D115" s="427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</row>
    <row r="116" spans="1:44">
      <c r="A116" s="427"/>
      <c r="B116" s="448"/>
      <c r="C116" s="427"/>
      <c r="D116" s="427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</row>
    <row r="117" spans="1:44">
      <c r="A117" s="427"/>
      <c r="B117" s="448"/>
      <c r="C117" s="427"/>
      <c r="D117" s="427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</row>
    <row r="118" spans="1:44">
      <c r="A118" s="427"/>
      <c r="B118" s="448"/>
      <c r="C118" s="427"/>
      <c r="D118" s="427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</row>
    <row r="119" spans="1:44">
      <c r="A119" s="427"/>
      <c r="B119" s="448"/>
      <c r="C119" s="427"/>
      <c r="D119" s="427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</row>
    <row r="120" spans="1:44">
      <c r="A120" s="427"/>
      <c r="B120" s="448"/>
      <c r="C120" s="427"/>
      <c r="D120" s="427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</row>
    <row r="121" spans="1:44">
      <c r="A121" s="427"/>
      <c r="B121" s="448"/>
      <c r="C121" s="427"/>
      <c r="D121" s="427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</row>
    <row r="122" spans="1:44">
      <c r="A122" s="427"/>
      <c r="B122" s="448"/>
      <c r="C122" s="427"/>
      <c r="D122" s="427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</row>
    <row r="123" spans="1:44">
      <c r="A123" s="427"/>
      <c r="B123" s="448"/>
      <c r="C123" s="427"/>
      <c r="D123" s="427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</row>
    <row r="124" spans="1:44">
      <c r="A124" s="427"/>
      <c r="B124" s="448"/>
      <c r="C124" s="427"/>
      <c r="D124" s="427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549"/>
      <c r="P124" s="549"/>
      <c r="Q124" s="427"/>
      <c r="R124" s="429"/>
      <c r="S124" s="429"/>
      <c r="T124" s="429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</row>
    <row r="125" spans="1:44">
      <c r="A125" s="427"/>
      <c r="B125" s="448"/>
      <c r="C125" s="427"/>
      <c r="D125" s="427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</row>
    <row r="126" spans="1:44">
      <c r="A126" s="427"/>
      <c r="B126" s="448"/>
      <c r="C126" s="427"/>
      <c r="D126" s="427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</row>
    <row r="127" spans="1:44">
      <c r="A127" s="427"/>
      <c r="B127" s="448"/>
      <c r="C127" s="427"/>
      <c r="D127" s="427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</row>
    <row r="128" spans="1:44">
      <c r="A128" s="427"/>
      <c r="B128" s="448"/>
      <c r="C128" s="427"/>
      <c r="D128" s="427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</row>
    <row r="129" spans="1:44">
      <c r="A129" s="427"/>
      <c r="B129" s="448"/>
      <c r="C129" s="427"/>
      <c r="D129" s="427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</row>
    <row r="130" spans="1:44">
      <c r="A130" s="427"/>
      <c r="B130" s="448"/>
      <c r="C130" s="427"/>
      <c r="D130" s="427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</row>
    <row r="131" spans="1:44">
      <c r="A131" s="427"/>
      <c r="B131" s="448"/>
      <c r="C131" s="427"/>
      <c r="D131" s="427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</row>
    <row r="132" spans="1:44">
      <c r="A132" s="427"/>
      <c r="B132" s="448"/>
      <c r="C132" s="427"/>
      <c r="D132" s="427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</row>
    <row r="133" spans="1:44">
      <c r="A133" s="427"/>
      <c r="B133" s="448"/>
      <c r="C133" s="427"/>
      <c r="D133" s="427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</row>
    <row r="134" spans="1:44">
      <c r="A134" s="427"/>
      <c r="B134" s="448"/>
      <c r="C134" s="427"/>
      <c r="D134" s="427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</row>
    <row r="135" spans="1:44">
      <c r="A135" s="427"/>
      <c r="B135" s="448"/>
      <c r="C135" s="427"/>
      <c r="D135" s="427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</row>
    <row r="136" spans="1:44">
      <c r="A136" s="427"/>
      <c r="B136" s="448"/>
      <c r="C136" s="427"/>
      <c r="D136" s="427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</row>
    <row r="137" spans="1:44">
      <c r="A137" s="427"/>
      <c r="B137" s="448"/>
      <c r="C137" s="427"/>
      <c r="D137" s="427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</row>
    <row r="138" spans="1:44">
      <c r="A138" s="427"/>
      <c r="B138" s="448"/>
      <c r="C138" s="427"/>
      <c r="D138" s="427"/>
      <c r="E138" s="427"/>
      <c r="F138" s="427"/>
      <c r="G138" s="427"/>
      <c r="H138" s="427"/>
      <c r="I138" s="427"/>
      <c r="J138" s="427"/>
      <c r="K138" s="427"/>
      <c r="L138" s="525" t="s">
        <v>1013</v>
      </c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</row>
    <row r="139" spans="1:44">
      <c r="A139" s="427"/>
      <c r="B139" s="448"/>
      <c r="C139" s="427"/>
      <c r="D139" s="427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</row>
    <row r="140" spans="1:44">
      <c r="A140" s="427"/>
      <c r="B140" s="448"/>
      <c r="C140" s="427"/>
      <c r="D140" s="427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</row>
    <row r="141" spans="1:44">
      <c r="A141" s="427"/>
      <c r="B141" s="448"/>
      <c r="C141" s="427"/>
      <c r="D141" s="427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</row>
    <row r="142" spans="1:44">
      <c r="A142" s="427"/>
      <c r="B142" s="448"/>
      <c r="C142" s="427"/>
      <c r="D142" s="427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</row>
    <row r="143" spans="1:44">
      <c r="A143" s="427"/>
      <c r="B143" s="448"/>
      <c r="C143" s="427"/>
      <c r="D143" s="427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</row>
    <row r="144" spans="1:44">
      <c r="A144" s="427"/>
      <c r="B144" s="448"/>
      <c r="C144" s="427"/>
      <c r="D144" s="427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</row>
    <row r="145" spans="1:44">
      <c r="A145" s="427"/>
      <c r="B145" s="448"/>
      <c r="C145" s="427"/>
      <c r="D145" s="427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</row>
    <row r="146" spans="1:44">
      <c r="A146" s="427"/>
      <c r="B146" s="448"/>
      <c r="C146" s="427"/>
      <c r="D146" s="427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</row>
    <row r="147" spans="1:44">
      <c r="A147" s="427"/>
      <c r="B147" s="448"/>
      <c r="C147" s="427"/>
      <c r="D147" s="427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</row>
    <row r="148" spans="1:44">
      <c r="A148" s="427"/>
      <c r="B148" s="448"/>
      <c r="C148" s="427"/>
      <c r="D148" s="427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</row>
    <row r="149" spans="1:44">
      <c r="A149" s="427"/>
      <c r="B149" s="448"/>
      <c r="C149" s="427"/>
      <c r="D149" s="427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41" activePane="bottomRight" state="frozen"/>
      <selection activeCell="E16" sqref="E16"/>
      <selection pane="topRight" activeCell="E16" sqref="E16"/>
      <selection pane="bottomLeft" activeCell="E16" sqref="E16"/>
      <selection pane="bottomRight" activeCell="B52" sqref="B52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customWidth="1"/>
    <col min="4" max="4" width="14" style="424" bestFit="1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531"/>
      <c r="B1" s="428"/>
      <c r="C1" s="429"/>
      <c r="D1" s="428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24"/>
      <c r="T1" s="524"/>
      <c r="U1" s="427"/>
      <c r="V1" s="427"/>
      <c r="W1" s="427"/>
      <c r="X1" s="427"/>
      <c r="Y1" s="427"/>
      <c r="Z1" s="427"/>
      <c r="AA1" s="427"/>
      <c r="AB1" s="427"/>
      <c r="AC1" s="471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</row>
    <row r="2" spans="1:48">
      <c r="A2" s="533" t="s">
        <v>50</v>
      </c>
      <c r="B2" s="431"/>
      <c r="C2" s="431"/>
      <c r="D2" s="431"/>
      <c r="E2" s="534">
        <v>45657</v>
      </c>
      <c r="F2" s="534">
        <v>45747</v>
      </c>
      <c r="G2" s="534">
        <v>45838</v>
      </c>
      <c r="H2" s="534">
        <v>45930</v>
      </c>
      <c r="I2" s="534">
        <v>46022</v>
      </c>
      <c r="J2" s="534">
        <v>46112</v>
      </c>
      <c r="K2" s="534">
        <v>46203</v>
      </c>
      <c r="L2" s="534">
        <v>46295</v>
      </c>
      <c r="M2" s="534">
        <v>46387</v>
      </c>
      <c r="N2" s="534">
        <v>46752</v>
      </c>
      <c r="O2" s="534">
        <v>47118</v>
      </c>
      <c r="P2" s="534">
        <v>47483</v>
      </c>
      <c r="Q2" s="534">
        <v>47848</v>
      </c>
      <c r="R2" s="533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</row>
    <row r="3" spans="1:48" ht="14.65" customHeight="1">
      <c r="A3" s="533" t="s">
        <v>128</v>
      </c>
      <c r="B3" s="431"/>
      <c r="C3" s="431"/>
      <c r="D3" s="431"/>
      <c r="E3" s="535" t="s">
        <v>129</v>
      </c>
      <c r="F3" s="535" t="s">
        <v>130</v>
      </c>
      <c r="G3" s="535" t="s">
        <v>131</v>
      </c>
      <c r="H3" s="535" t="s">
        <v>132</v>
      </c>
      <c r="I3" s="535" t="s">
        <v>129</v>
      </c>
      <c r="J3" s="535" t="s">
        <v>130</v>
      </c>
      <c r="K3" s="535" t="s">
        <v>131</v>
      </c>
      <c r="L3" s="535" t="s">
        <v>132</v>
      </c>
      <c r="M3" s="535" t="s">
        <v>129</v>
      </c>
      <c r="N3" s="536" t="s">
        <v>129</v>
      </c>
      <c r="O3" s="536" t="s">
        <v>129</v>
      </c>
      <c r="P3" s="536" t="s">
        <v>129</v>
      </c>
      <c r="Q3" s="536" t="s">
        <v>129</v>
      </c>
      <c r="R3" s="537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</row>
    <row r="4" spans="1:48" ht="14.65" customHeight="1">
      <c r="A4" s="427"/>
      <c r="B4" s="437" t="s">
        <v>0</v>
      </c>
      <c r="C4" s="438" t="s">
        <v>1</v>
      </c>
      <c r="D4" s="437" t="s">
        <v>2</v>
      </c>
      <c r="E4" s="538"/>
      <c r="F4" s="538"/>
      <c r="G4" s="538"/>
      <c r="H4" s="538"/>
      <c r="I4" s="538"/>
      <c r="J4" s="538"/>
      <c r="K4" s="538"/>
      <c r="L4" s="538"/>
      <c r="M4" s="538"/>
      <c r="N4" s="539"/>
      <c r="O4" s="539"/>
      <c r="P4" s="539"/>
      <c r="Q4" s="539"/>
      <c r="R4" s="540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</row>
    <row r="5" spans="1:48" ht="15" customHeight="1" thickBot="1">
      <c r="A5" s="541" t="s">
        <v>902</v>
      </c>
      <c r="B5" s="442"/>
      <c r="C5" s="441"/>
      <c r="D5" s="442"/>
      <c r="E5" s="531"/>
      <c r="F5" s="531"/>
      <c r="G5" s="531"/>
      <c r="H5" s="531"/>
      <c r="I5" s="542"/>
      <c r="J5" s="531"/>
      <c r="K5" s="531"/>
      <c r="L5" s="531"/>
      <c r="M5" s="531"/>
      <c r="N5" s="531"/>
      <c r="O5" s="531"/>
      <c r="P5" s="531"/>
      <c r="Q5" s="531"/>
      <c r="R5" s="531"/>
      <c r="S5" s="427"/>
      <c r="T5" s="451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</row>
    <row r="6" spans="1:48">
      <c r="A6" s="461" t="s">
        <v>904</v>
      </c>
      <c r="B6" s="440" t="s">
        <v>17</v>
      </c>
      <c r="C6" s="441" t="s">
        <v>905</v>
      </c>
      <c r="D6" s="455" t="s">
        <v>906</v>
      </c>
      <c r="E6" s="547">
        <v>0</v>
      </c>
      <c r="F6" s="544"/>
      <c r="G6" s="544"/>
      <c r="H6" s="544"/>
      <c r="I6" s="544">
        <v>0</v>
      </c>
      <c r="J6" s="544">
        <v>0</v>
      </c>
      <c r="K6" s="544">
        <v>0</v>
      </c>
      <c r="L6" s="544">
        <v>0</v>
      </c>
      <c r="M6" s="544">
        <v>0</v>
      </c>
      <c r="N6" s="543">
        <v>0</v>
      </c>
      <c r="O6" s="543">
        <v>0</v>
      </c>
      <c r="P6" s="543">
        <v>0</v>
      </c>
      <c r="Q6" s="543">
        <v>0</v>
      </c>
      <c r="R6" s="439" t="s">
        <v>907</v>
      </c>
      <c r="S6" s="427"/>
      <c r="T6" s="546"/>
      <c r="U6" s="427"/>
      <c r="V6" s="427"/>
      <c r="W6" s="543"/>
      <c r="X6" s="543"/>
      <c r="Y6" s="543"/>
      <c r="Z6" s="543"/>
      <c r="AA6" s="543"/>
      <c r="AB6" s="543"/>
      <c r="AC6" s="543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</row>
    <row r="7" spans="1:48">
      <c r="A7" s="461" t="s">
        <v>908</v>
      </c>
      <c r="B7" s="440" t="s">
        <v>17</v>
      </c>
      <c r="C7" s="441" t="s">
        <v>909</v>
      </c>
      <c r="D7" s="455" t="s">
        <v>906</v>
      </c>
      <c r="E7" s="547">
        <v>0</v>
      </c>
      <c r="F7" s="544"/>
      <c r="G7" s="544"/>
      <c r="H7" s="544"/>
      <c r="I7" s="544">
        <v>0</v>
      </c>
      <c r="J7" s="544">
        <v>0</v>
      </c>
      <c r="K7" s="544">
        <v>0</v>
      </c>
      <c r="L7" s="544">
        <v>0</v>
      </c>
      <c r="M7" s="544">
        <v>0</v>
      </c>
      <c r="N7" s="543">
        <v>0</v>
      </c>
      <c r="O7" s="543">
        <v>0</v>
      </c>
      <c r="P7" s="543">
        <v>0</v>
      </c>
      <c r="Q7" s="543">
        <v>0</v>
      </c>
      <c r="R7" s="427"/>
      <c r="S7" s="429"/>
      <c r="T7" s="548"/>
      <c r="U7" s="427"/>
      <c r="V7" s="427"/>
      <c r="W7" s="543"/>
      <c r="X7" s="486"/>
      <c r="Y7" s="486"/>
      <c r="Z7" s="486"/>
      <c r="AA7" s="486"/>
      <c r="AB7" s="486"/>
      <c r="AC7" s="543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</row>
    <row r="8" spans="1:48">
      <c r="A8" s="461" t="s">
        <v>910</v>
      </c>
      <c r="B8" s="440" t="s">
        <v>17</v>
      </c>
      <c r="C8" s="441" t="s">
        <v>911</v>
      </c>
      <c r="D8" s="455" t="s">
        <v>906</v>
      </c>
      <c r="E8" s="547">
        <v>0</v>
      </c>
      <c r="F8" s="544"/>
      <c r="G8" s="544"/>
      <c r="H8" s="544">
        <f>520000</f>
        <v>520000</v>
      </c>
      <c r="I8" s="544"/>
      <c r="J8" s="544"/>
      <c r="K8" s="544">
        <v>0</v>
      </c>
      <c r="L8" s="544"/>
      <c r="M8" s="544">
        <v>0</v>
      </c>
      <c r="N8" s="543">
        <v>0</v>
      </c>
      <c r="O8" s="543">
        <v>0</v>
      </c>
      <c r="P8" s="543">
        <v>0</v>
      </c>
      <c r="Q8" s="543">
        <v>0</v>
      </c>
      <c r="R8" s="427"/>
      <c r="S8" s="429"/>
      <c r="T8" s="549"/>
      <c r="U8" s="427"/>
      <c r="V8" s="427"/>
      <c r="W8" s="543"/>
      <c r="X8" s="543"/>
      <c r="Y8" s="543"/>
      <c r="Z8" s="543"/>
      <c r="AA8" s="543"/>
      <c r="AB8" s="543"/>
      <c r="AC8" s="543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</row>
    <row r="9" spans="1:48">
      <c r="A9" s="461" t="s">
        <v>912</v>
      </c>
      <c r="B9" s="439" t="s">
        <v>17</v>
      </c>
      <c r="C9" s="439" t="s">
        <v>905</v>
      </c>
      <c r="D9" s="439" t="s">
        <v>913</v>
      </c>
      <c r="E9" s="547">
        <v>0</v>
      </c>
      <c r="F9" s="544"/>
      <c r="G9" s="544"/>
      <c r="H9" s="544"/>
      <c r="I9" s="544">
        <v>0</v>
      </c>
      <c r="J9" s="544">
        <v>0</v>
      </c>
      <c r="K9" s="544">
        <v>0</v>
      </c>
      <c r="L9" s="544">
        <v>0</v>
      </c>
      <c r="M9" s="544">
        <v>0</v>
      </c>
      <c r="N9" s="543">
        <v>0</v>
      </c>
      <c r="O9" s="543">
        <v>0</v>
      </c>
      <c r="P9" s="543">
        <v>0</v>
      </c>
      <c r="Q9" s="543">
        <v>0</v>
      </c>
      <c r="R9" s="427"/>
      <c r="S9" s="429"/>
      <c r="T9" s="550"/>
      <c r="U9" s="427"/>
      <c r="V9" s="427"/>
      <c r="W9" s="543"/>
      <c r="X9" s="543"/>
      <c r="Y9" s="543"/>
      <c r="Z9" s="486"/>
      <c r="AA9" s="486"/>
      <c r="AB9" s="486"/>
      <c r="AC9" s="543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</row>
    <row r="10" spans="1:48">
      <c r="A10" s="461" t="s">
        <v>914</v>
      </c>
      <c r="B10" s="439" t="s">
        <v>17</v>
      </c>
      <c r="C10" s="439" t="s">
        <v>909</v>
      </c>
      <c r="D10" s="439" t="s">
        <v>913</v>
      </c>
      <c r="E10" s="547">
        <v>0</v>
      </c>
      <c r="F10" s="544"/>
      <c r="G10" s="544"/>
      <c r="H10" s="544"/>
      <c r="I10" s="544">
        <v>0</v>
      </c>
      <c r="J10" s="544">
        <v>0</v>
      </c>
      <c r="K10" s="544">
        <v>0</v>
      </c>
      <c r="L10" s="544">
        <v>0</v>
      </c>
      <c r="M10" s="544">
        <v>0</v>
      </c>
      <c r="N10" s="543">
        <v>0</v>
      </c>
      <c r="O10" s="543">
        <v>0</v>
      </c>
      <c r="P10" s="543">
        <v>0</v>
      </c>
      <c r="Q10" s="543">
        <v>0</v>
      </c>
      <c r="R10" s="427"/>
      <c r="S10" s="429"/>
      <c r="T10" s="550"/>
      <c r="U10" s="427"/>
      <c r="V10" s="427"/>
      <c r="W10" s="543"/>
      <c r="X10" s="543"/>
      <c r="Y10" s="543"/>
      <c r="Z10" s="486"/>
      <c r="AA10" s="486"/>
      <c r="AB10" s="486"/>
      <c r="AC10" s="543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</row>
    <row r="11" spans="1:48">
      <c r="A11" s="461" t="s">
        <v>915</v>
      </c>
      <c r="B11" s="439" t="s">
        <v>17</v>
      </c>
      <c r="C11" s="439" t="s">
        <v>905</v>
      </c>
      <c r="D11" s="439" t="s">
        <v>916</v>
      </c>
      <c r="E11" s="547">
        <v>0</v>
      </c>
      <c r="F11" s="544"/>
      <c r="G11" s="544"/>
      <c r="H11" s="544"/>
      <c r="I11" s="544">
        <v>50000</v>
      </c>
      <c r="J11" s="544">
        <v>0</v>
      </c>
      <c r="K11" s="544">
        <v>0</v>
      </c>
      <c r="L11" s="544">
        <v>0</v>
      </c>
      <c r="M11" s="544">
        <v>0</v>
      </c>
      <c r="N11" s="543">
        <v>0</v>
      </c>
      <c r="O11" s="543">
        <v>0</v>
      </c>
      <c r="P11" s="543">
        <v>0</v>
      </c>
      <c r="Q11" s="543">
        <v>0</v>
      </c>
      <c r="R11" s="427"/>
      <c r="S11" s="429"/>
      <c r="T11" s="551"/>
      <c r="U11" s="427"/>
      <c r="V11" s="427"/>
      <c r="W11" s="543"/>
      <c r="X11" s="543"/>
      <c r="Y11" s="543"/>
      <c r="Z11" s="543"/>
      <c r="AA11" s="543"/>
      <c r="AB11" s="543"/>
      <c r="AC11" s="543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</row>
    <row r="12" spans="1:48">
      <c r="A12" s="461" t="s">
        <v>917</v>
      </c>
      <c r="B12" s="439" t="s">
        <v>17</v>
      </c>
      <c r="C12" s="439" t="s">
        <v>909</v>
      </c>
      <c r="D12" s="439" t="s">
        <v>916</v>
      </c>
      <c r="E12" s="547">
        <v>812800</v>
      </c>
      <c r="F12" s="544">
        <v>280000</v>
      </c>
      <c r="G12" s="544">
        <v>280000</v>
      </c>
      <c r="H12" s="544">
        <v>280000</v>
      </c>
      <c r="I12" s="544">
        <v>340000</v>
      </c>
      <c r="J12" s="544">
        <f>2930000/16*3</f>
        <v>549375</v>
      </c>
      <c r="K12" s="544">
        <f>2930000/16*3</f>
        <v>549375</v>
      </c>
      <c r="L12" s="544">
        <f>2930000/16*3</f>
        <v>549375</v>
      </c>
      <c r="M12" s="544">
        <f>2930000/16*3</f>
        <v>549375</v>
      </c>
      <c r="N12" s="543">
        <f>2930000-SUM(J12:M12)</f>
        <v>732500</v>
      </c>
      <c r="O12" s="543">
        <v>0</v>
      </c>
      <c r="P12" s="543">
        <v>0</v>
      </c>
      <c r="Q12" s="543">
        <v>0</v>
      </c>
      <c r="R12" s="447"/>
      <c r="S12" s="429"/>
      <c r="T12" s="551"/>
      <c r="U12" s="477"/>
      <c r="V12" s="477"/>
      <c r="W12" s="477"/>
      <c r="X12" s="477"/>
      <c r="Y12" s="477"/>
      <c r="Z12" s="477"/>
      <c r="AA12" s="477"/>
      <c r="AB12" s="477"/>
      <c r="AC12" s="47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</row>
    <row r="13" spans="1:48">
      <c r="A13" s="461" t="s">
        <v>918</v>
      </c>
      <c r="B13" s="439" t="s">
        <v>17</v>
      </c>
      <c r="C13" s="439" t="s">
        <v>911</v>
      </c>
      <c r="D13" s="439" t="s">
        <v>916</v>
      </c>
      <c r="E13" s="543"/>
      <c r="F13" s="544"/>
      <c r="G13" s="544"/>
      <c r="H13" s="544"/>
      <c r="I13" s="544">
        <v>250000</v>
      </c>
      <c r="J13" s="544">
        <v>0</v>
      </c>
      <c r="K13" s="544">
        <v>0</v>
      </c>
      <c r="L13" s="544">
        <v>0</v>
      </c>
      <c r="M13" s="544">
        <v>0</v>
      </c>
      <c r="N13" s="543">
        <v>0</v>
      </c>
      <c r="O13" s="543">
        <v>0</v>
      </c>
      <c r="P13" s="543">
        <v>0</v>
      </c>
      <c r="Q13" s="543">
        <v>0</v>
      </c>
      <c r="R13" s="543"/>
      <c r="S13" s="429"/>
      <c r="T13" s="551"/>
      <c r="U13" s="477"/>
      <c r="V13" s="477"/>
      <c r="W13" s="477"/>
      <c r="X13" s="477"/>
      <c r="Y13" s="477"/>
      <c r="Z13" s="477"/>
      <c r="AA13" s="477"/>
      <c r="AB13" s="477"/>
      <c r="AC13" s="47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</row>
    <row r="14" spans="1:48">
      <c r="A14" s="461" t="s">
        <v>919</v>
      </c>
      <c r="B14" s="439" t="s">
        <v>17</v>
      </c>
      <c r="C14" s="439" t="s">
        <v>905</v>
      </c>
      <c r="D14" s="439" t="s">
        <v>479</v>
      </c>
      <c r="E14" s="526">
        <v>0</v>
      </c>
      <c r="F14" s="544"/>
      <c r="G14" s="544"/>
      <c r="H14" s="544">
        <f>750000/2</f>
        <v>375000</v>
      </c>
      <c r="I14" s="505">
        <f>750000/2</f>
        <v>375000</v>
      </c>
      <c r="J14" s="505">
        <f>(4500000*0.6-SUM($H$14:$I$14))/4</f>
        <v>487500</v>
      </c>
      <c r="K14" s="505">
        <f>(4500000*0.6-SUM($H$14:$I$14))/4</f>
        <v>487500</v>
      </c>
      <c r="L14" s="505">
        <f>(4500000*0.6-SUM($H$14:$I$14))/4</f>
        <v>487500</v>
      </c>
      <c r="M14" s="505">
        <f>(4500000*0.6-SUM($H$14:$I$14))/4</f>
        <v>487500</v>
      </c>
      <c r="N14" s="543">
        <f>4500000-SUM(H14:M14)</f>
        <v>1800000</v>
      </c>
      <c r="O14" s="543">
        <v>0</v>
      </c>
      <c r="P14" s="543">
        <v>0</v>
      </c>
      <c r="Q14" s="543">
        <v>0</v>
      </c>
      <c r="R14" s="427"/>
      <c r="S14" s="524"/>
      <c r="T14" s="524"/>
      <c r="U14" s="427"/>
      <c r="V14" s="427"/>
      <c r="W14" s="427"/>
      <c r="X14" s="477"/>
      <c r="Y14" s="477"/>
      <c r="Z14" s="477"/>
      <c r="AA14" s="477"/>
      <c r="AB14" s="477"/>
      <c r="AC14" s="47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</row>
    <row r="15" spans="1:48">
      <c r="A15" s="461" t="s">
        <v>920</v>
      </c>
      <c r="B15" s="439" t="s">
        <v>17</v>
      </c>
      <c r="C15" s="439" t="s">
        <v>909</v>
      </c>
      <c r="D15" s="439" t="s">
        <v>479</v>
      </c>
      <c r="E15" s="526">
        <v>0</v>
      </c>
      <c r="F15" s="544"/>
      <c r="G15" s="544"/>
      <c r="H15" s="544">
        <f>1000000/2</f>
        <v>500000</v>
      </c>
      <c r="I15" s="505">
        <f>1000000/2</f>
        <v>500000</v>
      </c>
      <c r="J15" s="505">
        <f>5200000/3/4</f>
        <v>433333.33333333331</v>
      </c>
      <c r="K15" s="505">
        <f>5200000/3/4</f>
        <v>433333.33333333331</v>
      </c>
      <c r="L15" s="505">
        <f>5200000/3/4</f>
        <v>433333.33333333331</v>
      </c>
      <c r="M15" s="505">
        <f>5200000/3/4</f>
        <v>433333.33333333331</v>
      </c>
      <c r="N15" s="543">
        <f>5200000/3</f>
        <v>1733333.3333333333</v>
      </c>
      <c r="O15" s="543">
        <f>5200000/3/2</f>
        <v>866666.66666666663</v>
      </c>
      <c r="P15" s="543">
        <f>5200000/3/2</f>
        <v>866666.66666666663</v>
      </c>
      <c r="Q15" s="543">
        <v>0</v>
      </c>
      <c r="R15" s="486"/>
      <c r="S15" s="554"/>
      <c r="T15" s="524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</row>
    <row r="16" spans="1:48">
      <c r="A16" s="461" t="s">
        <v>921</v>
      </c>
      <c r="B16" s="439" t="s">
        <v>17</v>
      </c>
      <c r="C16" s="439" t="s">
        <v>911</v>
      </c>
      <c r="D16" s="439" t="s">
        <v>479</v>
      </c>
      <c r="E16" s="526">
        <v>0</v>
      </c>
      <c r="F16" s="544">
        <v>0</v>
      </c>
      <c r="G16" s="544">
        <v>0</v>
      </c>
      <c r="H16" s="544">
        <v>0</v>
      </c>
      <c r="I16" s="505">
        <v>0</v>
      </c>
      <c r="J16" s="505">
        <v>0</v>
      </c>
      <c r="K16" s="505">
        <v>0</v>
      </c>
      <c r="L16" s="505">
        <v>0</v>
      </c>
      <c r="M16" s="505">
        <v>0</v>
      </c>
      <c r="N16" s="543">
        <v>0</v>
      </c>
      <c r="O16" s="543">
        <v>0</v>
      </c>
      <c r="P16" s="543">
        <v>0</v>
      </c>
      <c r="Q16" s="543">
        <v>0</v>
      </c>
      <c r="R16" s="427"/>
      <c r="S16" s="554"/>
      <c r="T16" s="524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</row>
    <row r="17" spans="1:48">
      <c r="A17" s="461" t="s">
        <v>922</v>
      </c>
      <c r="B17" s="439" t="s">
        <v>17</v>
      </c>
      <c r="C17" s="439" t="s">
        <v>923</v>
      </c>
      <c r="D17" s="439" t="s">
        <v>479</v>
      </c>
      <c r="E17" s="547">
        <v>0</v>
      </c>
      <c r="F17" s="544"/>
      <c r="G17" s="544"/>
      <c r="H17" s="544"/>
      <c r="I17" s="505"/>
      <c r="J17" s="505">
        <v>0</v>
      </c>
      <c r="K17" s="505">
        <v>0</v>
      </c>
      <c r="L17" s="505">
        <v>0</v>
      </c>
      <c r="M17" s="505">
        <v>0</v>
      </c>
      <c r="N17" s="543">
        <f>2187500*0.5</f>
        <v>1093750</v>
      </c>
      <c r="O17" s="543">
        <f>N17/2</f>
        <v>546875</v>
      </c>
      <c r="P17" s="543">
        <f>O17</f>
        <v>546875</v>
      </c>
      <c r="Q17" s="543">
        <v>0</v>
      </c>
      <c r="R17" s="427"/>
      <c r="S17" s="524"/>
      <c r="T17" s="524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</row>
    <row r="18" spans="1:48">
      <c r="A18" s="461" t="s">
        <v>924</v>
      </c>
      <c r="B18" s="439" t="s">
        <v>17</v>
      </c>
      <c r="C18" s="439" t="s">
        <v>925</v>
      </c>
      <c r="D18" s="439" t="s">
        <v>479</v>
      </c>
      <c r="E18" s="543"/>
      <c r="F18" s="544"/>
      <c r="G18" s="544">
        <v>1000000</v>
      </c>
      <c r="H18" s="544"/>
      <c r="I18" s="505"/>
      <c r="J18" s="505"/>
      <c r="K18" s="505"/>
      <c r="L18" s="505"/>
      <c r="M18" s="505"/>
      <c r="N18" s="543"/>
      <c r="O18" s="543"/>
      <c r="P18" s="543"/>
      <c r="Q18" s="543"/>
      <c r="R18" s="427"/>
      <c r="S18" s="524"/>
      <c r="T18" s="524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</row>
    <row r="19" spans="1:48" s="5" customFormat="1">
      <c r="A19" s="461" t="s">
        <v>926</v>
      </c>
      <c r="B19" s="527" t="s">
        <v>17</v>
      </c>
      <c r="C19" s="525" t="s">
        <v>927</v>
      </c>
      <c r="D19" s="527" t="s">
        <v>928</v>
      </c>
      <c r="E19" s="547">
        <v>0</v>
      </c>
      <c r="F19" s="544">
        <v>0</v>
      </c>
      <c r="G19" s="544">
        <v>0</v>
      </c>
      <c r="H19" s="544">
        <v>0</v>
      </c>
      <c r="I19" s="505">
        <v>0</v>
      </c>
      <c r="J19" s="505">
        <v>0</v>
      </c>
      <c r="K19" s="505">
        <v>0</v>
      </c>
      <c r="L19" s="505">
        <v>0</v>
      </c>
      <c r="M19" s="505">
        <v>0</v>
      </c>
      <c r="N19" s="543">
        <v>0</v>
      </c>
      <c r="O19" s="543">
        <v>0</v>
      </c>
      <c r="P19" s="543">
        <v>0</v>
      </c>
      <c r="Q19" s="543">
        <v>0</v>
      </c>
      <c r="R19" s="427"/>
      <c r="S19" s="524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</row>
    <row r="20" spans="1:48">
      <c r="A20" s="461" t="s">
        <v>929</v>
      </c>
      <c r="B20" s="439" t="s">
        <v>17</v>
      </c>
      <c r="C20" s="439" t="s">
        <v>925</v>
      </c>
      <c r="D20" s="439" t="s">
        <v>928</v>
      </c>
      <c r="E20" s="547">
        <v>0</v>
      </c>
      <c r="F20" s="544">
        <v>0</v>
      </c>
      <c r="G20" s="544">
        <v>1250000</v>
      </c>
      <c r="H20" s="544">
        <v>0</v>
      </c>
      <c r="I20" s="505">
        <v>0</v>
      </c>
      <c r="J20" s="505">
        <v>0</v>
      </c>
      <c r="K20" s="505">
        <v>0</v>
      </c>
      <c r="L20" s="505">
        <v>0</v>
      </c>
      <c r="M20" s="505">
        <v>0</v>
      </c>
      <c r="N20" s="543">
        <v>0</v>
      </c>
      <c r="O20" s="543">
        <v>0</v>
      </c>
      <c r="P20" s="543">
        <v>0</v>
      </c>
      <c r="Q20" s="543">
        <v>0</v>
      </c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</row>
    <row r="21" spans="1:48">
      <c r="A21" s="461" t="s">
        <v>930</v>
      </c>
      <c r="B21" s="439" t="s">
        <v>17</v>
      </c>
      <c r="C21" s="439" t="s">
        <v>931</v>
      </c>
      <c r="D21" s="439" t="s">
        <v>928</v>
      </c>
      <c r="E21" s="547">
        <v>0</v>
      </c>
      <c r="F21" s="544">
        <v>0</v>
      </c>
      <c r="G21" s="544">
        <v>0</v>
      </c>
      <c r="H21" s="544">
        <v>0</v>
      </c>
      <c r="I21" s="544">
        <v>0</v>
      </c>
      <c r="J21" s="544">
        <v>0</v>
      </c>
      <c r="K21" s="544">
        <v>0</v>
      </c>
      <c r="L21" s="544">
        <v>0</v>
      </c>
      <c r="M21" s="544">
        <v>0</v>
      </c>
      <c r="N21" s="543">
        <v>0</v>
      </c>
      <c r="O21" s="543">
        <v>0</v>
      </c>
      <c r="P21" s="543">
        <v>0</v>
      </c>
      <c r="Q21" s="543">
        <v>0</v>
      </c>
      <c r="R21" s="427"/>
      <c r="S21" s="524"/>
      <c r="T21" s="524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</row>
    <row r="22" spans="1:48">
      <c r="A22" s="461" t="s">
        <v>932</v>
      </c>
      <c r="B22" s="439" t="s">
        <v>17</v>
      </c>
      <c r="C22" s="439" t="s">
        <v>933</v>
      </c>
      <c r="D22" s="439" t="s">
        <v>928</v>
      </c>
      <c r="E22" s="547">
        <v>0</v>
      </c>
      <c r="F22" s="544"/>
      <c r="G22" s="544"/>
      <c r="H22" s="544"/>
      <c r="I22" s="544">
        <v>0</v>
      </c>
      <c r="J22" s="544">
        <v>0</v>
      </c>
      <c r="K22" s="544">
        <v>0</v>
      </c>
      <c r="L22" s="544">
        <v>0</v>
      </c>
      <c r="M22" s="544">
        <v>2500000</v>
      </c>
      <c r="N22" s="543">
        <v>0</v>
      </c>
      <c r="O22" s="543">
        <v>0</v>
      </c>
      <c r="P22" s="543">
        <v>0</v>
      </c>
      <c r="Q22" s="543">
        <v>0</v>
      </c>
      <c r="R22" s="447"/>
      <c r="S22" s="524"/>
      <c r="T22" s="524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</row>
    <row r="23" spans="1:48">
      <c r="A23" s="461" t="s">
        <v>151</v>
      </c>
      <c r="B23" s="439" t="s">
        <v>17</v>
      </c>
      <c r="C23" s="439" t="s">
        <v>934</v>
      </c>
      <c r="D23" s="439" t="s">
        <v>935</v>
      </c>
      <c r="E23" s="543"/>
      <c r="F23" s="544"/>
      <c r="G23" s="544"/>
      <c r="H23" s="544"/>
      <c r="I23" s="544"/>
      <c r="J23" s="544"/>
      <c r="K23" s="544"/>
      <c r="L23" s="544"/>
      <c r="M23" s="544">
        <f>500000+1600000</f>
        <v>2100000</v>
      </c>
      <c r="N23" s="543">
        <v>250000</v>
      </c>
      <c r="O23" s="543">
        <v>650000</v>
      </c>
      <c r="P23" s="543"/>
      <c r="Q23" s="543"/>
      <c r="R23" s="447"/>
      <c r="S23" s="559"/>
      <c r="T23" s="524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</row>
    <row r="24" spans="1:48" ht="15" customHeight="1" thickBot="1">
      <c r="A24" s="461" t="s">
        <v>152</v>
      </c>
      <c r="B24" s="439" t="s">
        <v>17</v>
      </c>
      <c r="C24" s="439" t="s">
        <v>934</v>
      </c>
      <c r="D24" s="439" t="s">
        <v>936</v>
      </c>
      <c r="E24" s="543"/>
      <c r="F24" s="544"/>
      <c r="G24" s="544"/>
      <c r="H24" s="544"/>
      <c r="I24" s="544"/>
      <c r="J24" s="544"/>
      <c r="K24" s="544"/>
      <c r="L24" s="544">
        <v>0</v>
      </c>
      <c r="M24" s="544">
        <v>0</v>
      </c>
      <c r="N24" s="543">
        <v>2000000</v>
      </c>
      <c r="O24" s="543">
        <v>2000000</v>
      </c>
      <c r="P24" s="543">
        <v>4000000</v>
      </c>
      <c r="Q24" s="543">
        <v>4000000</v>
      </c>
      <c r="R24" s="447"/>
      <c r="S24" s="559"/>
      <c r="T24" s="524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</row>
    <row r="25" spans="1:48">
      <c r="A25" s="552" t="s">
        <v>937</v>
      </c>
      <c r="B25" s="439" t="s">
        <v>805</v>
      </c>
      <c r="C25" s="439" t="s">
        <v>938</v>
      </c>
      <c r="D25" s="427"/>
      <c r="E25" s="543">
        <f t="shared" ref="E25:Q25" si="0">SUM(E6:E24)</f>
        <v>812800</v>
      </c>
      <c r="F25" s="553">
        <f t="shared" si="0"/>
        <v>280000</v>
      </c>
      <c r="G25" s="553">
        <f t="shared" si="0"/>
        <v>2530000</v>
      </c>
      <c r="H25" s="553">
        <f t="shared" si="0"/>
        <v>1675000</v>
      </c>
      <c r="I25" s="553">
        <f t="shared" si="0"/>
        <v>1515000</v>
      </c>
      <c r="J25" s="553">
        <f t="shared" si="0"/>
        <v>1470208.3333333333</v>
      </c>
      <c r="K25" s="553">
        <f t="shared" si="0"/>
        <v>1470208.3333333333</v>
      </c>
      <c r="L25" s="553">
        <f t="shared" si="0"/>
        <v>1470208.3333333333</v>
      </c>
      <c r="M25" s="553">
        <f t="shared" si="0"/>
        <v>6070208.333333333</v>
      </c>
      <c r="N25" s="543">
        <f t="shared" si="0"/>
        <v>7609583.333333333</v>
      </c>
      <c r="O25" s="543">
        <f t="shared" si="0"/>
        <v>4063541.6666666665</v>
      </c>
      <c r="P25" s="543">
        <f t="shared" si="0"/>
        <v>5413541.666666666</v>
      </c>
      <c r="Q25" s="543">
        <f t="shared" si="0"/>
        <v>4000000</v>
      </c>
      <c r="R25" s="543"/>
      <c r="S25" s="524"/>
      <c r="T25" s="524"/>
      <c r="U25" s="427"/>
      <c r="V25" s="471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</row>
    <row r="26" spans="1:48" ht="15" customHeight="1" thickBot="1">
      <c r="A26" s="531"/>
      <c r="B26" s="427"/>
      <c r="C26" s="427"/>
      <c r="D26" s="427"/>
      <c r="E26" s="543"/>
      <c r="F26" s="543"/>
      <c r="G26" s="543"/>
      <c r="H26" s="543"/>
      <c r="I26" s="543"/>
      <c r="J26" s="543"/>
      <c r="K26" s="543"/>
      <c r="L26" s="543"/>
      <c r="M26" s="543"/>
      <c r="N26" s="543"/>
      <c r="O26" s="543"/>
      <c r="P26" s="543"/>
      <c r="Q26" s="543"/>
      <c r="R26" s="543"/>
      <c r="S26" s="524"/>
      <c r="T26" s="524"/>
      <c r="U26" s="427"/>
      <c r="V26" s="471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</row>
    <row r="27" spans="1:48">
      <c r="A27" s="541" t="s">
        <v>939</v>
      </c>
      <c r="B27" s="439" t="s">
        <v>17</v>
      </c>
      <c r="C27" s="439"/>
      <c r="D27" s="427"/>
      <c r="E27" s="543"/>
      <c r="F27" s="544">
        <f>-SUM(F6:F24)</f>
        <v>-280000</v>
      </c>
      <c r="G27" s="544">
        <f>-SUM(G6:G24)</f>
        <v>-2530000</v>
      </c>
      <c r="H27" s="544">
        <v>-1155000</v>
      </c>
      <c r="I27" s="544">
        <v>-745000</v>
      </c>
      <c r="J27" s="544">
        <v>-1470208</v>
      </c>
      <c r="K27" s="544">
        <f>-1000000+310000</f>
        <v>-690000</v>
      </c>
      <c r="L27" s="544">
        <v>-1000000</v>
      </c>
      <c r="M27" s="544">
        <v>-2100000</v>
      </c>
      <c r="N27" s="543">
        <f>-1500000-2000000-250000</f>
        <v>-3750000</v>
      </c>
      <c r="O27" s="543">
        <f>-2000000-650000</f>
        <v>-2650000</v>
      </c>
      <c r="P27" s="543">
        <v>-4000000</v>
      </c>
      <c r="Q27" s="543">
        <v>-4000000</v>
      </c>
      <c r="R27" s="545" t="s">
        <v>907</v>
      </c>
      <c r="S27" s="524"/>
      <c r="T27" s="524"/>
      <c r="U27" s="477"/>
      <c r="V27" s="477"/>
      <c r="W27" s="477"/>
      <c r="X27" s="477"/>
      <c r="Y27" s="477"/>
      <c r="Z27" s="477"/>
      <c r="AA27" s="477"/>
      <c r="AB27" s="477"/>
      <c r="AC27" s="47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</row>
    <row r="28" spans="1:48" ht="15" customHeight="1" thickBot="1">
      <c r="A28" s="466" t="s">
        <v>941</v>
      </c>
      <c r="B28" s="439" t="s">
        <v>17</v>
      </c>
      <c r="C28" s="439" t="s">
        <v>942</v>
      </c>
      <c r="D28" s="427"/>
      <c r="E28" s="543"/>
      <c r="F28" s="544"/>
      <c r="G28" s="544"/>
      <c r="H28" s="544"/>
      <c r="I28" s="544"/>
      <c r="J28" s="544">
        <v>1508647.32</v>
      </c>
      <c r="K28" s="544">
        <v>1177500</v>
      </c>
      <c r="L28" s="544">
        <v>1177500</v>
      </c>
      <c r="M28" s="544">
        <v>1177500</v>
      </c>
      <c r="N28" s="543">
        <v>4929060.68</v>
      </c>
      <c r="O28" s="543">
        <v>3750000</v>
      </c>
      <c r="P28" s="543">
        <v>650000</v>
      </c>
      <c r="Q28" s="543">
        <v>1999999.666666667</v>
      </c>
      <c r="R28" s="427"/>
      <c r="S28" s="524"/>
      <c r="T28" s="524"/>
      <c r="U28" s="477"/>
      <c r="V28" s="477"/>
      <c r="W28" s="477"/>
      <c r="X28" s="477"/>
      <c r="Y28" s="477"/>
      <c r="Z28" s="477"/>
      <c r="AA28" s="477"/>
      <c r="AB28" s="477"/>
      <c r="AC28" s="47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</row>
    <row r="29" spans="1:48">
      <c r="A29" s="541" t="s">
        <v>943</v>
      </c>
      <c r="B29" s="439" t="s">
        <v>805</v>
      </c>
      <c r="C29" s="439" t="s">
        <v>944</v>
      </c>
      <c r="D29" s="427"/>
      <c r="E29" s="543"/>
      <c r="F29" s="553">
        <f t="shared" ref="F29:Q29" si="1">+F27+E29+F28</f>
        <v>-280000</v>
      </c>
      <c r="G29" s="553">
        <f t="shared" si="1"/>
        <v>-2810000</v>
      </c>
      <c r="H29" s="553">
        <f t="shared" si="1"/>
        <v>-3965000</v>
      </c>
      <c r="I29" s="553">
        <f t="shared" si="1"/>
        <v>-4710000</v>
      </c>
      <c r="J29" s="553">
        <f t="shared" si="1"/>
        <v>-4671560.68</v>
      </c>
      <c r="K29" s="553">
        <f t="shared" si="1"/>
        <v>-4184060.6799999997</v>
      </c>
      <c r="L29" s="553">
        <f t="shared" si="1"/>
        <v>-4006560.6799999997</v>
      </c>
      <c r="M29" s="553">
        <f t="shared" si="1"/>
        <v>-4929060.68</v>
      </c>
      <c r="N29" s="543">
        <f t="shared" si="1"/>
        <v>-3750000</v>
      </c>
      <c r="O29" s="543">
        <f t="shared" si="1"/>
        <v>-2650000</v>
      </c>
      <c r="P29" s="543">
        <f t="shared" si="1"/>
        <v>-6000000</v>
      </c>
      <c r="Q29" s="543">
        <f t="shared" si="1"/>
        <v>-8000000.333333333</v>
      </c>
      <c r="R29" s="427"/>
      <c r="S29" s="524"/>
      <c r="T29" s="524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</row>
    <row r="30" spans="1:48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524"/>
      <c r="T30" s="524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</row>
    <row r="31" spans="1:48">
      <c r="A31" s="541" t="s">
        <v>945</v>
      </c>
      <c r="B31" s="439" t="s">
        <v>805</v>
      </c>
      <c r="C31" s="439" t="s">
        <v>946</v>
      </c>
      <c r="D31" s="427"/>
      <c r="E31" s="557">
        <f t="shared" ref="E31:Q31" si="2">+E25+E27</f>
        <v>812800</v>
      </c>
      <c r="F31" s="558">
        <f t="shared" si="2"/>
        <v>0</v>
      </c>
      <c r="G31" s="558">
        <f t="shared" si="2"/>
        <v>0</v>
      </c>
      <c r="H31" s="558">
        <f t="shared" si="2"/>
        <v>520000</v>
      </c>
      <c r="I31" s="558">
        <f t="shared" si="2"/>
        <v>770000</v>
      </c>
      <c r="J31" s="558">
        <f t="shared" si="2"/>
        <v>0.33333333325572312</v>
      </c>
      <c r="K31" s="558">
        <f t="shared" si="2"/>
        <v>780208.33333333326</v>
      </c>
      <c r="L31" s="558">
        <f t="shared" si="2"/>
        <v>470208.33333333326</v>
      </c>
      <c r="M31" s="558">
        <f t="shared" si="2"/>
        <v>3970208.333333333</v>
      </c>
      <c r="N31" s="486">
        <f t="shared" si="2"/>
        <v>3859583.333333333</v>
      </c>
      <c r="O31" s="486">
        <f t="shared" si="2"/>
        <v>1413541.6666666665</v>
      </c>
      <c r="P31" s="486">
        <f t="shared" si="2"/>
        <v>1413541.666666666</v>
      </c>
      <c r="Q31" s="486">
        <f t="shared" si="2"/>
        <v>0</v>
      </c>
      <c r="R31" s="427"/>
      <c r="S31" s="524"/>
      <c r="T31" s="524"/>
      <c r="U31" s="427"/>
      <c r="V31" s="427"/>
      <c r="W31" s="427"/>
      <c r="X31" s="477"/>
      <c r="Y31" s="477"/>
      <c r="Z31" s="477"/>
      <c r="AA31" s="477"/>
      <c r="AB31" s="477"/>
      <c r="AC31" s="47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</row>
    <row r="32" spans="1:48">
      <c r="A32" s="541" t="s">
        <v>947</v>
      </c>
      <c r="B32" s="439" t="s">
        <v>805</v>
      </c>
      <c r="C32" s="439" t="s">
        <v>948</v>
      </c>
      <c r="D32" s="427"/>
      <c r="E32" s="557">
        <f t="shared" ref="E32:Q32" si="3">+E28+E31</f>
        <v>812800</v>
      </c>
      <c r="F32" s="558">
        <f t="shared" si="3"/>
        <v>0</v>
      </c>
      <c r="G32" s="558">
        <f t="shared" si="3"/>
        <v>0</v>
      </c>
      <c r="H32" s="558">
        <f t="shared" si="3"/>
        <v>520000</v>
      </c>
      <c r="I32" s="558">
        <f t="shared" si="3"/>
        <v>770000</v>
      </c>
      <c r="J32" s="558">
        <f t="shared" si="3"/>
        <v>1508647.6533333333</v>
      </c>
      <c r="K32" s="558">
        <f t="shared" si="3"/>
        <v>1957708.3333333333</v>
      </c>
      <c r="L32" s="558">
        <f t="shared" si="3"/>
        <v>1647708.3333333333</v>
      </c>
      <c r="M32" s="558">
        <f t="shared" si="3"/>
        <v>5147708.333333333</v>
      </c>
      <c r="N32" s="486">
        <f t="shared" si="3"/>
        <v>8788644.0133333318</v>
      </c>
      <c r="O32" s="486">
        <f t="shared" si="3"/>
        <v>5163541.666666666</v>
      </c>
      <c r="P32" s="486">
        <f t="shared" si="3"/>
        <v>2063541.666666666</v>
      </c>
      <c r="Q32" s="486">
        <f t="shared" si="3"/>
        <v>1999999.666666667</v>
      </c>
      <c r="R32" s="427"/>
      <c r="S32" s="524"/>
      <c r="T32" s="524"/>
      <c r="U32" s="427"/>
      <c r="V32" s="427"/>
      <c r="W32" s="427"/>
      <c r="X32" s="477"/>
      <c r="Y32" s="477"/>
      <c r="Z32" s="477"/>
      <c r="AA32" s="477"/>
      <c r="AB32" s="477"/>
      <c r="AC32" s="47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</row>
    <row r="33" spans="1:48">
      <c r="A33" s="427"/>
      <c r="B33" s="427"/>
      <c r="C33" s="427"/>
      <c r="D33" s="427"/>
      <c r="E33" s="543"/>
      <c r="F33" s="543"/>
      <c r="G33" s="543"/>
      <c r="H33" s="543"/>
      <c r="I33" s="543"/>
      <c r="J33" s="543"/>
      <c r="K33" s="543"/>
      <c r="L33" s="543"/>
      <c r="M33" s="543"/>
      <c r="N33" s="543"/>
      <c r="O33" s="543"/>
      <c r="P33" s="543"/>
      <c r="Q33" s="543"/>
      <c r="R33" s="543"/>
      <c r="S33" s="524"/>
      <c r="T33" s="524"/>
      <c r="U33" s="427"/>
      <c r="V33" s="427"/>
      <c r="W33" s="427"/>
      <c r="X33" s="477"/>
      <c r="Y33" s="477"/>
      <c r="Z33" s="477"/>
      <c r="AA33" s="477"/>
      <c r="AB33" s="477"/>
      <c r="AC33" s="47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</row>
    <row r="34" spans="1:48" ht="15" customHeight="1" thickBot="1">
      <c r="A34" s="541" t="s">
        <v>949</v>
      </c>
      <c r="B34" s="427"/>
      <c r="C34" s="439"/>
      <c r="D34" s="427"/>
      <c r="E34" s="543"/>
      <c r="F34" s="543"/>
      <c r="G34" s="543"/>
      <c r="H34" s="427"/>
      <c r="I34" s="427"/>
      <c r="J34" s="543"/>
      <c r="K34" s="560"/>
      <c r="L34" s="560"/>
      <c r="M34" s="560"/>
      <c r="N34" s="560"/>
      <c r="O34" s="560"/>
      <c r="P34" s="560"/>
      <c r="Q34" s="560"/>
      <c r="R34" s="543"/>
      <c r="S34" s="524"/>
      <c r="T34" s="524"/>
      <c r="U34" s="477"/>
      <c r="V34" s="477"/>
      <c r="W34" s="477"/>
      <c r="X34" s="477"/>
      <c r="Y34" s="477"/>
      <c r="Z34" s="477"/>
      <c r="AA34" s="477"/>
      <c r="AB34" s="477"/>
      <c r="AC34" s="47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</row>
    <row r="35" spans="1:48">
      <c r="A35" s="574" t="s">
        <v>951</v>
      </c>
      <c r="B35" s="439" t="s">
        <v>17</v>
      </c>
      <c r="C35" s="439" t="s">
        <v>952</v>
      </c>
      <c r="D35" s="439" t="s">
        <v>906</v>
      </c>
      <c r="E35" s="526">
        <v>0</v>
      </c>
      <c r="F35" s="505">
        <f>88442/4</f>
        <v>22110.5</v>
      </c>
      <c r="G35" s="505">
        <f>88442/4</f>
        <v>22110.5</v>
      </c>
      <c r="H35" s="505">
        <f>88442/4</f>
        <v>22110.5</v>
      </c>
      <c r="I35" s="505">
        <f>88442/4</f>
        <v>22110.5</v>
      </c>
      <c r="J35" s="505">
        <f>180000/4</f>
        <v>45000</v>
      </c>
      <c r="K35" s="505">
        <f>180000/4</f>
        <v>45000</v>
      </c>
      <c r="L35" s="505">
        <f>180000/4</f>
        <v>45000</v>
      </c>
      <c r="M35" s="505">
        <f>180000/4</f>
        <v>45000</v>
      </c>
      <c r="N35" s="486">
        <v>180000</v>
      </c>
      <c r="O35" s="486">
        <v>180000</v>
      </c>
      <c r="P35" s="486">
        <v>180000</v>
      </c>
      <c r="Q35" s="486">
        <v>180000</v>
      </c>
      <c r="R35" s="504" t="s">
        <v>907</v>
      </c>
      <c r="S35" s="486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</row>
    <row r="36" spans="1:48">
      <c r="A36" s="574" t="s">
        <v>953</v>
      </c>
      <c r="B36" s="439" t="s">
        <v>17</v>
      </c>
      <c r="C36" s="439" t="s">
        <v>952</v>
      </c>
      <c r="D36" s="439" t="s">
        <v>913</v>
      </c>
      <c r="E36" s="526">
        <v>667500</v>
      </c>
      <c r="F36" s="505">
        <f>91819/4</f>
        <v>22954.75</v>
      </c>
      <c r="G36" s="505">
        <f>91819/4</f>
        <v>22954.75</v>
      </c>
      <c r="H36" s="505">
        <f>91819/4</f>
        <v>22954.75</v>
      </c>
      <c r="I36" s="505">
        <f>91819/4</f>
        <v>22954.75</v>
      </c>
      <c r="J36" s="505">
        <f>240000/4</f>
        <v>60000</v>
      </c>
      <c r="K36" s="505">
        <f>240000/4</f>
        <v>60000</v>
      </c>
      <c r="L36" s="505">
        <f>240000/4</f>
        <v>60000</v>
      </c>
      <c r="M36" s="505">
        <f>240000/4</f>
        <v>60000</v>
      </c>
      <c r="N36" s="486">
        <v>240000</v>
      </c>
      <c r="O36" s="486">
        <v>240000</v>
      </c>
      <c r="P36" s="486">
        <v>240000</v>
      </c>
      <c r="Q36" s="486">
        <v>240000</v>
      </c>
      <c r="R36" s="486"/>
      <c r="S36" s="486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</row>
    <row r="37" spans="1:48">
      <c r="A37" s="574" t="s">
        <v>954</v>
      </c>
      <c r="B37" s="439" t="s">
        <v>17</v>
      </c>
      <c r="C37" s="439" t="s">
        <v>952</v>
      </c>
      <c r="D37" s="439" t="s">
        <v>916</v>
      </c>
      <c r="E37" s="526">
        <v>0</v>
      </c>
      <c r="F37" s="505">
        <f>200000/4*0</f>
        <v>0</v>
      </c>
      <c r="G37" s="505">
        <f>200000/4*0</f>
        <v>0</v>
      </c>
      <c r="H37" s="505">
        <f>200000/4*0</f>
        <v>0</v>
      </c>
      <c r="I37" s="505">
        <f>200000/4*0</f>
        <v>0</v>
      </c>
      <c r="J37" s="505">
        <f>200000/4</f>
        <v>50000</v>
      </c>
      <c r="K37" s="505">
        <f>400000/4</f>
        <v>100000</v>
      </c>
      <c r="L37" s="505">
        <f>200000/4</f>
        <v>50000</v>
      </c>
      <c r="M37" s="505">
        <f>200000/4</f>
        <v>50000</v>
      </c>
      <c r="N37" s="486">
        <v>200000</v>
      </c>
      <c r="O37" s="486">
        <v>200000</v>
      </c>
      <c r="P37" s="486">
        <v>200000</v>
      </c>
      <c r="Q37" s="486">
        <v>200000</v>
      </c>
      <c r="R37" s="486"/>
      <c r="S37" s="486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</row>
    <row r="38" spans="1:48">
      <c r="A38" s="574" t="s">
        <v>955</v>
      </c>
      <c r="B38" s="439" t="s">
        <v>17</v>
      </c>
      <c r="C38" s="439" t="s">
        <v>952</v>
      </c>
      <c r="D38" s="439" t="s">
        <v>479</v>
      </c>
      <c r="E38" s="526">
        <v>0</v>
      </c>
      <c r="F38" s="505">
        <v>0</v>
      </c>
      <c r="G38" s="505">
        <v>0</v>
      </c>
      <c r="H38" s="505">
        <v>0</v>
      </c>
      <c r="I38" s="505">
        <v>0</v>
      </c>
      <c r="J38" s="505">
        <v>0</v>
      </c>
      <c r="K38" s="505">
        <f>180000/4</f>
        <v>45000</v>
      </c>
      <c r="L38" s="505">
        <f>180000/4</f>
        <v>45000</v>
      </c>
      <c r="M38" s="505">
        <f>+L38</f>
        <v>45000</v>
      </c>
      <c r="N38" s="486">
        <v>180000</v>
      </c>
      <c r="O38" s="486">
        <v>180000</v>
      </c>
      <c r="P38" s="486">
        <v>180000</v>
      </c>
      <c r="Q38" s="486">
        <v>180000</v>
      </c>
      <c r="R38" s="486"/>
      <c r="S38" s="486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</row>
    <row r="39" spans="1:48">
      <c r="A39" s="574" t="s">
        <v>956</v>
      </c>
      <c r="B39" s="439" t="s">
        <v>17</v>
      </c>
      <c r="C39" s="439" t="s">
        <v>957</v>
      </c>
      <c r="D39" s="439" t="s">
        <v>479</v>
      </c>
      <c r="E39" s="526">
        <v>0</v>
      </c>
      <c r="F39" s="505">
        <v>0</v>
      </c>
      <c r="G39" s="505">
        <v>0</v>
      </c>
      <c r="H39" s="505">
        <v>0</v>
      </c>
      <c r="I39" s="505">
        <v>0</v>
      </c>
      <c r="J39" s="505">
        <v>0</v>
      </c>
      <c r="K39" s="505">
        <v>0</v>
      </c>
      <c r="L39" s="505">
        <v>0</v>
      </c>
      <c r="M39" s="505">
        <v>0</v>
      </c>
      <c r="N39" s="486">
        <v>0</v>
      </c>
      <c r="O39" s="486">
        <v>0</v>
      </c>
      <c r="P39" s="486">
        <v>200000</v>
      </c>
      <c r="Q39" s="486">
        <v>206000</v>
      </c>
      <c r="R39" s="486"/>
      <c r="S39" s="486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</row>
    <row r="40" spans="1:48">
      <c r="A40" s="574" t="s">
        <v>958</v>
      </c>
      <c r="B40" s="439" t="s">
        <v>17</v>
      </c>
      <c r="C40" s="439" t="s">
        <v>952</v>
      </c>
      <c r="D40" s="439" t="s">
        <v>928</v>
      </c>
      <c r="E40" s="526">
        <v>0</v>
      </c>
      <c r="F40" s="505"/>
      <c r="G40" s="505">
        <f>108000/4*0</f>
        <v>0</v>
      </c>
      <c r="H40" s="505">
        <f>108000/4*0</f>
        <v>0</v>
      </c>
      <c r="I40" s="505">
        <f>108000/4*0</f>
        <v>0</v>
      </c>
      <c r="J40" s="505">
        <f>108000/4</f>
        <v>27000</v>
      </c>
      <c r="K40" s="505">
        <f>+J40</f>
        <v>27000</v>
      </c>
      <c r="L40" s="505">
        <f>+K40</f>
        <v>27000</v>
      </c>
      <c r="M40" s="505">
        <f>+L40</f>
        <v>27000</v>
      </c>
      <c r="N40" s="486">
        <v>108000</v>
      </c>
      <c r="O40" s="486">
        <v>108000</v>
      </c>
      <c r="P40" s="486">
        <v>108000</v>
      </c>
      <c r="Q40" s="486">
        <v>108000</v>
      </c>
      <c r="R40" s="486"/>
      <c r="S40" s="486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</row>
    <row r="41" spans="1:48" s="417" customFormat="1">
      <c r="A41" s="574" t="s">
        <v>959</v>
      </c>
      <c r="B41" s="527" t="s">
        <v>17</v>
      </c>
      <c r="C41" s="525" t="s">
        <v>957</v>
      </c>
      <c r="D41" s="527" t="s">
        <v>928</v>
      </c>
      <c r="E41" s="526">
        <v>0</v>
      </c>
      <c r="F41" s="505">
        <v>0</v>
      </c>
      <c r="G41" s="505">
        <v>0</v>
      </c>
      <c r="H41" s="505">
        <v>50400</v>
      </c>
      <c r="I41" s="505">
        <v>12500</v>
      </c>
      <c r="J41" s="505">
        <v>12500</v>
      </c>
      <c r="K41" s="505">
        <v>12500</v>
      </c>
      <c r="L41" s="505">
        <v>12500</v>
      </c>
      <c r="M41" s="505"/>
      <c r="N41" s="486"/>
      <c r="O41" s="486"/>
      <c r="P41" s="486"/>
      <c r="Q41" s="486"/>
      <c r="R41" s="486"/>
      <c r="S41" s="486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</row>
    <row r="42" spans="1:48" s="417" customFormat="1">
      <c r="A42" s="574" t="s">
        <v>960</v>
      </c>
      <c r="B42" s="527" t="s">
        <v>17</v>
      </c>
      <c r="C42" s="525" t="s">
        <v>957</v>
      </c>
      <c r="D42" s="527" t="s">
        <v>906</v>
      </c>
      <c r="E42" s="486"/>
      <c r="F42" s="505">
        <v>57077.25</v>
      </c>
      <c r="G42" s="505">
        <v>57077.25</v>
      </c>
      <c r="H42" s="505">
        <v>57077.25</v>
      </c>
      <c r="I42" s="505">
        <v>57077.25</v>
      </c>
      <c r="J42" s="505">
        <v>72879</v>
      </c>
      <c r="K42" s="505">
        <v>72879</v>
      </c>
      <c r="L42" s="505">
        <v>72879</v>
      </c>
      <c r="M42" s="505">
        <v>72879</v>
      </c>
      <c r="N42" s="486">
        <v>300261.48</v>
      </c>
      <c r="O42" s="486">
        <v>309269.32439999998</v>
      </c>
      <c r="P42" s="486">
        <v>318547.404132</v>
      </c>
      <c r="Q42" s="486">
        <v>328103.82625595998</v>
      </c>
      <c r="R42" s="486"/>
      <c r="S42" s="486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</row>
    <row r="43" spans="1:48" s="417" customFormat="1">
      <c r="A43" s="574" t="s">
        <v>961</v>
      </c>
      <c r="B43" s="527" t="s">
        <v>17</v>
      </c>
      <c r="C43" s="525" t="s">
        <v>957</v>
      </c>
      <c r="D43" s="527" t="s">
        <v>913</v>
      </c>
      <c r="E43" s="486"/>
      <c r="F43" s="505">
        <v>49547.75</v>
      </c>
      <c r="G43" s="505">
        <v>49547.75</v>
      </c>
      <c r="H43" s="505">
        <v>49547.75</v>
      </c>
      <c r="I43" s="505">
        <v>49547.75</v>
      </c>
      <c r="J43" s="505">
        <v>63543</v>
      </c>
      <c r="K43" s="505">
        <v>63543</v>
      </c>
      <c r="L43" s="505">
        <v>63543</v>
      </c>
      <c r="M43" s="505">
        <v>63543</v>
      </c>
      <c r="N43" s="486">
        <v>261797.16</v>
      </c>
      <c r="O43" s="486">
        <v>269651.0748</v>
      </c>
      <c r="P43" s="486">
        <v>277740.607044</v>
      </c>
      <c r="Q43" s="486">
        <v>286072.82525532</v>
      </c>
      <c r="R43" s="486"/>
      <c r="S43" s="486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</row>
    <row r="44" spans="1:48" s="30" customFormat="1">
      <c r="A44" s="574" t="s">
        <v>1127</v>
      </c>
      <c r="B44" s="527"/>
      <c r="C44" s="525"/>
      <c r="D44" s="527"/>
      <c r="E44" s="486"/>
      <c r="F44" s="505"/>
      <c r="G44" s="505"/>
      <c r="H44" s="505"/>
      <c r="I44" s="505"/>
      <c r="J44" s="505"/>
      <c r="K44" s="505"/>
      <c r="L44" s="505"/>
      <c r="M44" s="505"/>
      <c r="N44" s="486"/>
      <c r="O44" s="486"/>
      <c r="P44" s="486"/>
      <c r="Q44" s="486"/>
      <c r="R44" s="486"/>
      <c r="S44" s="486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</row>
    <row r="45" spans="1:48">
      <c r="A45" s="574" t="s">
        <v>151</v>
      </c>
      <c r="B45" s="439" t="s">
        <v>17</v>
      </c>
      <c r="C45" s="439" t="s">
        <v>934</v>
      </c>
      <c r="D45" s="439" t="s">
        <v>935</v>
      </c>
      <c r="E45" s="486"/>
      <c r="F45" s="505"/>
      <c r="G45" s="505"/>
      <c r="H45" s="505"/>
      <c r="I45" s="505"/>
      <c r="J45" s="505"/>
      <c r="K45" s="505"/>
      <c r="L45" s="505"/>
      <c r="M45" s="505"/>
      <c r="N45" s="486">
        <f>240000*0.5</f>
        <v>120000</v>
      </c>
      <c r="O45" s="486">
        <f>240000*0.75</f>
        <v>180000</v>
      </c>
      <c r="P45" s="486">
        <v>240000</v>
      </c>
      <c r="Q45" s="486">
        <v>240000</v>
      </c>
      <c r="R45" s="486"/>
      <c r="S45" s="486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</row>
    <row r="46" spans="1:48" s="30" customFormat="1">
      <c r="A46" s="552" t="s">
        <v>962</v>
      </c>
      <c r="B46" s="527" t="s">
        <v>805</v>
      </c>
      <c r="C46" s="525" t="s">
        <v>963</v>
      </c>
      <c r="D46" s="428"/>
      <c r="E46" s="543">
        <f t="shared" ref="E46:Q46" si="4">SUM(E35:E45)</f>
        <v>667500</v>
      </c>
      <c r="F46" s="553">
        <f t="shared" si="4"/>
        <v>151690.25</v>
      </c>
      <c r="G46" s="553">
        <f t="shared" si="4"/>
        <v>151690.25</v>
      </c>
      <c r="H46" s="553">
        <f t="shared" si="4"/>
        <v>202090.25</v>
      </c>
      <c r="I46" s="553">
        <f t="shared" si="4"/>
        <v>164190.25</v>
      </c>
      <c r="J46" s="553">
        <f t="shared" si="4"/>
        <v>330922</v>
      </c>
      <c r="K46" s="553">
        <f t="shared" si="4"/>
        <v>425922</v>
      </c>
      <c r="L46" s="553">
        <f t="shared" si="4"/>
        <v>375922</v>
      </c>
      <c r="M46" s="553">
        <f t="shared" si="4"/>
        <v>363422</v>
      </c>
      <c r="N46" s="543">
        <f t="shared" si="4"/>
        <v>1590058.64</v>
      </c>
      <c r="O46" s="543">
        <f t="shared" si="4"/>
        <v>1666920.3992000001</v>
      </c>
      <c r="P46" s="543">
        <f t="shared" si="4"/>
        <v>1944288.0111759999</v>
      </c>
      <c r="Q46" s="543">
        <f t="shared" si="4"/>
        <v>1968176.6515112799</v>
      </c>
      <c r="R46" s="543"/>
      <c r="S46" s="427"/>
      <c r="T46" s="427"/>
      <c r="U46" s="427"/>
      <c r="V46" s="427"/>
      <c r="W46" s="427"/>
      <c r="X46" s="427"/>
      <c r="Y46" s="427"/>
      <c r="Z46" s="486"/>
      <c r="AA46" s="486"/>
      <c r="AB46" s="486"/>
      <c r="AC46" s="486"/>
      <c r="AD46" s="486"/>
      <c r="AE46" s="486"/>
      <c r="AF46" s="486"/>
      <c r="AG46" s="427"/>
      <c r="AH46" s="486"/>
      <c r="AI46" s="486"/>
      <c r="AJ46" s="486"/>
      <c r="AK46" s="486"/>
      <c r="AL46" s="486"/>
      <c r="AM46" s="486"/>
      <c r="AN46" s="486"/>
      <c r="AO46" s="427"/>
      <c r="AP46" s="427"/>
      <c r="AQ46" s="427"/>
      <c r="AR46" s="427"/>
      <c r="AS46" s="427"/>
      <c r="AT46" s="427"/>
      <c r="AU46" s="427"/>
      <c r="AV46" s="427"/>
    </row>
    <row r="47" spans="1:48" ht="15" customHeight="1">
      <c r="A47" s="427"/>
      <c r="B47" s="427"/>
      <c r="C47" s="427"/>
      <c r="D47" s="427"/>
      <c r="E47" s="543"/>
      <c r="F47" s="543"/>
      <c r="G47" s="543"/>
      <c r="H47" s="543"/>
      <c r="I47" s="543"/>
      <c r="J47" s="543"/>
      <c r="K47" s="543"/>
      <c r="L47" s="543"/>
      <c r="M47" s="543"/>
      <c r="N47" s="543"/>
      <c r="O47" s="543"/>
      <c r="P47" s="543"/>
      <c r="Q47" s="543"/>
      <c r="R47" s="543"/>
      <c r="S47" s="524"/>
      <c r="T47" s="524"/>
      <c r="U47" s="427"/>
      <c r="V47" s="427"/>
      <c r="W47" s="427"/>
      <c r="X47" s="477"/>
      <c r="Y47" s="477"/>
      <c r="Z47" s="477"/>
      <c r="AA47" s="477"/>
      <c r="AB47" s="477"/>
      <c r="AC47" s="47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</row>
    <row r="48" spans="1:48">
      <c r="A48" s="575" t="s">
        <v>939</v>
      </c>
      <c r="B48" s="439" t="s">
        <v>17</v>
      </c>
      <c r="C48" s="673"/>
      <c r="D48" s="427"/>
      <c r="E48" s="543"/>
      <c r="F48" s="544">
        <f>-F36</f>
        <v>-22954.75</v>
      </c>
      <c r="G48" s="544">
        <f>-G36</f>
        <v>-22954.75</v>
      </c>
      <c r="H48" s="544">
        <f>-H36</f>
        <v>-22954.75</v>
      </c>
      <c r="I48" s="544">
        <f>-I36</f>
        <v>-22954.75</v>
      </c>
      <c r="J48" s="544">
        <v>-194500</v>
      </c>
      <c r="K48" s="544"/>
      <c r="L48" s="544"/>
      <c r="M48" s="544"/>
      <c r="N48" s="543"/>
      <c r="O48" s="543"/>
      <c r="P48" s="543"/>
      <c r="Q48" s="543">
        <v>0</v>
      </c>
      <c r="R48" s="525" t="s">
        <v>907</v>
      </c>
      <c r="S48" s="524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576"/>
      <c r="AE48" s="576"/>
      <c r="AF48" s="576"/>
      <c r="AG48" s="576"/>
      <c r="AH48" s="577"/>
      <c r="AI48" s="670"/>
      <c r="AJ48" s="671"/>
      <c r="AK48" s="671"/>
      <c r="AL48" s="671"/>
      <c r="AM48" s="671"/>
      <c r="AN48" s="671"/>
      <c r="AO48" s="427"/>
      <c r="AP48" s="670"/>
      <c r="AQ48" s="671"/>
      <c r="AR48" s="671"/>
      <c r="AS48" s="671"/>
      <c r="AT48" s="671"/>
      <c r="AU48" s="671"/>
      <c r="AV48" s="671"/>
    </row>
    <row r="49" spans="1:48" ht="15" customHeight="1">
      <c r="A49" s="575" t="s">
        <v>965</v>
      </c>
      <c r="B49" s="439" t="s">
        <v>17</v>
      </c>
      <c r="C49" s="439" t="s">
        <v>966</v>
      </c>
      <c r="D49" s="427"/>
      <c r="E49" s="543"/>
      <c r="F49" s="544"/>
      <c r="G49" s="544"/>
      <c r="H49" s="544"/>
      <c r="I49" s="544"/>
      <c r="J49" s="544"/>
      <c r="K49" s="544"/>
      <c r="L49" s="544">
        <v>91819</v>
      </c>
      <c r="M49" s="544">
        <v>194500</v>
      </c>
      <c r="N49" s="543">
        <f>-M48</f>
        <v>0</v>
      </c>
      <c r="O49" s="543">
        <f>-N48</f>
        <v>0</v>
      </c>
      <c r="P49" s="543">
        <f>-O48</f>
        <v>0</v>
      </c>
      <c r="Q49" s="543">
        <f>-P48</f>
        <v>0</v>
      </c>
      <c r="R49" s="429"/>
      <c r="S49" s="524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576"/>
      <c r="AE49" s="576"/>
      <c r="AF49" s="576"/>
      <c r="AG49" s="576"/>
      <c r="AH49" s="577"/>
      <c r="AI49" s="451"/>
      <c r="AJ49" s="451"/>
      <c r="AK49" s="451"/>
      <c r="AL49" s="451"/>
      <c r="AM49" s="451"/>
      <c r="AN49" s="451"/>
      <c r="AO49" s="427"/>
      <c r="AP49" s="451"/>
      <c r="AQ49" s="451"/>
      <c r="AR49" s="451"/>
      <c r="AS49" s="451"/>
      <c r="AT49" s="451"/>
      <c r="AU49" s="451"/>
      <c r="AV49" s="451"/>
    </row>
    <row r="50" spans="1:48">
      <c r="A50" s="541" t="s">
        <v>967</v>
      </c>
      <c r="B50" s="439" t="s">
        <v>805</v>
      </c>
      <c r="C50" s="439" t="s">
        <v>968</v>
      </c>
      <c r="D50" s="427"/>
      <c r="E50" s="543"/>
      <c r="F50" s="553">
        <f t="shared" ref="F50:Q50" si="5">+F48+E50+F49</f>
        <v>-22954.75</v>
      </c>
      <c r="G50" s="553">
        <f t="shared" si="5"/>
        <v>-45909.5</v>
      </c>
      <c r="H50" s="553">
        <f t="shared" si="5"/>
        <v>-68864.25</v>
      </c>
      <c r="I50" s="553">
        <f t="shared" si="5"/>
        <v>-91819</v>
      </c>
      <c r="J50" s="553">
        <f t="shared" si="5"/>
        <v>-286319</v>
      </c>
      <c r="K50" s="553">
        <f t="shared" si="5"/>
        <v>-286319</v>
      </c>
      <c r="L50" s="553">
        <f t="shared" si="5"/>
        <v>-194500</v>
      </c>
      <c r="M50" s="553">
        <f t="shared" si="5"/>
        <v>0</v>
      </c>
      <c r="N50" s="543">
        <f t="shared" si="5"/>
        <v>0</v>
      </c>
      <c r="O50" s="543">
        <f t="shared" si="5"/>
        <v>0</v>
      </c>
      <c r="P50" s="543">
        <f t="shared" si="5"/>
        <v>0</v>
      </c>
      <c r="Q50" s="543">
        <f t="shared" si="5"/>
        <v>0</v>
      </c>
      <c r="R50" s="543"/>
      <c r="S50" s="524"/>
      <c r="T50" s="524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</row>
    <row r="51" spans="1:48">
      <c r="A51" s="427"/>
      <c r="B51" s="427"/>
      <c r="C51" s="427"/>
      <c r="D51" s="427"/>
      <c r="E51" s="543"/>
      <c r="F51" s="543"/>
      <c r="G51" s="543"/>
      <c r="H51" s="543"/>
      <c r="I51" s="543"/>
      <c r="J51" s="543"/>
      <c r="K51" s="543"/>
      <c r="L51" s="543"/>
      <c r="M51" s="543"/>
      <c r="N51" s="543"/>
      <c r="O51" s="543"/>
      <c r="P51" s="543"/>
      <c r="Q51" s="543"/>
      <c r="R51" s="543"/>
      <c r="S51" s="524"/>
      <c r="T51" s="524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</row>
    <row r="52" spans="1:48" s="30" customFormat="1">
      <c r="A52" s="541" t="s">
        <v>969</v>
      </c>
      <c r="B52" s="527" t="s">
        <v>805</v>
      </c>
      <c r="C52" s="525" t="s">
        <v>970</v>
      </c>
      <c r="D52" s="428"/>
      <c r="E52" s="578">
        <f t="shared" ref="E52:Q52" si="6">+E46+E48</f>
        <v>667500</v>
      </c>
      <c r="F52" s="562">
        <f t="shared" si="6"/>
        <v>128735.5</v>
      </c>
      <c r="G52" s="558">
        <f t="shared" si="6"/>
        <v>128735.5</v>
      </c>
      <c r="H52" s="558">
        <f t="shared" si="6"/>
        <v>179135.5</v>
      </c>
      <c r="I52" s="558">
        <f t="shared" si="6"/>
        <v>141235.5</v>
      </c>
      <c r="J52" s="558">
        <f t="shared" si="6"/>
        <v>136422</v>
      </c>
      <c r="K52" s="558">
        <f t="shared" si="6"/>
        <v>425922</v>
      </c>
      <c r="L52" s="558">
        <f t="shared" si="6"/>
        <v>375922</v>
      </c>
      <c r="M52" s="558">
        <f t="shared" si="6"/>
        <v>363422</v>
      </c>
      <c r="N52" s="477">
        <f t="shared" si="6"/>
        <v>1590058.64</v>
      </c>
      <c r="O52" s="477">
        <f t="shared" si="6"/>
        <v>1666920.3992000001</v>
      </c>
      <c r="P52" s="486">
        <f t="shared" si="6"/>
        <v>1944288.0111759999</v>
      </c>
      <c r="Q52" s="486">
        <f t="shared" si="6"/>
        <v>1968176.6515112799</v>
      </c>
      <c r="R52" s="543"/>
      <c r="S52" s="427"/>
      <c r="T52" s="427"/>
      <c r="U52" s="427"/>
      <c r="V52" s="427"/>
      <c r="W52" s="427"/>
      <c r="X52" s="427"/>
      <c r="Y52" s="427"/>
      <c r="Z52" s="486"/>
      <c r="AA52" s="486"/>
      <c r="AB52" s="486"/>
      <c r="AC52" s="486"/>
      <c r="AD52" s="486"/>
      <c r="AE52" s="486"/>
      <c r="AF52" s="486"/>
      <c r="AG52" s="427"/>
      <c r="AH52" s="486"/>
      <c r="AI52" s="486"/>
      <c r="AJ52" s="486"/>
      <c r="AK52" s="486"/>
      <c r="AL52" s="486"/>
      <c r="AM52" s="486"/>
      <c r="AN52" s="486"/>
      <c r="AO52" s="427"/>
      <c r="AP52" s="427"/>
      <c r="AQ52" s="427"/>
      <c r="AR52" s="427"/>
      <c r="AS52" s="427"/>
      <c r="AT52" s="427"/>
      <c r="AU52" s="427"/>
      <c r="AV52" s="427"/>
    </row>
    <row r="53" spans="1:48" s="30" customFormat="1">
      <c r="A53" s="541" t="s">
        <v>971</v>
      </c>
      <c r="B53" s="527" t="s">
        <v>805</v>
      </c>
      <c r="C53" s="525" t="s">
        <v>972</v>
      </c>
      <c r="D53" s="428"/>
      <c r="E53" s="557">
        <f t="shared" ref="E53:Q53" si="7">+E49+E52</f>
        <v>667500</v>
      </c>
      <c r="F53" s="558">
        <f t="shared" si="7"/>
        <v>128735.5</v>
      </c>
      <c r="G53" s="558">
        <f t="shared" si="7"/>
        <v>128735.5</v>
      </c>
      <c r="H53" s="558">
        <f t="shared" si="7"/>
        <v>179135.5</v>
      </c>
      <c r="I53" s="558">
        <f t="shared" si="7"/>
        <v>141235.5</v>
      </c>
      <c r="J53" s="558">
        <f t="shared" si="7"/>
        <v>136422</v>
      </c>
      <c r="K53" s="558">
        <f t="shared" si="7"/>
        <v>425922</v>
      </c>
      <c r="L53" s="558">
        <f t="shared" si="7"/>
        <v>467741</v>
      </c>
      <c r="M53" s="558">
        <f t="shared" si="7"/>
        <v>557922</v>
      </c>
      <c r="N53" s="486">
        <f t="shared" si="7"/>
        <v>1590058.64</v>
      </c>
      <c r="O53" s="486">
        <f t="shared" si="7"/>
        <v>1666920.3992000001</v>
      </c>
      <c r="P53" s="486">
        <f t="shared" si="7"/>
        <v>1944288.0111759999</v>
      </c>
      <c r="Q53" s="486">
        <f t="shared" si="7"/>
        <v>1968176.6515112799</v>
      </c>
      <c r="R53" s="543"/>
      <c r="S53" s="427"/>
      <c r="T53" s="427"/>
      <c r="U53" s="427"/>
      <c r="V53" s="427"/>
      <c r="W53" s="427"/>
      <c r="X53" s="427"/>
      <c r="Y53" s="427"/>
      <c r="Z53" s="486"/>
      <c r="AA53" s="486"/>
      <c r="AB53" s="486"/>
      <c r="AC53" s="486"/>
      <c r="AD53" s="486"/>
      <c r="AE53" s="486"/>
      <c r="AF53" s="486"/>
      <c r="AG53" s="427"/>
      <c r="AH53" s="486"/>
      <c r="AI53" s="486"/>
      <c r="AJ53" s="486"/>
      <c r="AK53" s="486"/>
      <c r="AL53" s="486"/>
      <c r="AM53" s="486"/>
      <c r="AN53" s="486"/>
      <c r="AO53" s="427"/>
      <c r="AP53" s="427"/>
      <c r="AQ53" s="427"/>
      <c r="AR53" s="427"/>
      <c r="AS53" s="427"/>
      <c r="AT53" s="427"/>
      <c r="AU53" s="427"/>
      <c r="AV53" s="427"/>
    </row>
    <row r="54" spans="1:48">
      <c r="A54" s="427"/>
      <c r="B54" s="427"/>
      <c r="C54" s="427"/>
      <c r="D54" s="427"/>
      <c r="E54" s="543"/>
      <c r="F54" s="543"/>
      <c r="G54" s="543"/>
      <c r="H54" s="543"/>
      <c r="I54" s="543"/>
      <c r="J54" s="543"/>
      <c r="K54" s="543"/>
      <c r="L54" s="543"/>
      <c r="M54" s="543"/>
      <c r="N54" s="543"/>
      <c r="O54" s="543"/>
      <c r="P54" s="543"/>
      <c r="Q54" s="543"/>
      <c r="R54" s="427"/>
      <c r="S54" s="524"/>
      <c r="T54" s="524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</row>
    <row r="55" spans="1:48">
      <c r="A55" s="541" t="s">
        <v>973</v>
      </c>
      <c r="B55" s="427"/>
      <c r="C55" s="439"/>
      <c r="D55" s="427"/>
      <c r="E55" s="543"/>
      <c r="F55" s="543"/>
      <c r="G55" s="543"/>
      <c r="H55" s="543"/>
      <c r="I55" s="543"/>
      <c r="J55" s="543"/>
      <c r="K55" s="543"/>
      <c r="L55" s="543"/>
      <c r="M55" s="543"/>
      <c r="N55" s="543"/>
      <c r="O55" s="543"/>
      <c r="P55" s="543"/>
      <c r="Q55" s="543"/>
      <c r="R55" s="427"/>
      <c r="S55" s="524"/>
      <c r="T55" s="524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</row>
    <row r="56" spans="1:48">
      <c r="A56" s="541" t="s">
        <v>975</v>
      </c>
      <c r="B56" s="439" t="s">
        <v>805</v>
      </c>
      <c r="C56" s="439" t="s">
        <v>976</v>
      </c>
      <c r="D56" s="427"/>
      <c r="E56" s="563">
        <f>1/(1-'c12_inputs'!$E$7)</f>
        <v>1.0526315789473684</v>
      </c>
      <c r="F56" s="564">
        <f>1/(1-'c12_inputs'!$E$7)</f>
        <v>1.0526315789473684</v>
      </c>
      <c r="G56" s="564">
        <f>1/(1-'c12_inputs'!$E$7)</f>
        <v>1.0526315789473684</v>
      </c>
      <c r="H56" s="564">
        <f>1/(1-'c12_inputs'!$E$7)</f>
        <v>1.0526315789473684</v>
      </c>
      <c r="I56" s="564">
        <f>1/(1-'c12_inputs'!$E$7)</f>
        <v>1.0526315789473684</v>
      </c>
      <c r="J56" s="564">
        <f>1/(1-'c12_inputs'!$E$7)</f>
        <v>1.0526315789473684</v>
      </c>
      <c r="K56" s="564">
        <f>1/(1-'c12_inputs'!$E$7)</f>
        <v>1.0526315789473684</v>
      </c>
      <c r="L56" s="564">
        <f>1/(1-'c12_inputs'!$E$7)</f>
        <v>1.0526315789473684</v>
      </c>
      <c r="M56" s="564">
        <f>1/(1-'c12_inputs'!$E$7)</f>
        <v>1.0526315789473684</v>
      </c>
      <c r="N56" s="563">
        <f>1/(1-'c12_inputs'!$E$7)</f>
        <v>1.0526315789473684</v>
      </c>
      <c r="O56" s="563">
        <f>1/(1-'c12_inputs'!$E$7)</f>
        <v>1.0526315789473684</v>
      </c>
      <c r="P56" s="563">
        <f>1/(1-'c12_inputs'!$E$7)</f>
        <v>1.0526315789473684</v>
      </c>
      <c r="Q56" s="563">
        <f>1/(1-'c12_inputs'!$E$7)</f>
        <v>1.0526315789473684</v>
      </c>
      <c r="R56" s="543"/>
      <c r="S56" s="524"/>
      <c r="T56" s="524"/>
      <c r="U56" s="427"/>
      <c r="V56" s="427"/>
      <c r="W56" s="427"/>
      <c r="X56" s="477"/>
      <c r="Y56" s="477"/>
      <c r="Z56" s="477"/>
      <c r="AA56" s="477"/>
      <c r="AB56" s="477"/>
      <c r="AC56" s="47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</row>
    <row r="57" spans="1:48">
      <c r="A57" s="541" t="s">
        <v>977</v>
      </c>
      <c r="B57" s="439" t="s">
        <v>805</v>
      </c>
      <c r="C57" s="439" t="s">
        <v>978</v>
      </c>
      <c r="D57" s="427"/>
      <c r="E57" s="486">
        <f t="shared" ref="E57:Q57" si="8">E78</f>
        <v>0</v>
      </c>
      <c r="F57" s="565">
        <f t="shared" si="8"/>
        <v>84959.999999999985</v>
      </c>
      <c r="G57" s="565">
        <f t="shared" si="8"/>
        <v>84959.999999999985</v>
      </c>
      <c r="H57" s="565">
        <f t="shared" si="8"/>
        <v>84959.999999999985</v>
      </c>
      <c r="I57" s="565">
        <f t="shared" si="8"/>
        <v>123922.5</v>
      </c>
      <c r="J57" s="565">
        <f t="shared" si="8"/>
        <v>85679.999999999985</v>
      </c>
      <c r="K57" s="565">
        <f t="shared" si="8"/>
        <v>85679.999999999985</v>
      </c>
      <c r="L57" s="565">
        <f t="shared" si="8"/>
        <v>85679.999999999985</v>
      </c>
      <c r="M57" s="565">
        <f t="shared" si="8"/>
        <v>116849.99999999997</v>
      </c>
      <c r="N57" s="486">
        <f t="shared" si="8"/>
        <v>373889.99999999994</v>
      </c>
      <c r="O57" s="486">
        <f t="shared" si="8"/>
        <v>373889.99999999994</v>
      </c>
      <c r="P57" s="486">
        <f t="shared" si="8"/>
        <v>373889.99999999994</v>
      </c>
      <c r="Q57" s="486">
        <f t="shared" si="8"/>
        <v>373889.99999999994</v>
      </c>
      <c r="R57" s="543"/>
      <c r="S57" s="524"/>
      <c r="T57" s="524"/>
      <c r="U57" s="427"/>
      <c r="V57" s="427"/>
      <c r="W57" s="427"/>
      <c r="X57" s="477"/>
      <c r="Y57" s="477"/>
      <c r="Z57" s="477"/>
      <c r="AA57" s="477"/>
      <c r="AB57" s="477"/>
      <c r="AC57" s="47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</row>
    <row r="58" spans="1:48" s="30" customFormat="1">
      <c r="A58" s="552" t="s">
        <v>979</v>
      </c>
      <c r="B58" s="527" t="s">
        <v>805</v>
      </c>
      <c r="C58" s="525" t="s">
        <v>980</v>
      </c>
      <c r="D58" s="428"/>
      <c r="E58" s="543">
        <f t="shared" ref="E58:Q58" si="9">E57*E56</f>
        <v>0</v>
      </c>
      <c r="F58" s="553">
        <f t="shared" si="9"/>
        <v>89431.578947368398</v>
      </c>
      <c r="G58" s="553">
        <f t="shared" si="9"/>
        <v>89431.578947368398</v>
      </c>
      <c r="H58" s="553">
        <f t="shared" si="9"/>
        <v>89431.578947368398</v>
      </c>
      <c r="I58" s="553">
        <f t="shared" si="9"/>
        <v>130444.73684210525</v>
      </c>
      <c r="J58" s="553">
        <f t="shared" si="9"/>
        <v>90189.473684210505</v>
      </c>
      <c r="K58" s="553">
        <f t="shared" si="9"/>
        <v>90189.473684210505</v>
      </c>
      <c r="L58" s="553">
        <f t="shared" si="9"/>
        <v>90189.473684210505</v>
      </c>
      <c r="M58" s="553">
        <f t="shared" si="9"/>
        <v>122999.99999999996</v>
      </c>
      <c r="N58" s="543">
        <f t="shared" si="9"/>
        <v>393568.42105263151</v>
      </c>
      <c r="O58" s="543">
        <f t="shared" si="9"/>
        <v>393568.42105263151</v>
      </c>
      <c r="P58" s="543">
        <f t="shared" si="9"/>
        <v>393568.42105263151</v>
      </c>
      <c r="Q58" s="543">
        <f t="shared" si="9"/>
        <v>393568.42105263151</v>
      </c>
      <c r="R58" s="543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71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</row>
    <row r="59" spans="1:48" s="30" customFormat="1">
      <c r="A59" s="531"/>
      <c r="B59" s="428"/>
      <c r="C59" s="429"/>
      <c r="D59" s="428"/>
      <c r="E59" s="543"/>
      <c r="F59" s="543"/>
      <c r="G59" s="543"/>
      <c r="H59" s="543"/>
      <c r="I59" s="543"/>
      <c r="J59" s="543"/>
      <c r="K59" s="543"/>
      <c r="L59" s="543"/>
      <c r="M59" s="543"/>
      <c r="N59" s="543"/>
      <c r="O59" s="543"/>
      <c r="P59" s="543"/>
      <c r="Q59" s="543"/>
      <c r="R59" s="543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71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</row>
    <row r="60" spans="1:48" s="422" customFormat="1">
      <c r="A60" s="552" t="s">
        <v>981</v>
      </c>
      <c r="B60" s="527" t="s">
        <v>805</v>
      </c>
      <c r="C60" s="525" t="s">
        <v>982</v>
      </c>
      <c r="D60" s="428"/>
      <c r="E60" s="566">
        <f t="shared" ref="E60:Q60" si="10">+E53+E32+E58</f>
        <v>1480300</v>
      </c>
      <c r="F60" s="567">
        <f t="shared" si="10"/>
        <v>218167.0789473684</v>
      </c>
      <c r="G60" s="567">
        <f t="shared" si="10"/>
        <v>218167.0789473684</v>
      </c>
      <c r="H60" s="567">
        <f t="shared" si="10"/>
        <v>788567.07894736843</v>
      </c>
      <c r="I60" s="567">
        <f t="shared" si="10"/>
        <v>1041680.2368421053</v>
      </c>
      <c r="J60" s="567">
        <f t="shared" si="10"/>
        <v>1735259.1270175439</v>
      </c>
      <c r="K60" s="567">
        <f t="shared" si="10"/>
        <v>2473819.8070175434</v>
      </c>
      <c r="L60" s="567">
        <f t="shared" si="10"/>
        <v>2205638.8070175434</v>
      </c>
      <c r="M60" s="567">
        <f t="shared" si="10"/>
        <v>5828630.333333333</v>
      </c>
      <c r="N60" s="566">
        <f t="shared" si="10"/>
        <v>10772271.074385963</v>
      </c>
      <c r="O60" s="566">
        <f t="shared" si="10"/>
        <v>7224030.4869192978</v>
      </c>
      <c r="P60" s="566">
        <f t="shared" si="10"/>
        <v>4401398.0988952974</v>
      </c>
      <c r="Q60" s="566">
        <f t="shared" si="10"/>
        <v>4361744.7392305788</v>
      </c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71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</row>
    <row r="61" spans="1:48">
      <c r="A61" s="568"/>
      <c r="B61" s="427"/>
      <c r="C61" s="427"/>
      <c r="D61" s="427"/>
      <c r="E61" s="543"/>
      <c r="F61" s="543"/>
      <c r="G61" s="543"/>
      <c r="H61" s="543"/>
      <c r="I61" s="543"/>
      <c r="J61" s="543"/>
      <c r="K61" s="543"/>
      <c r="L61" s="543"/>
      <c r="M61" s="543"/>
      <c r="N61" s="543"/>
      <c r="O61" s="543"/>
      <c r="P61" s="543"/>
      <c r="Q61" s="543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</row>
    <row r="62" spans="1:48">
      <c r="A62" s="552" t="s">
        <v>983</v>
      </c>
      <c r="B62" s="439" t="s">
        <v>805</v>
      </c>
      <c r="C62" s="439" t="s">
        <v>984</v>
      </c>
      <c r="D62" s="427"/>
      <c r="E62" s="543">
        <f t="shared" ref="E62:Q62" si="11">+E29+E50</f>
        <v>0</v>
      </c>
      <c r="F62" s="553">
        <f t="shared" si="11"/>
        <v>-302954.75</v>
      </c>
      <c r="G62" s="553">
        <f t="shared" si="11"/>
        <v>-2855909.5</v>
      </c>
      <c r="H62" s="553">
        <f t="shared" si="11"/>
        <v>-4033864.25</v>
      </c>
      <c r="I62" s="553">
        <f t="shared" si="11"/>
        <v>-4801819</v>
      </c>
      <c r="J62" s="553">
        <f t="shared" si="11"/>
        <v>-4957879.68</v>
      </c>
      <c r="K62" s="553">
        <f t="shared" si="11"/>
        <v>-4470379.68</v>
      </c>
      <c r="L62" s="553">
        <f t="shared" si="11"/>
        <v>-4201060.68</v>
      </c>
      <c r="M62" s="553">
        <f t="shared" si="11"/>
        <v>-4929060.68</v>
      </c>
      <c r="N62" s="543">
        <f t="shared" si="11"/>
        <v>-3750000</v>
      </c>
      <c r="O62" s="543">
        <f t="shared" si="11"/>
        <v>-2650000</v>
      </c>
      <c r="P62" s="543">
        <f t="shared" si="11"/>
        <v>-6000000</v>
      </c>
      <c r="Q62" s="543">
        <f t="shared" si="11"/>
        <v>-8000000.333333333</v>
      </c>
      <c r="R62" s="543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</row>
    <row r="63" spans="1:48" ht="15" customHeight="1">
      <c r="A63" s="427"/>
      <c r="B63" s="427"/>
      <c r="C63" s="427"/>
      <c r="D63" s="427"/>
      <c r="E63" s="543"/>
      <c r="F63" s="543"/>
      <c r="G63" s="543"/>
      <c r="H63" s="543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</row>
    <row r="64" spans="1:48" ht="15" customHeight="1">
      <c r="A64" s="541" t="s">
        <v>985</v>
      </c>
      <c r="B64" s="439" t="s">
        <v>805</v>
      </c>
      <c r="C64" s="439" t="s">
        <v>986</v>
      </c>
      <c r="D64" s="427"/>
      <c r="E64" s="443">
        <f>'c12_inputs'!$E$8</f>
        <v>0.35</v>
      </c>
      <c r="F64" s="569">
        <f>'c12_inputs'!$E$8</f>
        <v>0.35</v>
      </c>
      <c r="G64" s="569">
        <f>'c12_inputs'!$E$8</f>
        <v>0.35</v>
      </c>
      <c r="H64" s="569">
        <f>'c12_inputs'!$E$8</f>
        <v>0.35</v>
      </c>
      <c r="I64" s="569">
        <f>'c12_inputs'!$E$8</f>
        <v>0.35</v>
      </c>
      <c r="J64" s="569">
        <f>'c12_inputs'!$E$8</f>
        <v>0.35</v>
      </c>
      <c r="K64" s="569">
        <f>'c12_inputs'!$E$8</f>
        <v>0.35</v>
      </c>
      <c r="L64" s="569">
        <f>'c12_inputs'!$E$8</f>
        <v>0.35</v>
      </c>
      <c r="M64" s="569">
        <f>'c12_inputs'!$E$8</f>
        <v>0.35</v>
      </c>
      <c r="N64" s="443">
        <f>'c12_inputs'!$E$8</f>
        <v>0.35</v>
      </c>
      <c r="O64" s="443">
        <f>'c12_inputs'!$E$8</f>
        <v>0.35</v>
      </c>
      <c r="P64" s="443">
        <f>'c12_inputs'!$E$8</f>
        <v>0.35</v>
      </c>
      <c r="Q64" s="443">
        <f>'c12_inputs'!$E$8</f>
        <v>0.35</v>
      </c>
      <c r="R64" s="543"/>
      <c r="S64" s="524"/>
      <c r="T64" s="524"/>
      <c r="U64" s="427"/>
      <c r="V64" s="427"/>
      <c r="W64" s="427"/>
      <c r="X64" s="477"/>
      <c r="Y64" s="477"/>
      <c r="Z64" s="477"/>
      <c r="AA64" s="477"/>
      <c r="AB64" s="477"/>
      <c r="AC64" s="47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</row>
    <row r="65" spans="1:48" s="417" customFormat="1" ht="15" customHeight="1">
      <c r="A65" s="541" t="s">
        <v>987</v>
      </c>
      <c r="B65" s="527" t="s">
        <v>17</v>
      </c>
      <c r="C65" s="525" t="s">
        <v>988</v>
      </c>
      <c r="D65" s="428"/>
      <c r="E65" s="570">
        <v>0.15</v>
      </c>
      <c r="F65" s="571">
        <v>0.15</v>
      </c>
      <c r="G65" s="571">
        <v>0.15</v>
      </c>
      <c r="H65" s="571">
        <v>0.15</v>
      </c>
      <c r="I65" s="571">
        <v>0.15</v>
      </c>
      <c r="J65" s="571">
        <v>0</v>
      </c>
      <c r="K65" s="571">
        <v>0</v>
      </c>
      <c r="L65" s="571">
        <v>0</v>
      </c>
      <c r="M65" s="571">
        <v>0</v>
      </c>
      <c r="N65" s="443">
        <v>0</v>
      </c>
      <c r="O65" s="443">
        <v>0</v>
      </c>
      <c r="P65" s="443">
        <v>0</v>
      </c>
      <c r="Q65" s="443">
        <v>0</v>
      </c>
      <c r="R65" s="543"/>
      <c r="S65" s="524"/>
      <c r="T65" s="524"/>
      <c r="U65" s="427"/>
      <c r="V65" s="427"/>
      <c r="W65" s="427"/>
      <c r="X65" s="477"/>
      <c r="Y65" s="477"/>
      <c r="Z65" s="477"/>
      <c r="AA65" s="477"/>
      <c r="AB65" s="477"/>
      <c r="AC65" s="47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</row>
    <row r="66" spans="1:48" s="417" customFormat="1" ht="15" customHeight="1">
      <c r="A66" s="541" t="s">
        <v>989</v>
      </c>
      <c r="B66" s="527" t="s">
        <v>17</v>
      </c>
      <c r="C66" s="525" t="s">
        <v>990</v>
      </c>
      <c r="D66" s="428"/>
      <c r="E66" s="570">
        <v>0.15</v>
      </c>
      <c r="F66" s="571">
        <v>0.15</v>
      </c>
      <c r="G66" s="571">
        <v>0.15</v>
      </c>
      <c r="H66" s="571">
        <v>0.15</v>
      </c>
      <c r="I66" s="571">
        <v>0.15</v>
      </c>
      <c r="J66" s="571">
        <v>0.15</v>
      </c>
      <c r="K66" s="571">
        <v>0.15</v>
      </c>
      <c r="L66" s="571">
        <v>0.15</v>
      </c>
      <c r="M66" s="571">
        <v>0.15</v>
      </c>
      <c r="N66" s="443">
        <v>0</v>
      </c>
      <c r="O66" s="443">
        <v>0</v>
      </c>
      <c r="P66" s="443">
        <v>0</v>
      </c>
      <c r="Q66" s="443">
        <v>0</v>
      </c>
      <c r="R66" s="543"/>
      <c r="S66" s="524"/>
      <c r="T66" s="524"/>
      <c r="U66" s="427"/>
      <c r="V66" s="427"/>
      <c r="W66" s="427"/>
      <c r="X66" s="477"/>
      <c r="Y66" s="477"/>
      <c r="Z66" s="477"/>
      <c r="AA66" s="477"/>
      <c r="AB66" s="477"/>
      <c r="AC66" s="47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</row>
    <row r="67" spans="1:48" s="30" customFormat="1">
      <c r="A67" s="541" t="s">
        <v>991</v>
      </c>
      <c r="B67" s="527" t="s">
        <v>805</v>
      </c>
      <c r="C67" s="525" t="s">
        <v>797</v>
      </c>
      <c r="D67" s="428"/>
      <c r="E67" s="572">
        <f>'c12_inputs'!$E$7</f>
        <v>0.05</v>
      </c>
      <c r="F67" s="573">
        <f>'c12_inputs'!$E$7</f>
        <v>0.05</v>
      </c>
      <c r="G67" s="573">
        <f>'c12_inputs'!$E$7</f>
        <v>0.05</v>
      </c>
      <c r="H67" s="573">
        <f>'c12_inputs'!$E$7</f>
        <v>0.05</v>
      </c>
      <c r="I67" s="573">
        <f>'c12_inputs'!$E$7</f>
        <v>0.05</v>
      </c>
      <c r="J67" s="573">
        <f>'c12_inputs'!$E$7</f>
        <v>0.05</v>
      </c>
      <c r="K67" s="573">
        <f>'c12_inputs'!$E$7</f>
        <v>0.05</v>
      </c>
      <c r="L67" s="573">
        <f>'c12_inputs'!$E$7</f>
        <v>0.05</v>
      </c>
      <c r="M67" s="573">
        <f>'c12_inputs'!$E$7</f>
        <v>0.05</v>
      </c>
      <c r="N67" s="572">
        <f>'c12_inputs'!$E$7</f>
        <v>0.05</v>
      </c>
      <c r="O67" s="572">
        <f>'c12_inputs'!$E$7</f>
        <v>0.05</v>
      </c>
      <c r="P67" s="572">
        <f>'c12_inputs'!$E$7</f>
        <v>0.05</v>
      </c>
      <c r="Q67" s="572">
        <f>'c12_inputs'!$E$7</f>
        <v>0.05</v>
      </c>
      <c r="R67" s="427"/>
      <c r="S67" s="427"/>
      <c r="T67" s="427"/>
      <c r="U67" s="427"/>
      <c r="V67" s="427"/>
      <c r="W67" s="427"/>
      <c r="X67" s="427"/>
      <c r="Y67" s="427"/>
      <c r="Z67" s="486"/>
      <c r="AA67" s="486"/>
      <c r="AB67" s="486"/>
      <c r="AC67" s="486"/>
      <c r="AD67" s="486"/>
      <c r="AE67" s="486"/>
      <c r="AF67" s="486"/>
      <c r="AG67" s="427"/>
      <c r="AH67" s="486"/>
      <c r="AI67" s="486"/>
      <c r="AJ67" s="486"/>
      <c r="AK67" s="486"/>
      <c r="AL67" s="486"/>
      <c r="AM67" s="486"/>
      <c r="AN67" s="486"/>
      <c r="AO67" s="427"/>
      <c r="AP67" s="427"/>
      <c r="AQ67" s="427"/>
      <c r="AR67" s="427"/>
      <c r="AS67" s="427"/>
      <c r="AT67" s="427"/>
      <c r="AU67" s="427"/>
      <c r="AV67" s="427"/>
    </row>
    <row r="68" spans="1:48">
      <c r="A68" s="541" t="s">
        <v>992</v>
      </c>
      <c r="B68" s="439" t="s">
        <v>805</v>
      </c>
      <c r="C68" s="439" t="s">
        <v>993</v>
      </c>
      <c r="D68" s="427"/>
      <c r="E68" s="543">
        <f t="shared" ref="E68:Q68" si="12">(E64+E65)*(E31+E52)+(E64+E66)*(E49+E28)</f>
        <v>740150</v>
      </c>
      <c r="F68" s="553">
        <f t="shared" si="12"/>
        <v>64367.75</v>
      </c>
      <c r="G68" s="553">
        <f t="shared" si="12"/>
        <v>64367.75</v>
      </c>
      <c r="H68" s="553">
        <f t="shared" si="12"/>
        <v>349567.75</v>
      </c>
      <c r="I68" s="553">
        <f t="shared" si="12"/>
        <v>455617.75</v>
      </c>
      <c r="J68" s="553">
        <f t="shared" si="12"/>
        <v>802071.47666666668</v>
      </c>
      <c r="K68" s="553">
        <f t="shared" si="12"/>
        <v>1010895.6166666667</v>
      </c>
      <c r="L68" s="553">
        <f t="shared" si="12"/>
        <v>930805.1166666667</v>
      </c>
      <c r="M68" s="553">
        <f t="shared" si="12"/>
        <v>2202770.6166666662</v>
      </c>
      <c r="N68" s="543">
        <f t="shared" si="12"/>
        <v>3632545.9286666662</v>
      </c>
      <c r="O68" s="543">
        <f t="shared" si="12"/>
        <v>2390661.7230533333</v>
      </c>
      <c r="P68" s="543">
        <f t="shared" si="12"/>
        <v>1402740.3872449331</v>
      </c>
      <c r="Q68" s="543">
        <f t="shared" si="12"/>
        <v>1388861.7113622813</v>
      </c>
      <c r="R68" s="443"/>
      <c r="S68" s="524"/>
      <c r="T68" s="524"/>
      <c r="U68" s="427"/>
      <c r="V68" s="427"/>
      <c r="W68" s="427"/>
      <c r="X68" s="477"/>
      <c r="Y68" s="477"/>
      <c r="Z68" s="477"/>
      <c r="AA68" s="477"/>
      <c r="AB68" s="477"/>
      <c r="AC68" s="47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</row>
    <row r="69" spans="1:48">
      <c r="A69" s="541" t="s">
        <v>994</v>
      </c>
      <c r="B69" s="439" t="s">
        <v>805</v>
      </c>
      <c r="C69" s="439" t="s">
        <v>995</v>
      </c>
      <c r="D69" s="427"/>
      <c r="E69" s="543">
        <f t="shared" ref="E69:Q69" si="13">E67*E58</f>
        <v>0</v>
      </c>
      <c r="F69" s="553">
        <f t="shared" si="13"/>
        <v>4471.5789473684199</v>
      </c>
      <c r="G69" s="553">
        <f t="shared" si="13"/>
        <v>4471.5789473684199</v>
      </c>
      <c r="H69" s="553">
        <f t="shared" si="13"/>
        <v>4471.5789473684199</v>
      </c>
      <c r="I69" s="553">
        <f t="shared" si="13"/>
        <v>6522.2368421052633</v>
      </c>
      <c r="J69" s="553">
        <f t="shared" si="13"/>
        <v>4509.4736842105258</v>
      </c>
      <c r="K69" s="553">
        <f t="shared" si="13"/>
        <v>4509.4736842105258</v>
      </c>
      <c r="L69" s="553">
        <f t="shared" si="13"/>
        <v>4509.4736842105258</v>
      </c>
      <c r="M69" s="553">
        <f t="shared" si="13"/>
        <v>6149.9999999999982</v>
      </c>
      <c r="N69" s="543">
        <f t="shared" si="13"/>
        <v>19678.421052631576</v>
      </c>
      <c r="O69" s="543">
        <f t="shared" si="13"/>
        <v>19678.421052631576</v>
      </c>
      <c r="P69" s="543">
        <f t="shared" si="13"/>
        <v>19678.421052631576</v>
      </c>
      <c r="Q69" s="543">
        <f t="shared" si="13"/>
        <v>19678.421052631576</v>
      </c>
      <c r="R69" s="543"/>
      <c r="S69" s="524"/>
      <c r="T69" s="524"/>
      <c r="U69" s="427"/>
      <c r="V69" s="427"/>
      <c r="W69" s="427"/>
      <c r="X69" s="477"/>
      <c r="Y69" s="477"/>
      <c r="Z69" s="477"/>
      <c r="AA69" s="477"/>
      <c r="AB69" s="477"/>
      <c r="AC69" s="47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</row>
    <row r="70" spans="1:48" s="417" customFormat="1">
      <c r="A70" s="552" t="s">
        <v>996</v>
      </c>
      <c r="B70" s="527" t="s">
        <v>805</v>
      </c>
      <c r="C70" s="525" t="s">
        <v>997</v>
      </c>
      <c r="D70" s="428"/>
      <c r="E70" s="566">
        <f t="shared" ref="E70:Q70" si="14">E69+E68</f>
        <v>740150</v>
      </c>
      <c r="F70" s="567">
        <f t="shared" si="14"/>
        <v>68839.328947368427</v>
      </c>
      <c r="G70" s="567">
        <f t="shared" si="14"/>
        <v>68839.328947368427</v>
      </c>
      <c r="H70" s="567">
        <f t="shared" si="14"/>
        <v>354039.32894736843</v>
      </c>
      <c r="I70" s="567">
        <f t="shared" si="14"/>
        <v>462139.98684210528</v>
      </c>
      <c r="J70" s="567">
        <f t="shared" si="14"/>
        <v>806580.95035087725</v>
      </c>
      <c r="K70" s="567">
        <f t="shared" si="14"/>
        <v>1015405.0903508773</v>
      </c>
      <c r="L70" s="567">
        <f t="shared" si="14"/>
        <v>935314.59035087726</v>
      </c>
      <c r="M70" s="567">
        <f t="shared" si="14"/>
        <v>2208920.6166666662</v>
      </c>
      <c r="N70" s="566">
        <f t="shared" si="14"/>
        <v>3652224.3497192976</v>
      </c>
      <c r="O70" s="566">
        <f t="shared" si="14"/>
        <v>2410340.1441059648</v>
      </c>
      <c r="P70" s="566">
        <f t="shared" si="14"/>
        <v>1422418.8082975647</v>
      </c>
      <c r="Q70" s="566">
        <f t="shared" si="14"/>
        <v>1408540.132414913</v>
      </c>
      <c r="R70" s="443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</row>
    <row r="71" spans="1:48">
      <c r="A71" s="531"/>
      <c r="B71" s="427"/>
      <c r="C71" s="427"/>
      <c r="D71" s="427"/>
      <c r="E71" s="543"/>
      <c r="F71" s="543"/>
      <c r="G71" s="543"/>
      <c r="H71" s="543"/>
      <c r="I71" s="543"/>
      <c r="J71" s="543"/>
      <c r="K71" s="543"/>
      <c r="L71" s="543"/>
      <c r="M71" s="543"/>
      <c r="N71" s="543"/>
      <c r="O71" s="543"/>
      <c r="P71" s="543"/>
      <c r="Q71" s="543"/>
      <c r="R71" s="543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</row>
    <row r="72" spans="1:48" s="30" customFormat="1">
      <c r="A72" s="541" t="s">
        <v>998</v>
      </c>
      <c r="B72" s="527" t="s">
        <v>805</v>
      </c>
      <c r="C72" s="525" t="s">
        <v>999</v>
      </c>
      <c r="D72" s="428"/>
      <c r="E72" s="543">
        <v>0</v>
      </c>
      <c r="F72" s="553">
        <f t="shared" ref="E72:Q72" si="15">-(F64+F65)*(F27+F48)</f>
        <v>151477.375</v>
      </c>
      <c r="G72" s="553">
        <f t="shared" si="15"/>
        <v>1276477.375</v>
      </c>
      <c r="H72" s="553">
        <f t="shared" si="15"/>
        <v>588977.375</v>
      </c>
      <c r="I72" s="553">
        <f t="shared" si="15"/>
        <v>383977.375</v>
      </c>
      <c r="J72" s="553">
        <f t="shared" si="15"/>
        <v>582647.79999999993</v>
      </c>
      <c r="K72" s="553">
        <f t="shared" si="15"/>
        <v>241499.99999999997</v>
      </c>
      <c r="L72" s="553">
        <f t="shared" si="15"/>
        <v>350000</v>
      </c>
      <c r="M72" s="553">
        <f t="shared" si="15"/>
        <v>735000</v>
      </c>
      <c r="N72" s="543">
        <f t="shared" si="15"/>
        <v>1312500</v>
      </c>
      <c r="O72" s="543">
        <f t="shared" si="15"/>
        <v>927499.99999999988</v>
      </c>
      <c r="P72" s="543">
        <f t="shared" si="15"/>
        <v>1400000</v>
      </c>
      <c r="Q72" s="543">
        <f t="shared" si="15"/>
        <v>1400000</v>
      </c>
      <c r="R72" s="427"/>
      <c r="S72" s="427"/>
      <c r="T72" s="427"/>
      <c r="U72" s="427"/>
      <c r="V72" s="427"/>
      <c r="W72" s="427"/>
      <c r="X72" s="427"/>
      <c r="Y72" s="427"/>
      <c r="Z72" s="486"/>
      <c r="AA72" s="486"/>
      <c r="AB72" s="486"/>
      <c r="AC72" s="486"/>
      <c r="AD72" s="486"/>
      <c r="AE72" s="486"/>
      <c r="AF72" s="486"/>
      <c r="AG72" s="427"/>
      <c r="AH72" s="486"/>
      <c r="AI72" s="486"/>
      <c r="AJ72" s="486"/>
      <c r="AK72" s="486"/>
      <c r="AL72" s="486"/>
      <c r="AM72" s="486"/>
      <c r="AN72" s="486"/>
      <c r="AO72" s="427"/>
      <c r="AP72" s="427"/>
      <c r="AQ72" s="427"/>
      <c r="AR72" s="427"/>
      <c r="AS72" s="427"/>
      <c r="AT72" s="427"/>
      <c r="AU72" s="427"/>
      <c r="AV72" s="427"/>
    </row>
    <row r="73" spans="1:48" s="30" customFormat="1">
      <c r="A73" s="541" t="s">
        <v>1000</v>
      </c>
      <c r="B73" s="527" t="s">
        <v>805</v>
      </c>
      <c r="C73" s="525" t="s">
        <v>1001</v>
      </c>
      <c r="D73" s="428"/>
      <c r="E73" s="543">
        <v>0</v>
      </c>
      <c r="F73" s="553">
        <f t="shared" ref="E73:Q73" si="16">-(F64+F66)*(F28+F49)</f>
        <v>0</v>
      </c>
      <c r="G73" s="553">
        <f t="shared" si="16"/>
        <v>0</v>
      </c>
      <c r="H73" s="553">
        <f t="shared" si="16"/>
        <v>0</v>
      </c>
      <c r="I73" s="553">
        <f t="shared" si="16"/>
        <v>0</v>
      </c>
      <c r="J73" s="553">
        <f t="shared" si="16"/>
        <v>-754323.66</v>
      </c>
      <c r="K73" s="553">
        <f t="shared" si="16"/>
        <v>-588750</v>
      </c>
      <c r="L73" s="553">
        <f t="shared" si="16"/>
        <v>-634659.5</v>
      </c>
      <c r="M73" s="553">
        <f t="shared" si="16"/>
        <v>-686000</v>
      </c>
      <c r="N73" s="543">
        <f t="shared" si="16"/>
        <v>-1725171.2379999999</v>
      </c>
      <c r="O73" s="543">
        <f t="shared" si="16"/>
        <v>-1312500</v>
      </c>
      <c r="P73" s="543">
        <f t="shared" si="16"/>
        <v>-227500</v>
      </c>
      <c r="Q73" s="543">
        <f t="shared" si="16"/>
        <v>-699999.88333333342</v>
      </c>
      <c r="R73" s="427"/>
      <c r="S73" s="427"/>
      <c r="T73" s="427"/>
      <c r="U73" s="427"/>
      <c r="V73" s="427"/>
      <c r="W73" s="427"/>
      <c r="X73" s="427"/>
      <c r="Y73" s="427"/>
      <c r="Z73" s="486"/>
      <c r="AA73" s="486"/>
      <c r="AB73" s="486"/>
      <c r="AC73" s="486"/>
      <c r="AD73" s="486"/>
      <c r="AE73" s="486"/>
      <c r="AF73" s="486"/>
      <c r="AG73" s="427"/>
      <c r="AH73" s="486"/>
      <c r="AI73" s="486"/>
      <c r="AJ73" s="486"/>
      <c r="AK73" s="486"/>
      <c r="AL73" s="486"/>
      <c r="AM73" s="486"/>
      <c r="AN73" s="486"/>
      <c r="AO73" s="427"/>
      <c r="AP73" s="427"/>
      <c r="AQ73" s="427"/>
      <c r="AR73" s="427"/>
      <c r="AS73" s="427"/>
      <c r="AT73" s="427"/>
      <c r="AU73" s="427"/>
      <c r="AV73" s="427"/>
    </row>
    <row r="74" spans="1:48">
      <c r="A74" s="541" t="s">
        <v>1002</v>
      </c>
      <c r="B74" s="439" t="s">
        <v>17</v>
      </c>
      <c r="C74" s="439" t="s">
        <v>1003</v>
      </c>
      <c r="D74" s="427"/>
      <c r="E74" s="547">
        <v>0</v>
      </c>
      <c r="F74" s="544">
        <f t="shared" ref="F74:Q74" si="17">SUM(F72:F73)+E74</f>
        <v>151477.375</v>
      </c>
      <c r="G74" s="544">
        <f t="shared" si="17"/>
        <v>1427954.75</v>
      </c>
      <c r="H74" s="544">
        <f t="shared" si="17"/>
        <v>2016932.125</v>
      </c>
      <c r="I74" s="544">
        <f t="shared" si="17"/>
        <v>2400909.5</v>
      </c>
      <c r="J74" s="544">
        <f t="shared" si="17"/>
        <v>2229233.6399999997</v>
      </c>
      <c r="K74" s="544">
        <f t="shared" si="17"/>
        <v>1881983.6399999997</v>
      </c>
      <c r="L74" s="544">
        <f t="shared" si="17"/>
        <v>1597324.1399999997</v>
      </c>
      <c r="M74" s="544">
        <f t="shared" si="17"/>
        <v>1646324.1399999997</v>
      </c>
      <c r="N74" s="543">
        <f t="shared" si="17"/>
        <v>1233652.9019999998</v>
      </c>
      <c r="O74" s="543">
        <f t="shared" si="17"/>
        <v>848652.90199999965</v>
      </c>
      <c r="P74" s="543">
        <f t="shared" si="17"/>
        <v>2021152.9019999998</v>
      </c>
      <c r="Q74" s="543">
        <f t="shared" si="17"/>
        <v>2721153.0186666665</v>
      </c>
      <c r="R74" s="543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</row>
    <row r="75" spans="1:48">
      <c r="A75" s="427"/>
      <c r="B75" s="427"/>
      <c r="C75" s="427"/>
      <c r="D75" s="427"/>
      <c r="E75" s="543"/>
      <c r="F75" s="543"/>
      <c r="G75" s="543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</row>
    <row r="76" spans="1:48">
      <c r="A76" s="541" t="s">
        <v>1004</v>
      </c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</row>
    <row r="77" spans="1:48" s="30" customFormat="1" ht="14.65" customHeight="1">
      <c r="A77" s="504" t="s">
        <v>1005</v>
      </c>
      <c r="B77" s="527" t="s">
        <v>805</v>
      </c>
      <c r="C77" s="525" t="s">
        <v>1006</v>
      </c>
      <c r="D77" s="428"/>
      <c r="E77" s="486">
        <v>0</v>
      </c>
      <c r="F77" s="565">
        <f>'.c12_d&amp;s_hr'!F45</f>
        <v>515519.99999999994</v>
      </c>
      <c r="G77" s="565">
        <f>'.c12_d&amp;s_hr'!G45</f>
        <v>515519.99999999994</v>
      </c>
      <c r="H77" s="565">
        <f>'.c12_d&amp;s_hr'!H45</f>
        <v>515519.99999999994</v>
      </c>
      <c r="I77" s="565">
        <f>'.c12_d&amp;s_hr'!I45</f>
        <v>1652177.5</v>
      </c>
      <c r="J77" s="565">
        <f>'.c12_d&amp;s_hr'!J45</f>
        <v>560159.99999999988</v>
      </c>
      <c r="K77" s="565">
        <f>'.c12_d&amp;s_hr'!K45</f>
        <v>520559.99999999994</v>
      </c>
      <c r="L77" s="565">
        <f>'.c12_d&amp;s_hr'!L45</f>
        <v>560159.99999999988</v>
      </c>
      <c r="M77" s="565">
        <f>'.c12_d&amp;s_hr'!M45</f>
        <v>1221223.75</v>
      </c>
      <c r="N77" s="486">
        <f>'.c12_d&amp;s_hr'!N45</f>
        <v>2809492.4999999995</v>
      </c>
      <c r="O77" s="486">
        <f>'.c12_d&amp;s_hr'!O45</f>
        <v>2809492.4999999995</v>
      </c>
      <c r="P77" s="486">
        <f>'.c12_d&amp;s_hr'!P45</f>
        <v>2809492.4999999995</v>
      </c>
      <c r="Q77" s="486">
        <f>'.c12_d&amp;s_hr'!Q45</f>
        <v>2809492.4999999995</v>
      </c>
      <c r="R77" s="523"/>
      <c r="S77" s="524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</row>
    <row r="78" spans="1:48" s="30" customFormat="1">
      <c r="A78" s="504" t="s">
        <v>1007</v>
      </c>
      <c r="B78" s="527" t="s">
        <v>805</v>
      </c>
      <c r="C78" s="525" t="s">
        <v>1008</v>
      </c>
      <c r="D78" s="428"/>
      <c r="E78" s="486">
        <v>0</v>
      </c>
      <c r="F78" s="565">
        <f>'.c12_d&amp;s_hr'!F46</f>
        <v>84959.999999999985</v>
      </c>
      <c r="G78" s="565">
        <f>'.c12_d&amp;s_hr'!G46</f>
        <v>84959.999999999985</v>
      </c>
      <c r="H78" s="565">
        <f>'.c12_d&amp;s_hr'!H46</f>
        <v>84959.999999999985</v>
      </c>
      <c r="I78" s="565">
        <f>'.c12_d&amp;s_hr'!I46</f>
        <v>123922.5</v>
      </c>
      <c r="J78" s="565">
        <f>'.c12_d&amp;s_hr'!J46</f>
        <v>85679.999999999985</v>
      </c>
      <c r="K78" s="565">
        <f>'.c12_d&amp;s_hr'!K46</f>
        <v>85679.999999999985</v>
      </c>
      <c r="L78" s="565">
        <f>'.c12_d&amp;s_hr'!L46</f>
        <v>85679.999999999985</v>
      </c>
      <c r="M78" s="565">
        <f>'.c12_d&amp;s_hr'!M46</f>
        <v>116849.99999999997</v>
      </c>
      <c r="N78" s="486">
        <f>'.c12_d&amp;s_hr'!N46</f>
        <v>373889.99999999994</v>
      </c>
      <c r="O78" s="486">
        <f>'.c12_d&amp;s_hr'!O46</f>
        <v>373889.99999999994</v>
      </c>
      <c r="P78" s="486">
        <f>'.c12_d&amp;s_hr'!P46</f>
        <v>373889.99999999994</v>
      </c>
      <c r="Q78" s="486">
        <f>'.c12_d&amp;s_hr'!Q46</f>
        <v>373889.99999999994</v>
      </c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71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</row>
    <row r="79" spans="1:48" s="30" customFormat="1">
      <c r="A79" s="504" t="s">
        <v>1009</v>
      </c>
      <c r="B79" s="527" t="s">
        <v>805</v>
      </c>
      <c r="C79" s="525" t="s">
        <v>1010</v>
      </c>
      <c r="D79" s="428"/>
      <c r="E79" s="486">
        <v>0</v>
      </c>
      <c r="F79" s="565">
        <f>'.c12_d&amp;s_hr'!F47</f>
        <v>430560</v>
      </c>
      <c r="G79" s="565">
        <f>'.c12_d&amp;s_hr'!G47</f>
        <v>430560</v>
      </c>
      <c r="H79" s="565">
        <f>'.c12_d&amp;s_hr'!H47</f>
        <v>430560</v>
      </c>
      <c r="I79" s="565">
        <f>'.c12_d&amp;s_hr'!I47</f>
        <v>1528255</v>
      </c>
      <c r="J79" s="565">
        <f>'.c12_d&amp;s_hr'!J47</f>
        <v>474480</v>
      </c>
      <c r="K79" s="565">
        <f>'.c12_d&amp;s_hr'!K47</f>
        <v>434880</v>
      </c>
      <c r="L79" s="565">
        <f>'.c12_d&amp;s_hr'!L47</f>
        <v>474480</v>
      </c>
      <c r="M79" s="565">
        <f>'.c12_d&amp;s_hr'!M47</f>
        <v>1104373.75</v>
      </c>
      <c r="N79" s="486">
        <f>'.c12_d&amp;s_hr'!N47</f>
        <v>2435602.4999999995</v>
      </c>
      <c r="O79" s="486">
        <f>'.c12_d&amp;s_hr'!O47</f>
        <v>2435602.4999999995</v>
      </c>
      <c r="P79" s="486">
        <f>'.c12_d&amp;s_hr'!P47</f>
        <v>2435602.4999999995</v>
      </c>
      <c r="Q79" s="486">
        <f>'.c12_d&amp;s_hr'!Q47</f>
        <v>2435602.4999999995</v>
      </c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71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</row>
    <row r="80" spans="1:48" s="30" customFormat="1">
      <c r="A80" s="504" t="s">
        <v>1011</v>
      </c>
      <c r="B80" s="527" t="s">
        <v>805</v>
      </c>
      <c r="C80" s="525" t="s">
        <v>1012</v>
      </c>
      <c r="D80" s="428"/>
      <c r="E80" s="486">
        <v>0</v>
      </c>
      <c r="F80" s="565">
        <f>'.c12_d&amp;s_hr'!F48</f>
        <v>0</v>
      </c>
      <c r="G80" s="565">
        <f>'.c12_d&amp;s_hr'!G48</f>
        <v>0</v>
      </c>
      <c r="H80" s="565">
        <f>'.c12_d&amp;s_hr'!H48</f>
        <v>0</v>
      </c>
      <c r="I80" s="565">
        <f>'.c12_d&amp;s_hr'!I48</f>
        <v>0</v>
      </c>
      <c r="J80" s="565">
        <f>'.c12_d&amp;s_hr'!J48</f>
        <v>0</v>
      </c>
      <c r="K80" s="565">
        <f>'.c12_d&amp;s_hr'!K48</f>
        <v>0</v>
      </c>
      <c r="L80" s="565">
        <f>'.c12_d&amp;s_hr'!L48</f>
        <v>0</v>
      </c>
      <c r="M80" s="565">
        <f>'.c12_d&amp;s_hr'!M48</f>
        <v>0</v>
      </c>
      <c r="N80" s="486">
        <f>'.c12_d&amp;s_hr'!N48</f>
        <v>0</v>
      </c>
      <c r="O80" s="486">
        <f>'.c12_d&amp;s_hr'!O48</f>
        <v>0</v>
      </c>
      <c r="P80" s="486">
        <f>'.c12_d&amp;s_hr'!P48</f>
        <v>0</v>
      </c>
      <c r="Q80" s="486">
        <f>'.c12_d&amp;s_hr'!Q48</f>
        <v>0</v>
      </c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71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</row>
    <row r="81" spans="1:48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</row>
    <row r="82" spans="1:48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</row>
    <row r="83" spans="1:48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</row>
    <row r="84" spans="1:48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</row>
    <row r="85" spans="1:48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</row>
    <row r="86" spans="1:48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</row>
    <row r="87" spans="1:48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</row>
    <row r="88" spans="1:48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</row>
    <row r="89" spans="1:48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</row>
    <row r="90" spans="1:48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</row>
    <row r="91" spans="1:48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</row>
    <row r="92" spans="1:48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</row>
    <row r="93" spans="1:48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</row>
    <row r="94" spans="1:48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</row>
    <row r="95" spans="1:48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</row>
    <row r="96" spans="1:48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</row>
    <row r="97" spans="1:48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</row>
    <row r="98" spans="1:48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</row>
    <row r="99" spans="1:48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</row>
    <row r="100" spans="1:48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</row>
    <row r="101" spans="1:48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</row>
    <row r="102" spans="1:48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</row>
    <row r="103" spans="1:48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</row>
    <row r="104" spans="1:48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</row>
    <row r="105" spans="1:48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9"/>
      <c r="T105" s="429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</row>
    <row r="106" spans="1:48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</row>
    <row r="107" spans="1:48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</row>
    <row r="108" spans="1:48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</row>
    <row r="109" spans="1:48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</row>
    <row r="110" spans="1:48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</row>
    <row r="111" spans="1:48">
      <c r="A111" s="427"/>
      <c r="B111" s="448"/>
      <c r="C111" s="427"/>
      <c r="D111" s="448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</row>
    <row r="112" spans="1:48">
      <c r="A112" s="427"/>
      <c r="B112" s="448"/>
      <c r="C112" s="427"/>
      <c r="D112" s="448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</row>
    <row r="113" spans="1:48">
      <c r="A113" s="427"/>
      <c r="B113" s="448"/>
      <c r="C113" s="427"/>
      <c r="D113" s="448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</row>
    <row r="114" spans="1:48">
      <c r="A114" s="427"/>
      <c r="B114" s="448"/>
      <c r="C114" s="427"/>
      <c r="D114" s="448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</row>
    <row r="115" spans="1:48">
      <c r="A115" s="427"/>
      <c r="B115" s="448"/>
      <c r="C115" s="427"/>
      <c r="D115" s="448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</row>
    <row r="116" spans="1:48">
      <c r="A116" s="427"/>
      <c r="B116" s="448"/>
      <c r="C116" s="427"/>
      <c r="D116" s="448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</row>
    <row r="117" spans="1:48">
      <c r="A117" s="427"/>
      <c r="B117" s="448"/>
      <c r="C117" s="427"/>
      <c r="D117" s="448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</row>
    <row r="118" spans="1:48">
      <c r="A118" s="427"/>
      <c r="B118" s="448"/>
      <c r="C118" s="427"/>
      <c r="D118" s="448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</row>
    <row r="119" spans="1:48" s="5" customFormat="1">
      <c r="A119" s="531"/>
      <c r="B119" s="448"/>
      <c r="C119" s="427"/>
      <c r="D119" s="448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71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</row>
    <row r="120" spans="1:48">
      <c r="A120" s="427"/>
      <c r="B120" s="448"/>
      <c r="C120" s="427"/>
      <c r="D120" s="448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</row>
    <row r="121" spans="1:48">
      <c r="A121" s="427"/>
      <c r="B121" s="448"/>
      <c r="C121" s="427"/>
      <c r="D121" s="448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</row>
    <row r="122" spans="1:48">
      <c r="A122" s="427"/>
      <c r="B122" s="448"/>
      <c r="C122" s="427"/>
      <c r="D122" s="448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</row>
    <row r="123" spans="1:48">
      <c r="A123" s="427"/>
      <c r="B123" s="448"/>
      <c r="C123" s="427"/>
      <c r="D123" s="448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</row>
    <row r="124" spans="1:48">
      <c r="A124" s="427"/>
      <c r="B124" s="448"/>
      <c r="C124" s="427"/>
      <c r="D124" s="448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549"/>
      <c r="P124" s="549"/>
      <c r="Q124" s="427"/>
      <c r="R124" s="429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</row>
    <row r="125" spans="1:48">
      <c r="A125" s="427"/>
      <c r="B125" s="448"/>
      <c r="C125" s="427"/>
      <c r="D125" s="448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</row>
    <row r="126" spans="1:48">
      <c r="A126" s="427"/>
      <c r="B126" s="448"/>
      <c r="C126" s="427"/>
      <c r="D126" s="448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</row>
    <row r="127" spans="1:48">
      <c r="A127" s="427"/>
      <c r="B127" s="448"/>
      <c r="C127" s="427"/>
      <c r="D127" s="448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</row>
    <row r="128" spans="1:48">
      <c r="A128" s="427"/>
      <c r="B128" s="448"/>
      <c r="C128" s="427"/>
      <c r="D128" s="448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</row>
    <row r="129" spans="1:48">
      <c r="A129" s="427"/>
      <c r="B129" s="448"/>
      <c r="C129" s="427"/>
      <c r="D129" s="448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</row>
    <row r="130" spans="1:48">
      <c r="A130" s="427"/>
      <c r="B130" s="448"/>
      <c r="C130" s="427"/>
      <c r="D130" s="448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</row>
    <row r="131" spans="1:48">
      <c r="A131" s="427"/>
      <c r="B131" s="448"/>
      <c r="C131" s="427"/>
      <c r="D131" s="448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</row>
    <row r="132" spans="1:48">
      <c r="A132" s="427"/>
      <c r="B132" s="448"/>
      <c r="C132" s="427"/>
      <c r="D132" s="448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</row>
    <row r="133" spans="1:48">
      <c r="A133" s="427"/>
      <c r="B133" s="448"/>
      <c r="C133" s="427"/>
      <c r="D133" s="448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</row>
    <row r="134" spans="1:48">
      <c r="A134" s="427"/>
      <c r="B134" s="448"/>
      <c r="C134" s="427"/>
      <c r="D134" s="448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</row>
    <row r="135" spans="1:48">
      <c r="A135" s="427"/>
      <c r="B135" s="448"/>
      <c r="C135" s="427"/>
      <c r="D135" s="448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</row>
    <row r="136" spans="1:48">
      <c r="A136" s="427"/>
      <c r="B136" s="448"/>
      <c r="C136" s="427"/>
      <c r="D136" s="448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</row>
    <row r="137" spans="1:48">
      <c r="A137" s="427"/>
      <c r="B137" s="448"/>
      <c r="C137" s="427"/>
      <c r="D137" s="448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</row>
    <row r="138" spans="1:48">
      <c r="A138" s="427"/>
      <c r="B138" s="448"/>
      <c r="C138" s="427"/>
      <c r="D138" s="448"/>
      <c r="E138" s="427"/>
      <c r="F138" s="427"/>
      <c r="G138" s="427"/>
      <c r="H138" s="427"/>
      <c r="I138" s="427"/>
      <c r="J138" s="427"/>
      <c r="K138" s="427"/>
      <c r="L138" s="525" t="s">
        <v>1013</v>
      </c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</row>
    <row r="139" spans="1:48">
      <c r="A139" s="427"/>
      <c r="B139" s="448"/>
      <c r="C139" s="427"/>
      <c r="D139" s="448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</row>
    <row r="140" spans="1:48">
      <c r="A140" s="427"/>
      <c r="B140" s="448"/>
      <c r="C140" s="427"/>
      <c r="D140" s="448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</row>
    <row r="141" spans="1:48">
      <c r="A141" s="427"/>
      <c r="B141" s="448"/>
      <c r="C141" s="427"/>
      <c r="D141" s="448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</row>
    <row r="142" spans="1:48">
      <c r="A142" s="427"/>
      <c r="B142" s="448"/>
      <c r="C142" s="427"/>
      <c r="D142" s="448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</row>
    <row r="143" spans="1:48">
      <c r="A143" s="427"/>
      <c r="B143" s="448"/>
      <c r="C143" s="427"/>
      <c r="D143" s="448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</row>
    <row r="144" spans="1:48">
      <c r="A144" s="427"/>
      <c r="B144" s="448"/>
      <c r="C144" s="427"/>
      <c r="D144" s="448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</row>
    <row r="145" spans="1:48">
      <c r="A145" s="427"/>
      <c r="B145" s="448"/>
      <c r="C145" s="427"/>
      <c r="D145" s="448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</row>
    <row r="146" spans="1:48">
      <c r="A146" s="427"/>
      <c r="B146" s="448"/>
      <c r="C146" s="427"/>
      <c r="D146" s="448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</row>
    <row r="147" spans="1:48">
      <c r="A147" s="427"/>
      <c r="B147" s="448"/>
      <c r="C147" s="427"/>
      <c r="D147" s="448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</row>
    <row r="148" spans="1:48">
      <c r="A148" s="427"/>
      <c r="B148" s="448"/>
      <c r="C148" s="427"/>
      <c r="D148" s="448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</row>
    <row r="149" spans="1:48">
      <c r="A149" s="427"/>
      <c r="B149" s="448"/>
      <c r="C149" s="427"/>
      <c r="D149" s="448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20" activePane="bottomRight" state="frozen"/>
      <selection activeCell="E16" sqref="E16"/>
      <selection pane="topRight" activeCell="E16" sqref="E16"/>
      <selection pane="bottomLeft" activeCell="E16" sqref="E16"/>
      <selection pane="bottomRight" activeCell="E5" sqref="E5:E53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bestFit="1" customWidth="1"/>
    <col min="4" max="4" width="11.81640625" style="424" bestFit="1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531"/>
      <c r="B1" s="428"/>
      <c r="C1" s="429"/>
      <c r="D1" s="428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24"/>
      <c r="T1" s="524"/>
      <c r="U1" s="427"/>
      <c r="V1" s="427"/>
      <c r="W1" s="427"/>
      <c r="X1" s="427"/>
      <c r="Y1" s="427"/>
      <c r="Z1" s="427"/>
      <c r="AA1" s="427"/>
      <c r="AB1" s="427"/>
      <c r="AC1" s="471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</row>
    <row r="2" spans="1:48">
      <c r="A2" s="533" t="s">
        <v>50</v>
      </c>
      <c r="B2" s="431"/>
      <c r="C2" s="431"/>
      <c r="D2" s="431"/>
      <c r="E2" s="534">
        <v>45657</v>
      </c>
      <c r="F2" s="534">
        <v>45747</v>
      </c>
      <c r="G2" s="534">
        <v>45838</v>
      </c>
      <c r="H2" s="534">
        <v>45930</v>
      </c>
      <c r="I2" s="534">
        <v>46022</v>
      </c>
      <c r="J2" s="534">
        <v>46112</v>
      </c>
      <c r="K2" s="534">
        <v>46203</v>
      </c>
      <c r="L2" s="534">
        <v>46295</v>
      </c>
      <c r="M2" s="534">
        <v>46387</v>
      </c>
      <c r="N2" s="534">
        <v>46752</v>
      </c>
      <c r="O2" s="534">
        <v>47118</v>
      </c>
      <c r="P2" s="534">
        <v>47483</v>
      </c>
      <c r="Q2" s="534">
        <v>47848</v>
      </c>
      <c r="R2" s="533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</row>
    <row r="3" spans="1:48" ht="14.65" customHeight="1">
      <c r="A3" s="533" t="s">
        <v>128</v>
      </c>
      <c r="B3" s="431"/>
      <c r="C3" s="431"/>
      <c r="D3" s="431"/>
      <c r="E3" s="535" t="s">
        <v>129</v>
      </c>
      <c r="F3" s="535" t="s">
        <v>130</v>
      </c>
      <c r="G3" s="535" t="s">
        <v>131</v>
      </c>
      <c r="H3" s="535" t="s">
        <v>132</v>
      </c>
      <c r="I3" s="535" t="s">
        <v>129</v>
      </c>
      <c r="J3" s="535" t="s">
        <v>130</v>
      </c>
      <c r="K3" s="535" t="s">
        <v>131</v>
      </c>
      <c r="L3" s="535" t="s">
        <v>132</v>
      </c>
      <c r="M3" s="535" t="s">
        <v>129</v>
      </c>
      <c r="N3" s="536" t="s">
        <v>129</v>
      </c>
      <c r="O3" s="536" t="s">
        <v>129</v>
      </c>
      <c r="P3" s="536" t="s">
        <v>129</v>
      </c>
      <c r="Q3" s="536" t="s">
        <v>129</v>
      </c>
      <c r="R3" s="537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</row>
    <row r="4" spans="1:48" ht="14.65" customHeight="1">
      <c r="A4" s="427"/>
      <c r="B4" s="437" t="s">
        <v>0</v>
      </c>
      <c r="C4" s="438" t="s">
        <v>1</v>
      </c>
      <c r="D4" s="437" t="s">
        <v>2</v>
      </c>
      <c r="E4" s="538"/>
      <c r="F4" s="538"/>
      <c r="G4" s="538"/>
      <c r="H4" s="538"/>
      <c r="I4" s="538"/>
      <c r="J4" s="538"/>
      <c r="K4" s="538"/>
      <c r="L4" s="538"/>
      <c r="M4" s="538"/>
      <c r="N4" s="539"/>
      <c r="O4" s="539"/>
      <c r="P4" s="539"/>
      <c r="Q4" s="539"/>
      <c r="R4" s="540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</row>
    <row r="5" spans="1:48" ht="15" customHeight="1">
      <c r="A5" s="541" t="s">
        <v>902</v>
      </c>
      <c r="B5" s="442"/>
      <c r="C5" s="441" t="s">
        <v>903</v>
      </c>
      <c r="D5" s="442"/>
      <c r="E5" s="531"/>
      <c r="F5" s="531"/>
      <c r="G5" s="531"/>
      <c r="H5" s="531"/>
      <c r="I5" s="542"/>
      <c r="J5" s="531"/>
      <c r="K5" s="531"/>
      <c r="L5" s="531"/>
      <c r="M5" s="531"/>
      <c r="N5" s="531"/>
      <c r="O5" s="531"/>
      <c r="P5" s="531"/>
      <c r="Q5" s="531"/>
      <c r="R5" s="531"/>
      <c r="S5" s="427"/>
      <c r="T5" s="451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</row>
    <row r="6" spans="1:48" s="417" customFormat="1" ht="15" customHeight="1">
      <c r="A6" s="531" t="s">
        <v>1127</v>
      </c>
      <c r="B6" s="442"/>
      <c r="C6" s="444"/>
      <c r="D6" s="445"/>
      <c r="E6" s="531"/>
      <c r="F6" s="531"/>
      <c r="G6" s="531"/>
      <c r="H6" s="531"/>
      <c r="I6" s="542"/>
      <c r="J6" s="531"/>
      <c r="K6" s="531"/>
      <c r="L6" s="531"/>
      <c r="M6" s="531"/>
      <c r="N6" s="531"/>
      <c r="O6" s="531"/>
      <c r="P6" s="531"/>
      <c r="Q6" s="531"/>
      <c r="R6" s="531"/>
      <c r="S6" s="427"/>
      <c r="T6" s="451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</row>
    <row r="7" spans="1:48" s="417" customFormat="1" ht="15" customHeight="1">
      <c r="A7" s="531" t="s">
        <v>1127</v>
      </c>
      <c r="B7" s="442"/>
      <c r="C7" s="444"/>
      <c r="D7" s="445"/>
      <c r="E7" s="531"/>
      <c r="F7" s="531"/>
      <c r="G7" s="531"/>
      <c r="H7" s="531"/>
      <c r="I7" s="542"/>
      <c r="J7" s="531"/>
      <c r="K7" s="531"/>
      <c r="L7" s="531"/>
      <c r="M7" s="531"/>
      <c r="N7" s="531"/>
      <c r="O7" s="531"/>
      <c r="P7" s="531"/>
      <c r="Q7" s="531"/>
      <c r="R7" s="531"/>
      <c r="S7" s="427"/>
      <c r="T7" s="451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</row>
    <row r="8" spans="1:48" s="417" customFormat="1" ht="15" customHeight="1">
      <c r="A8" s="531" t="s">
        <v>1127</v>
      </c>
      <c r="B8" s="442"/>
      <c r="C8" s="444"/>
      <c r="D8" s="445"/>
      <c r="E8" s="531"/>
      <c r="F8" s="531"/>
      <c r="G8" s="531"/>
      <c r="H8" s="531"/>
      <c r="I8" s="542"/>
      <c r="J8" s="531"/>
      <c r="K8" s="531"/>
      <c r="L8" s="531"/>
      <c r="M8" s="531"/>
      <c r="N8" s="531"/>
      <c r="O8" s="531"/>
      <c r="P8" s="531"/>
      <c r="Q8" s="531"/>
      <c r="R8" s="531"/>
      <c r="S8" s="427"/>
      <c r="T8" s="451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</row>
    <row r="9" spans="1:48" s="417" customFormat="1" ht="15" customHeight="1">
      <c r="A9" s="531" t="s">
        <v>1127</v>
      </c>
      <c r="B9" s="428"/>
      <c r="C9" s="429"/>
      <c r="D9" s="428"/>
      <c r="E9" s="531"/>
      <c r="F9" s="531"/>
      <c r="G9" s="531"/>
      <c r="H9" s="531"/>
      <c r="I9" s="542"/>
      <c r="J9" s="531"/>
      <c r="K9" s="531"/>
      <c r="L9" s="531"/>
      <c r="M9" s="531"/>
      <c r="N9" s="531"/>
      <c r="O9" s="531"/>
      <c r="P9" s="531"/>
      <c r="Q9" s="531"/>
      <c r="R9" s="531"/>
      <c r="S9" s="427"/>
      <c r="T9" s="451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</row>
    <row r="10" spans="1:48" s="417" customFormat="1" ht="15" customHeight="1">
      <c r="A10" s="531" t="s">
        <v>1127</v>
      </c>
      <c r="B10" s="428"/>
      <c r="C10" s="429"/>
      <c r="D10" s="428"/>
      <c r="E10" s="531"/>
      <c r="F10" s="531"/>
      <c r="G10" s="531"/>
      <c r="H10" s="531"/>
      <c r="I10" s="542"/>
      <c r="J10" s="531"/>
      <c r="K10" s="531"/>
      <c r="L10" s="531"/>
      <c r="M10" s="531"/>
      <c r="N10" s="531"/>
      <c r="O10" s="531"/>
      <c r="P10" s="531"/>
      <c r="Q10" s="531"/>
      <c r="R10" s="531"/>
      <c r="S10" s="427"/>
      <c r="T10" s="451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</row>
    <row r="11" spans="1:48" s="417" customFormat="1" ht="15" customHeight="1">
      <c r="A11" s="531" t="s">
        <v>1127</v>
      </c>
      <c r="B11" s="428"/>
      <c r="C11" s="429"/>
      <c r="D11" s="428"/>
      <c r="E11" s="531"/>
      <c r="F11" s="531"/>
      <c r="G11" s="531"/>
      <c r="H11" s="531"/>
      <c r="I11" s="542"/>
      <c r="J11" s="531"/>
      <c r="K11" s="531"/>
      <c r="L11" s="531"/>
      <c r="M11" s="531"/>
      <c r="N11" s="531"/>
      <c r="O11" s="531"/>
      <c r="P11" s="531"/>
      <c r="Q11" s="531"/>
      <c r="R11" s="531"/>
      <c r="S11" s="427"/>
      <c r="T11" s="451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</row>
    <row r="12" spans="1:48" s="417" customFormat="1" ht="15" customHeight="1">
      <c r="A12" s="531" t="s">
        <v>1127</v>
      </c>
      <c r="B12" s="428"/>
      <c r="C12" s="429"/>
      <c r="D12" s="428"/>
      <c r="E12" s="531"/>
      <c r="F12" s="531"/>
      <c r="G12" s="531"/>
      <c r="H12" s="531"/>
      <c r="I12" s="542"/>
      <c r="J12" s="531"/>
      <c r="K12" s="531"/>
      <c r="L12" s="531"/>
      <c r="M12" s="531"/>
      <c r="N12" s="531"/>
      <c r="O12" s="531"/>
      <c r="P12" s="531"/>
      <c r="Q12" s="531"/>
      <c r="R12" s="531"/>
      <c r="S12" s="427"/>
      <c r="T12" s="451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</row>
    <row r="13" spans="1:48" s="417" customFormat="1" ht="15" customHeight="1">
      <c r="A13" s="531" t="s">
        <v>1127</v>
      </c>
      <c r="B13" s="428"/>
      <c r="C13" s="429"/>
      <c r="D13" s="428"/>
      <c r="E13" s="531"/>
      <c r="F13" s="531"/>
      <c r="G13" s="531"/>
      <c r="H13" s="531"/>
      <c r="I13" s="542"/>
      <c r="J13" s="531"/>
      <c r="K13" s="531"/>
      <c r="L13" s="531"/>
      <c r="M13" s="531"/>
      <c r="N13" s="531"/>
      <c r="O13" s="531"/>
      <c r="P13" s="531"/>
      <c r="Q13" s="531"/>
      <c r="R13" s="531"/>
      <c r="S13" s="427"/>
      <c r="T13" s="451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</row>
    <row r="14" spans="1:48" s="417" customFormat="1" ht="15" customHeight="1">
      <c r="A14" s="531" t="s">
        <v>1127</v>
      </c>
      <c r="B14" s="428"/>
      <c r="C14" s="429"/>
      <c r="D14" s="428"/>
      <c r="E14" s="531"/>
      <c r="F14" s="531"/>
      <c r="G14" s="531"/>
      <c r="H14" s="531"/>
      <c r="I14" s="542"/>
      <c r="J14" s="531"/>
      <c r="K14" s="531"/>
      <c r="L14" s="531"/>
      <c r="M14" s="531"/>
      <c r="N14" s="531"/>
      <c r="O14" s="531"/>
      <c r="P14" s="531"/>
      <c r="Q14" s="531"/>
      <c r="R14" s="531"/>
      <c r="S14" s="427"/>
      <c r="T14" s="451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</row>
    <row r="15" spans="1:48" s="417" customFormat="1" ht="15" customHeight="1">
      <c r="A15" s="531" t="s">
        <v>1127</v>
      </c>
      <c r="B15" s="428"/>
      <c r="C15" s="429"/>
      <c r="D15" s="428"/>
      <c r="E15" s="531"/>
      <c r="F15" s="531"/>
      <c r="G15" s="531"/>
      <c r="H15" s="531"/>
      <c r="I15" s="542"/>
      <c r="J15" s="531"/>
      <c r="K15" s="531"/>
      <c r="L15" s="531"/>
      <c r="M15" s="531"/>
      <c r="N15" s="531"/>
      <c r="O15" s="531"/>
      <c r="P15" s="531"/>
      <c r="Q15" s="531"/>
      <c r="R15" s="531"/>
      <c r="S15" s="427"/>
      <c r="T15" s="451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</row>
    <row r="16" spans="1:48" s="417" customFormat="1" ht="15" customHeight="1">
      <c r="A16" s="531" t="s">
        <v>1127</v>
      </c>
      <c r="B16" s="428"/>
      <c r="C16" s="429"/>
      <c r="D16" s="428"/>
      <c r="E16" s="531"/>
      <c r="F16" s="531"/>
      <c r="G16" s="531"/>
      <c r="H16" s="531"/>
      <c r="I16" s="542"/>
      <c r="J16" s="531"/>
      <c r="K16" s="531"/>
      <c r="L16" s="531"/>
      <c r="M16" s="531"/>
      <c r="N16" s="531"/>
      <c r="O16" s="531"/>
      <c r="P16" s="531"/>
      <c r="Q16" s="531"/>
      <c r="R16" s="531"/>
      <c r="S16" s="427"/>
      <c r="T16" s="451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</row>
    <row r="17" spans="1:48" s="417" customFormat="1" ht="15" customHeight="1">
      <c r="A17" s="531" t="s">
        <v>1127</v>
      </c>
      <c r="B17" s="428"/>
      <c r="C17" s="429"/>
      <c r="D17" s="428"/>
      <c r="E17" s="531"/>
      <c r="F17" s="531"/>
      <c r="G17" s="531"/>
      <c r="H17" s="531"/>
      <c r="I17" s="542"/>
      <c r="J17" s="531"/>
      <c r="K17" s="531"/>
      <c r="L17" s="531"/>
      <c r="M17" s="531"/>
      <c r="N17" s="531"/>
      <c r="O17" s="531"/>
      <c r="P17" s="531"/>
      <c r="Q17" s="531"/>
      <c r="R17" s="531"/>
      <c r="S17" s="427"/>
      <c r="T17" s="451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</row>
    <row r="18" spans="1:48" s="417" customFormat="1" ht="15" customHeight="1">
      <c r="A18" s="531" t="s">
        <v>1127</v>
      </c>
      <c r="B18" s="428"/>
      <c r="C18" s="429"/>
      <c r="D18" s="428"/>
      <c r="E18" s="531"/>
      <c r="F18" s="531"/>
      <c r="G18" s="531"/>
      <c r="H18" s="531"/>
      <c r="I18" s="542"/>
      <c r="J18" s="531"/>
      <c r="K18" s="531"/>
      <c r="L18" s="531"/>
      <c r="M18" s="531"/>
      <c r="N18" s="531"/>
      <c r="O18" s="531"/>
      <c r="P18" s="531"/>
      <c r="Q18" s="531"/>
      <c r="R18" s="531"/>
      <c r="S18" s="427"/>
      <c r="T18" s="451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</row>
    <row r="19" spans="1:48" s="417" customFormat="1" ht="15" customHeight="1">
      <c r="A19" s="531" t="s">
        <v>1127</v>
      </c>
      <c r="B19" s="428"/>
      <c r="C19" s="429"/>
      <c r="D19" s="428"/>
      <c r="E19" s="531"/>
      <c r="F19" s="531"/>
      <c r="G19" s="531"/>
      <c r="H19" s="531"/>
      <c r="I19" s="542"/>
      <c r="J19" s="531"/>
      <c r="K19" s="531"/>
      <c r="L19" s="531"/>
      <c r="M19" s="531"/>
      <c r="N19" s="531"/>
      <c r="O19" s="531"/>
      <c r="P19" s="531"/>
      <c r="Q19" s="531"/>
      <c r="R19" s="531"/>
      <c r="S19" s="427"/>
      <c r="T19" s="451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</row>
    <row r="20" spans="1:48" s="417" customFormat="1" ht="15" customHeight="1">
      <c r="A20" s="531" t="s">
        <v>1127</v>
      </c>
      <c r="B20" s="428"/>
      <c r="C20" s="429"/>
      <c r="D20" s="428"/>
      <c r="E20" s="531"/>
      <c r="F20" s="531"/>
      <c r="G20" s="531"/>
      <c r="H20" s="531"/>
      <c r="I20" s="542"/>
      <c r="J20" s="531"/>
      <c r="K20" s="531"/>
      <c r="L20" s="531"/>
      <c r="M20" s="531"/>
      <c r="N20" s="531"/>
      <c r="O20" s="531"/>
      <c r="P20" s="531"/>
      <c r="Q20" s="531"/>
      <c r="R20" s="531"/>
      <c r="S20" s="427"/>
      <c r="T20" s="451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</row>
    <row r="21" spans="1:48" s="417" customFormat="1" ht="15" customHeight="1">
      <c r="A21" s="531" t="s">
        <v>1127</v>
      </c>
      <c r="B21" s="428"/>
      <c r="C21" s="429"/>
      <c r="D21" s="428"/>
      <c r="E21" s="531"/>
      <c r="F21" s="531"/>
      <c r="G21" s="531"/>
      <c r="H21" s="531"/>
      <c r="I21" s="542"/>
      <c r="J21" s="531"/>
      <c r="K21" s="531"/>
      <c r="L21" s="531"/>
      <c r="M21" s="531"/>
      <c r="N21" s="531"/>
      <c r="O21" s="531"/>
      <c r="P21" s="531"/>
      <c r="Q21" s="531"/>
      <c r="R21" s="531"/>
      <c r="S21" s="427"/>
      <c r="T21" s="451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</row>
    <row r="22" spans="1:48">
      <c r="A22" s="531" t="s">
        <v>1127</v>
      </c>
      <c r="B22" s="427"/>
      <c r="C22" s="427"/>
      <c r="D22" s="427"/>
      <c r="E22" s="547"/>
      <c r="F22" s="543">
        <v>0</v>
      </c>
      <c r="G22" s="543">
        <v>0</v>
      </c>
      <c r="H22" s="543">
        <v>0</v>
      </c>
      <c r="I22" s="543">
        <v>0</v>
      </c>
      <c r="J22" s="543">
        <v>0</v>
      </c>
      <c r="K22" s="543">
        <v>0</v>
      </c>
      <c r="L22" s="543">
        <v>0</v>
      </c>
      <c r="M22" s="543">
        <v>0</v>
      </c>
      <c r="N22" s="543">
        <v>0</v>
      </c>
      <c r="O22" s="543">
        <v>0</v>
      </c>
      <c r="P22" s="543">
        <v>0</v>
      </c>
      <c r="Q22" s="543">
        <v>0</v>
      </c>
      <c r="R22" s="545" t="s">
        <v>907</v>
      </c>
      <c r="S22" s="427"/>
      <c r="T22" s="546"/>
      <c r="U22" s="427"/>
      <c r="V22" s="427"/>
      <c r="W22" s="543"/>
      <c r="X22" s="543"/>
      <c r="Y22" s="543"/>
      <c r="Z22" s="543"/>
      <c r="AA22" s="543"/>
      <c r="AB22" s="543"/>
      <c r="AC22" s="543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</row>
    <row r="23" spans="1:48">
      <c r="A23" s="531" t="s">
        <v>1127</v>
      </c>
      <c r="B23" s="427"/>
      <c r="C23" s="427"/>
      <c r="D23" s="427"/>
      <c r="E23" s="547"/>
      <c r="F23" s="543">
        <v>0</v>
      </c>
      <c r="G23" s="543">
        <v>0</v>
      </c>
      <c r="H23" s="543">
        <v>0</v>
      </c>
      <c r="I23" s="543">
        <v>0</v>
      </c>
      <c r="J23" s="543">
        <v>0</v>
      </c>
      <c r="K23" s="543">
        <v>0</v>
      </c>
      <c r="L23" s="543">
        <v>0</v>
      </c>
      <c r="M23" s="543">
        <v>0</v>
      </c>
      <c r="N23" s="543">
        <v>0</v>
      </c>
      <c r="O23" s="543">
        <v>0</v>
      </c>
      <c r="P23" s="543">
        <v>0</v>
      </c>
      <c r="Q23" s="543">
        <v>0</v>
      </c>
      <c r="R23" s="447"/>
      <c r="S23" s="559"/>
      <c r="T23" s="524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</row>
    <row r="24" spans="1:48" ht="15" customHeight="1">
      <c r="A24" s="531" t="s">
        <v>1127</v>
      </c>
      <c r="B24" s="427"/>
      <c r="C24" s="427"/>
      <c r="D24" s="427"/>
      <c r="E24" s="547"/>
      <c r="F24" s="543">
        <v>0</v>
      </c>
      <c r="G24" s="543">
        <v>0</v>
      </c>
      <c r="H24" s="543">
        <v>0</v>
      </c>
      <c r="I24" s="543">
        <v>0</v>
      </c>
      <c r="J24" s="543">
        <v>0</v>
      </c>
      <c r="K24" s="543">
        <v>0</v>
      </c>
      <c r="L24" s="543">
        <v>0</v>
      </c>
      <c r="M24" s="543">
        <v>0</v>
      </c>
      <c r="N24" s="543">
        <v>0</v>
      </c>
      <c r="O24" s="543">
        <v>0</v>
      </c>
      <c r="P24" s="543">
        <v>0</v>
      </c>
      <c r="Q24" s="543">
        <v>0</v>
      </c>
      <c r="R24" s="447"/>
      <c r="S24" s="559"/>
      <c r="T24" s="524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</row>
    <row r="25" spans="1:48">
      <c r="A25" s="552" t="s">
        <v>937</v>
      </c>
      <c r="B25" s="439" t="s">
        <v>805</v>
      </c>
      <c r="C25" s="439" t="s">
        <v>938</v>
      </c>
      <c r="D25" s="427"/>
      <c r="E25" s="543"/>
      <c r="F25" s="553">
        <f t="shared" ref="E25:Q25" si="0">SUM(F22:F24)</f>
        <v>0</v>
      </c>
      <c r="G25" s="553">
        <f t="shared" si="0"/>
        <v>0</v>
      </c>
      <c r="H25" s="553">
        <f t="shared" si="0"/>
        <v>0</v>
      </c>
      <c r="I25" s="553">
        <f t="shared" si="0"/>
        <v>0</v>
      </c>
      <c r="J25" s="553">
        <f t="shared" si="0"/>
        <v>0</v>
      </c>
      <c r="K25" s="553">
        <f t="shared" si="0"/>
        <v>0</v>
      </c>
      <c r="L25" s="553">
        <f t="shared" si="0"/>
        <v>0</v>
      </c>
      <c r="M25" s="553">
        <f t="shared" si="0"/>
        <v>0</v>
      </c>
      <c r="N25" s="543">
        <f t="shared" si="0"/>
        <v>0</v>
      </c>
      <c r="O25" s="543">
        <f t="shared" si="0"/>
        <v>0</v>
      </c>
      <c r="P25" s="543">
        <f t="shared" si="0"/>
        <v>0</v>
      </c>
      <c r="Q25" s="543">
        <f t="shared" si="0"/>
        <v>0</v>
      </c>
      <c r="R25" s="543"/>
      <c r="S25" s="524"/>
      <c r="T25" s="524"/>
      <c r="U25" s="427"/>
      <c r="V25" s="471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</row>
    <row r="26" spans="1:48" ht="15" customHeight="1">
      <c r="A26" s="531"/>
      <c r="B26" s="427"/>
      <c r="C26" s="427"/>
      <c r="D26" s="427"/>
      <c r="E26" s="543"/>
      <c r="F26" s="543"/>
      <c r="G26" s="543"/>
      <c r="H26" s="543"/>
      <c r="I26" s="543"/>
      <c r="J26" s="543"/>
      <c r="K26" s="543"/>
      <c r="L26" s="543"/>
      <c r="M26" s="543"/>
      <c r="N26" s="543"/>
      <c r="O26" s="543"/>
      <c r="P26" s="543"/>
      <c r="Q26" s="543"/>
      <c r="R26" s="543"/>
      <c r="S26" s="524"/>
      <c r="T26" s="524"/>
      <c r="U26" s="427"/>
      <c r="V26" s="471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</row>
    <row r="27" spans="1:48">
      <c r="A27" s="541" t="s">
        <v>939</v>
      </c>
      <c r="B27" s="439" t="s">
        <v>17</v>
      </c>
      <c r="C27" s="439" t="s">
        <v>940</v>
      </c>
      <c r="D27" s="427"/>
      <c r="E27" s="547"/>
      <c r="F27" s="544">
        <v>0</v>
      </c>
      <c r="G27" s="544">
        <v>0</v>
      </c>
      <c r="H27" s="544">
        <v>0</v>
      </c>
      <c r="I27" s="544">
        <v>0</v>
      </c>
      <c r="J27" s="544">
        <v>0</v>
      </c>
      <c r="K27" s="544">
        <v>0</v>
      </c>
      <c r="L27" s="544">
        <v>0</v>
      </c>
      <c r="M27" s="544">
        <v>0</v>
      </c>
      <c r="N27" s="543">
        <v>0</v>
      </c>
      <c r="O27" s="543">
        <v>0</v>
      </c>
      <c r="P27" s="543">
        <v>0</v>
      </c>
      <c r="Q27" s="543">
        <v>0</v>
      </c>
      <c r="R27" s="545" t="s">
        <v>907</v>
      </c>
      <c r="S27" s="524"/>
      <c r="T27" s="524"/>
      <c r="U27" s="477"/>
      <c r="V27" s="477"/>
      <c r="W27" s="477"/>
      <c r="X27" s="477"/>
      <c r="Y27" s="477"/>
      <c r="Z27" s="477"/>
      <c r="AA27" s="477"/>
      <c r="AB27" s="477"/>
      <c r="AC27" s="47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</row>
    <row r="28" spans="1:48" ht="15" customHeight="1">
      <c r="A28" s="466" t="s">
        <v>941</v>
      </c>
      <c r="B28" s="439" t="s">
        <v>17</v>
      </c>
      <c r="C28" s="439" t="s">
        <v>942</v>
      </c>
      <c r="D28" s="427"/>
      <c r="E28" s="547"/>
      <c r="F28" s="544">
        <v>0</v>
      </c>
      <c r="G28" s="544">
        <v>0</v>
      </c>
      <c r="H28" s="544">
        <v>0</v>
      </c>
      <c r="I28" s="544">
        <v>0</v>
      </c>
      <c r="J28" s="544">
        <v>0</v>
      </c>
      <c r="K28" s="544">
        <v>0</v>
      </c>
      <c r="L28" s="544">
        <v>0</v>
      </c>
      <c r="M28" s="544">
        <v>0</v>
      </c>
      <c r="N28" s="543">
        <v>0</v>
      </c>
      <c r="O28" s="543">
        <v>0</v>
      </c>
      <c r="P28" s="543">
        <v>0</v>
      </c>
      <c r="Q28" s="543">
        <v>0</v>
      </c>
      <c r="R28" s="427"/>
      <c r="S28" s="524"/>
      <c r="T28" s="524"/>
      <c r="U28" s="477"/>
      <c r="V28" s="477"/>
      <c r="W28" s="477"/>
      <c r="X28" s="477"/>
      <c r="Y28" s="477"/>
      <c r="Z28" s="477"/>
      <c r="AA28" s="477"/>
      <c r="AB28" s="477"/>
      <c r="AC28" s="47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</row>
    <row r="29" spans="1:48">
      <c r="A29" s="541" t="s">
        <v>943</v>
      </c>
      <c r="B29" s="439" t="s">
        <v>805</v>
      </c>
      <c r="C29" s="439" t="s">
        <v>944</v>
      </c>
      <c r="D29" s="427"/>
      <c r="E29" s="543"/>
      <c r="F29" s="553">
        <f t="shared" ref="F29:Q29" si="1">+F27+E29+F28</f>
        <v>0</v>
      </c>
      <c r="G29" s="553">
        <f t="shared" si="1"/>
        <v>0</v>
      </c>
      <c r="H29" s="553">
        <f t="shared" si="1"/>
        <v>0</v>
      </c>
      <c r="I29" s="553">
        <f t="shared" si="1"/>
        <v>0</v>
      </c>
      <c r="J29" s="553">
        <f t="shared" si="1"/>
        <v>0</v>
      </c>
      <c r="K29" s="553">
        <f t="shared" si="1"/>
        <v>0</v>
      </c>
      <c r="L29" s="553">
        <f t="shared" si="1"/>
        <v>0</v>
      </c>
      <c r="M29" s="553">
        <f t="shared" si="1"/>
        <v>0</v>
      </c>
      <c r="N29" s="543">
        <f t="shared" si="1"/>
        <v>0</v>
      </c>
      <c r="O29" s="543">
        <f t="shared" si="1"/>
        <v>0</v>
      </c>
      <c r="P29" s="543">
        <f t="shared" si="1"/>
        <v>0</v>
      </c>
      <c r="Q29" s="543">
        <f t="shared" si="1"/>
        <v>0</v>
      </c>
      <c r="R29" s="427"/>
      <c r="S29" s="524"/>
      <c r="T29" s="524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</row>
    <row r="30" spans="1:48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524"/>
      <c r="T30" s="524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</row>
    <row r="31" spans="1:48">
      <c r="A31" s="541" t="s">
        <v>945</v>
      </c>
      <c r="B31" s="439" t="s">
        <v>805</v>
      </c>
      <c r="C31" s="439" t="s">
        <v>946</v>
      </c>
      <c r="D31" s="427"/>
      <c r="E31" s="557"/>
      <c r="F31" s="558">
        <f t="shared" ref="E31:Q31" si="2">+F25+F27</f>
        <v>0</v>
      </c>
      <c r="G31" s="558">
        <f t="shared" si="2"/>
        <v>0</v>
      </c>
      <c r="H31" s="558">
        <f t="shared" si="2"/>
        <v>0</v>
      </c>
      <c r="I31" s="558">
        <f t="shared" si="2"/>
        <v>0</v>
      </c>
      <c r="J31" s="558">
        <f t="shared" si="2"/>
        <v>0</v>
      </c>
      <c r="K31" s="558">
        <f t="shared" si="2"/>
        <v>0</v>
      </c>
      <c r="L31" s="558">
        <f t="shared" si="2"/>
        <v>0</v>
      </c>
      <c r="M31" s="558">
        <f t="shared" si="2"/>
        <v>0</v>
      </c>
      <c r="N31" s="486">
        <f t="shared" si="2"/>
        <v>0</v>
      </c>
      <c r="O31" s="486">
        <f t="shared" si="2"/>
        <v>0</v>
      </c>
      <c r="P31" s="486">
        <f t="shared" si="2"/>
        <v>0</v>
      </c>
      <c r="Q31" s="486">
        <f t="shared" si="2"/>
        <v>0</v>
      </c>
      <c r="R31" s="427"/>
      <c r="S31" s="524"/>
      <c r="T31" s="524"/>
      <c r="U31" s="427"/>
      <c r="V31" s="427"/>
      <c r="W31" s="427"/>
      <c r="X31" s="477"/>
      <c r="Y31" s="477"/>
      <c r="Z31" s="477"/>
      <c r="AA31" s="477"/>
      <c r="AB31" s="477"/>
      <c r="AC31" s="47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</row>
    <row r="32" spans="1:48">
      <c r="A32" s="541" t="s">
        <v>947</v>
      </c>
      <c r="B32" s="439" t="s">
        <v>805</v>
      </c>
      <c r="C32" s="439" t="s">
        <v>948</v>
      </c>
      <c r="D32" s="427"/>
      <c r="E32" s="557"/>
      <c r="F32" s="558">
        <f t="shared" ref="E32:Q32" si="3">+F28+F31</f>
        <v>0</v>
      </c>
      <c r="G32" s="558">
        <f t="shared" si="3"/>
        <v>0</v>
      </c>
      <c r="H32" s="558">
        <f t="shared" si="3"/>
        <v>0</v>
      </c>
      <c r="I32" s="558">
        <f t="shared" si="3"/>
        <v>0</v>
      </c>
      <c r="J32" s="558">
        <f t="shared" si="3"/>
        <v>0</v>
      </c>
      <c r="K32" s="558">
        <f t="shared" si="3"/>
        <v>0</v>
      </c>
      <c r="L32" s="558">
        <f t="shared" si="3"/>
        <v>0</v>
      </c>
      <c r="M32" s="558">
        <f t="shared" si="3"/>
        <v>0</v>
      </c>
      <c r="N32" s="486">
        <f t="shared" si="3"/>
        <v>0</v>
      </c>
      <c r="O32" s="486">
        <f t="shared" si="3"/>
        <v>0</v>
      </c>
      <c r="P32" s="486">
        <f t="shared" si="3"/>
        <v>0</v>
      </c>
      <c r="Q32" s="486">
        <f t="shared" si="3"/>
        <v>0</v>
      </c>
      <c r="R32" s="427"/>
      <c r="S32" s="524"/>
      <c r="T32" s="524"/>
      <c r="U32" s="427"/>
      <c r="V32" s="427"/>
      <c r="W32" s="427"/>
      <c r="X32" s="477"/>
      <c r="Y32" s="477"/>
      <c r="Z32" s="477"/>
      <c r="AA32" s="477"/>
      <c r="AB32" s="477"/>
      <c r="AC32" s="47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</row>
    <row r="33" spans="1:48">
      <c r="A33" s="427"/>
      <c r="B33" s="427"/>
      <c r="C33" s="427"/>
      <c r="D33" s="427"/>
      <c r="E33" s="543"/>
      <c r="F33" s="543"/>
      <c r="G33" s="543"/>
      <c r="H33" s="543"/>
      <c r="I33" s="543"/>
      <c r="J33" s="543"/>
      <c r="K33" s="543"/>
      <c r="L33" s="543"/>
      <c r="M33" s="543"/>
      <c r="N33" s="543"/>
      <c r="O33" s="543"/>
      <c r="P33" s="543"/>
      <c r="Q33" s="543"/>
      <c r="R33" s="543"/>
      <c r="S33" s="524"/>
      <c r="T33" s="524"/>
      <c r="U33" s="427"/>
      <c r="V33" s="427"/>
      <c r="W33" s="427"/>
      <c r="X33" s="477"/>
      <c r="Y33" s="477"/>
      <c r="Z33" s="477"/>
      <c r="AA33" s="477"/>
      <c r="AB33" s="477"/>
      <c r="AC33" s="47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</row>
    <row r="34" spans="1:48" ht="15" customHeight="1">
      <c r="A34" s="541" t="s">
        <v>949</v>
      </c>
      <c r="B34" s="427"/>
      <c r="C34" s="439" t="s">
        <v>950</v>
      </c>
      <c r="D34" s="427"/>
      <c r="E34" s="543"/>
      <c r="F34" s="543"/>
      <c r="G34" s="543"/>
      <c r="H34" s="427"/>
      <c r="I34" s="427"/>
      <c r="J34" s="543"/>
      <c r="K34" s="560"/>
      <c r="L34" s="560"/>
      <c r="M34" s="560"/>
      <c r="N34" s="560"/>
      <c r="O34" s="560"/>
      <c r="P34" s="560"/>
      <c r="Q34" s="560"/>
      <c r="R34" s="543"/>
      <c r="S34" s="524"/>
      <c r="T34" s="524"/>
      <c r="U34" s="477"/>
      <c r="V34" s="477"/>
      <c r="W34" s="477"/>
      <c r="X34" s="477"/>
      <c r="Y34" s="477"/>
      <c r="Z34" s="477"/>
      <c r="AA34" s="477"/>
      <c r="AB34" s="477"/>
      <c r="AC34" s="47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</row>
    <row r="35" spans="1:48">
      <c r="A35" s="574" t="s">
        <v>205</v>
      </c>
      <c r="B35" s="439" t="s">
        <v>17</v>
      </c>
      <c r="C35" s="439" t="s">
        <v>1022</v>
      </c>
      <c r="D35" s="439" t="s">
        <v>906</v>
      </c>
      <c r="E35" s="547"/>
      <c r="F35" s="544">
        <v>0</v>
      </c>
      <c r="G35" s="544">
        <v>0</v>
      </c>
      <c r="H35" s="544">
        <v>0</v>
      </c>
      <c r="I35" s="544">
        <v>0</v>
      </c>
      <c r="J35" s="544">
        <f t="shared" ref="J35:M36" si="4">60000/4</f>
        <v>15000</v>
      </c>
      <c r="K35" s="544">
        <f t="shared" si="4"/>
        <v>15000</v>
      </c>
      <c r="L35" s="544">
        <f t="shared" si="4"/>
        <v>15000</v>
      </c>
      <c r="M35" s="544">
        <f t="shared" si="4"/>
        <v>15000</v>
      </c>
      <c r="N35" s="543">
        <v>60000</v>
      </c>
      <c r="O35" s="543">
        <v>60000</v>
      </c>
      <c r="P35" s="543">
        <v>60000</v>
      </c>
      <c r="Q35" s="543">
        <v>60000</v>
      </c>
      <c r="R35" s="439" t="s">
        <v>907</v>
      </c>
      <c r="S35" s="524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</row>
    <row r="36" spans="1:48">
      <c r="A36" s="574" t="s">
        <v>1030</v>
      </c>
      <c r="B36" s="439" t="s">
        <v>17</v>
      </c>
      <c r="C36" s="439" t="s">
        <v>1022</v>
      </c>
      <c r="D36" s="439" t="s">
        <v>913</v>
      </c>
      <c r="E36" s="547"/>
      <c r="F36" s="544">
        <v>0</v>
      </c>
      <c r="G36" s="544">
        <v>0</v>
      </c>
      <c r="H36" s="544">
        <v>0</v>
      </c>
      <c r="I36" s="544">
        <v>0</v>
      </c>
      <c r="J36" s="544">
        <f t="shared" si="4"/>
        <v>15000</v>
      </c>
      <c r="K36" s="544">
        <f t="shared" si="4"/>
        <v>15000</v>
      </c>
      <c r="L36" s="544">
        <f t="shared" si="4"/>
        <v>15000</v>
      </c>
      <c r="M36" s="544">
        <f t="shared" si="4"/>
        <v>15000</v>
      </c>
      <c r="N36" s="543">
        <v>60000</v>
      </c>
      <c r="O36" s="543">
        <v>60000</v>
      </c>
      <c r="P36" s="543">
        <v>60000</v>
      </c>
      <c r="Q36" s="543">
        <v>60000</v>
      </c>
      <c r="R36" s="427"/>
      <c r="S36" s="524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</row>
    <row r="37" spans="1:48">
      <c r="A37" s="574" t="s">
        <v>11</v>
      </c>
      <c r="B37" s="439" t="s">
        <v>17</v>
      </c>
      <c r="C37" s="439" t="s">
        <v>1022</v>
      </c>
      <c r="D37" s="439" t="s">
        <v>916</v>
      </c>
      <c r="E37" s="547"/>
      <c r="F37" s="544">
        <v>0</v>
      </c>
      <c r="G37" s="544">
        <v>0</v>
      </c>
      <c r="H37" s="544">
        <v>0</v>
      </c>
      <c r="I37" s="544">
        <v>0</v>
      </c>
      <c r="J37" s="544">
        <v>0</v>
      </c>
      <c r="K37" s="544">
        <v>0</v>
      </c>
      <c r="L37" s="544">
        <v>0</v>
      </c>
      <c r="M37" s="544">
        <v>0</v>
      </c>
      <c r="N37" s="543">
        <f>15000*2</f>
        <v>30000</v>
      </c>
      <c r="O37" s="543">
        <v>60000</v>
      </c>
      <c r="P37" s="543">
        <v>60000</v>
      </c>
      <c r="Q37" s="543">
        <v>60000</v>
      </c>
      <c r="R37" s="427"/>
      <c r="S37" s="524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</row>
    <row r="38" spans="1:48">
      <c r="A38" s="574" t="s">
        <v>146</v>
      </c>
      <c r="B38" s="439" t="s">
        <v>17</v>
      </c>
      <c r="C38" s="439" t="s">
        <v>1022</v>
      </c>
      <c r="D38" s="439" t="s">
        <v>479</v>
      </c>
      <c r="E38" s="547"/>
      <c r="F38" s="544">
        <v>0</v>
      </c>
      <c r="G38" s="544">
        <v>0</v>
      </c>
      <c r="H38" s="544">
        <v>0</v>
      </c>
      <c r="I38" s="544">
        <v>0</v>
      </c>
      <c r="J38" s="544">
        <v>0</v>
      </c>
      <c r="K38" s="544">
        <v>0</v>
      </c>
      <c r="L38" s="544">
        <v>0</v>
      </c>
      <c r="M38" s="544">
        <v>0</v>
      </c>
      <c r="N38" s="543">
        <v>0</v>
      </c>
      <c r="O38" s="543">
        <v>60000</v>
      </c>
      <c r="P38" s="543">
        <v>60000</v>
      </c>
      <c r="Q38" s="543">
        <v>60000</v>
      </c>
      <c r="R38" s="427"/>
      <c r="S38" s="524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</row>
    <row r="39" spans="1:48">
      <c r="A39" s="574" t="s">
        <v>14</v>
      </c>
      <c r="B39" s="439" t="s">
        <v>17</v>
      </c>
      <c r="C39" s="439" t="s">
        <v>1022</v>
      </c>
      <c r="D39" s="439" t="s">
        <v>928</v>
      </c>
      <c r="E39" s="547"/>
      <c r="F39" s="544">
        <v>0</v>
      </c>
      <c r="G39" s="544">
        <v>0</v>
      </c>
      <c r="H39" s="544">
        <v>0</v>
      </c>
      <c r="I39" s="544">
        <v>0</v>
      </c>
      <c r="J39" s="544">
        <v>0</v>
      </c>
      <c r="K39" s="544">
        <f t="shared" ref="K39:Q39" si="5">+J39</f>
        <v>0</v>
      </c>
      <c r="L39" s="544">
        <f t="shared" si="5"/>
        <v>0</v>
      </c>
      <c r="M39" s="544">
        <f t="shared" si="5"/>
        <v>0</v>
      </c>
      <c r="N39" s="543">
        <f t="shared" si="5"/>
        <v>0</v>
      </c>
      <c r="O39" s="543">
        <f t="shared" si="5"/>
        <v>0</v>
      </c>
      <c r="P39" s="543">
        <f t="shared" si="5"/>
        <v>0</v>
      </c>
      <c r="Q39" s="543">
        <f t="shared" si="5"/>
        <v>0</v>
      </c>
      <c r="R39" s="427"/>
      <c r="S39" s="524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</row>
    <row r="40" spans="1:48" s="417" customFormat="1">
      <c r="A40" s="531" t="s">
        <v>1127</v>
      </c>
      <c r="B40" s="428"/>
      <c r="C40" s="429"/>
      <c r="D40" s="428"/>
      <c r="E40" s="543"/>
      <c r="F40" s="543"/>
      <c r="G40" s="543"/>
      <c r="H40" s="543"/>
      <c r="I40" s="543"/>
      <c r="J40" s="543"/>
      <c r="K40" s="543"/>
      <c r="L40" s="543"/>
      <c r="M40" s="543"/>
      <c r="N40" s="543"/>
      <c r="O40" s="543"/>
      <c r="P40" s="543"/>
      <c r="Q40" s="543"/>
      <c r="R40" s="427"/>
      <c r="S40" s="524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</row>
    <row r="41" spans="1:48" s="417" customFormat="1">
      <c r="A41" s="531" t="s">
        <v>1127</v>
      </c>
      <c r="B41" s="428"/>
      <c r="C41" s="429"/>
      <c r="D41" s="428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427"/>
      <c r="S41" s="524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</row>
    <row r="42" spans="1:48" s="417" customFormat="1">
      <c r="A42" s="531" t="s">
        <v>1127</v>
      </c>
      <c r="B42" s="428"/>
      <c r="C42" s="429"/>
      <c r="D42" s="428"/>
      <c r="E42" s="543"/>
      <c r="F42" s="543"/>
      <c r="G42" s="543"/>
      <c r="H42" s="543"/>
      <c r="I42" s="543"/>
      <c r="J42" s="543"/>
      <c r="K42" s="543"/>
      <c r="L42" s="543"/>
      <c r="M42" s="543"/>
      <c r="N42" s="543"/>
      <c r="O42" s="543"/>
      <c r="P42" s="543"/>
      <c r="Q42" s="543"/>
      <c r="R42" s="427"/>
      <c r="S42" s="524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</row>
    <row r="43" spans="1:48" s="417" customFormat="1">
      <c r="A43" s="531" t="s">
        <v>1127</v>
      </c>
      <c r="B43" s="428"/>
      <c r="C43" s="429"/>
      <c r="D43" s="428"/>
      <c r="E43" s="543"/>
      <c r="F43" s="543"/>
      <c r="G43" s="543"/>
      <c r="H43" s="543"/>
      <c r="I43" s="543"/>
      <c r="J43" s="543"/>
      <c r="K43" s="543"/>
      <c r="L43" s="543"/>
      <c r="M43" s="543"/>
      <c r="N43" s="543"/>
      <c r="O43" s="543"/>
      <c r="P43" s="543"/>
      <c r="Q43" s="543"/>
      <c r="R43" s="427"/>
      <c r="S43" s="524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</row>
    <row r="44" spans="1:48" s="417" customFormat="1">
      <c r="A44" s="531" t="s">
        <v>1127</v>
      </c>
      <c r="B44" s="428"/>
      <c r="C44" s="429"/>
      <c r="D44" s="428"/>
      <c r="E44" s="543"/>
      <c r="F44" s="543"/>
      <c r="G44" s="543"/>
      <c r="H44" s="543"/>
      <c r="I44" s="543"/>
      <c r="J44" s="543"/>
      <c r="K44" s="543"/>
      <c r="L44" s="543"/>
      <c r="M44" s="543"/>
      <c r="N44" s="543"/>
      <c r="O44" s="543"/>
      <c r="P44" s="543"/>
      <c r="Q44" s="543"/>
      <c r="R44" s="427"/>
      <c r="S44" s="524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</row>
    <row r="45" spans="1:48" ht="15" customHeight="1">
      <c r="A45" s="574" t="s">
        <v>151</v>
      </c>
      <c r="B45" s="439" t="s">
        <v>17</v>
      </c>
      <c r="C45" s="439" t="s">
        <v>1022</v>
      </c>
      <c r="D45" s="439" t="s">
        <v>935</v>
      </c>
      <c r="E45" s="543"/>
      <c r="F45" s="544"/>
      <c r="G45" s="544"/>
      <c r="H45" s="544"/>
      <c r="I45" s="544"/>
      <c r="J45" s="544"/>
      <c r="K45" s="544"/>
      <c r="L45" s="544"/>
      <c r="M45" s="544"/>
      <c r="N45" s="543"/>
      <c r="O45" s="543"/>
      <c r="P45" s="543"/>
      <c r="Q45" s="543"/>
      <c r="R45" s="427"/>
      <c r="S45" s="524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</row>
    <row r="46" spans="1:48" s="30" customFormat="1">
      <c r="A46" s="552" t="s">
        <v>1031</v>
      </c>
      <c r="B46" s="527" t="s">
        <v>805</v>
      </c>
      <c r="C46" s="525" t="s">
        <v>963</v>
      </c>
      <c r="D46" s="428"/>
      <c r="E46" s="543"/>
      <c r="F46" s="553">
        <f t="shared" ref="E46:Q46" si="6">SUM(F35:F45)</f>
        <v>0</v>
      </c>
      <c r="G46" s="553">
        <f t="shared" si="6"/>
        <v>0</v>
      </c>
      <c r="H46" s="553">
        <f t="shared" si="6"/>
        <v>0</v>
      </c>
      <c r="I46" s="553">
        <f t="shared" si="6"/>
        <v>0</v>
      </c>
      <c r="J46" s="553">
        <f t="shared" si="6"/>
        <v>30000</v>
      </c>
      <c r="K46" s="553">
        <f t="shared" si="6"/>
        <v>30000</v>
      </c>
      <c r="L46" s="553">
        <f t="shared" si="6"/>
        <v>30000</v>
      </c>
      <c r="M46" s="553">
        <f t="shared" si="6"/>
        <v>30000</v>
      </c>
      <c r="N46" s="543">
        <f t="shared" si="6"/>
        <v>150000</v>
      </c>
      <c r="O46" s="543">
        <f t="shared" si="6"/>
        <v>240000</v>
      </c>
      <c r="P46" s="543">
        <f t="shared" si="6"/>
        <v>240000</v>
      </c>
      <c r="Q46" s="543">
        <f t="shared" si="6"/>
        <v>240000</v>
      </c>
      <c r="R46" s="543"/>
      <c r="S46" s="427"/>
      <c r="T46" s="427"/>
      <c r="U46" s="427"/>
      <c r="V46" s="427"/>
      <c r="W46" s="427"/>
      <c r="X46" s="427"/>
      <c r="Y46" s="427"/>
      <c r="Z46" s="486"/>
      <c r="AA46" s="486"/>
      <c r="AB46" s="486"/>
      <c r="AC46" s="486"/>
      <c r="AD46" s="486"/>
      <c r="AE46" s="486"/>
      <c r="AF46" s="486"/>
      <c r="AG46" s="427"/>
      <c r="AH46" s="486"/>
      <c r="AI46" s="486"/>
      <c r="AJ46" s="486"/>
      <c r="AK46" s="486"/>
      <c r="AL46" s="486"/>
      <c r="AM46" s="486"/>
      <c r="AN46" s="486"/>
      <c r="AO46" s="427"/>
      <c r="AP46" s="427"/>
      <c r="AQ46" s="427"/>
      <c r="AR46" s="427"/>
      <c r="AS46" s="427"/>
      <c r="AT46" s="427"/>
      <c r="AU46" s="427"/>
      <c r="AV46" s="427"/>
    </row>
    <row r="47" spans="1:48" ht="15" customHeight="1">
      <c r="A47" s="427"/>
      <c r="B47" s="427"/>
      <c r="C47" s="427"/>
      <c r="D47" s="427"/>
      <c r="E47" s="543"/>
      <c r="F47" s="543"/>
      <c r="G47" s="543"/>
      <c r="H47" s="543"/>
      <c r="I47" s="543"/>
      <c r="J47" s="543"/>
      <c r="K47" s="543"/>
      <c r="L47" s="543"/>
      <c r="M47" s="543"/>
      <c r="N47" s="543"/>
      <c r="O47" s="543"/>
      <c r="P47" s="543"/>
      <c r="Q47" s="543"/>
      <c r="R47" s="543"/>
      <c r="S47" s="524"/>
      <c r="T47" s="524"/>
      <c r="U47" s="427"/>
      <c r="V47" s="427"/>
      <c r="W47" s="427"/>
      <c r="X47" s="477"/>
      <c r="Y47" s="477"/>
      <c r="Z47" s="477"/>
      <c r="AA47" s="477"/>
      <c r="AB47" s="477"/>
      <c r="AC47" s="47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</row>
    <row r="48" spans="1:48">
      <c r="A48" s="575" t="s">
        <v>939</v>
      </c>
      <c r="B48" s="439" t="s">
        <v>17</v>
      </c>
      <c r="C48" s="439" t="s">
        <v>964</v>
      </c>
      <c r="D48" s="427"/>
      <c r="E48" s="543"/>
      <c r="F48" s="544">
        <f>-F36</f>
        <v>0</v>
      </c>
      <c r="G48" s="544"/>
      <c r="H48" s="544"/>
      <c r="I48" s="544"/>
      <c r="J48" s="544"/>
      <c r="K48" s="544"/>
      <c r="L48" s="544"/>
      <c r="M48" s="544"/>
      <c r="N48" s="543"/>
      <c r="O48" s="543"/>
      <c r="P48" s="543"/>
      <c r="Q48" s="543"/>
      <c r="R48" s="525" t="s">
        <v>907</v>
      </c>
      <c r="S48" s="524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576"/>
      <c r="AE48" s="576"/>
      <c r="AF48" s="576"/>
      <c r="AG48" s="576"/>
      <c r="AH48" s="577"/>
      <c r="AI48" s="670"/>
      <c r="AJ48" s="671"/>
      <c r="AK48" s="671"/>
      <c r="AL48" s="671"/>
      <c r="AM48" s="671"/>
      <c r="AN48" s="671"/>
      <c r="AO48" s="427"/>
      <c r="AP48" s="670"/>
      <c r="AQ48" s="671"/>
      <c r="AR48" s="671"/>
      <c r="AS48" s="671"/>
      <c r="AT48" s="671"/>
      <c r="AU48" s="671"/>
      <c r="AV48" s="671"/>
    </row>
    <row r="49" spans="1:48" ht="15" customHeight="1">
      <c r="A49" s="575" t="s">
        <v>965</v>
      </c>
      <c r="B49" s="439" t="s">
        <v>17</v>
      </c>
      <c r="C49" s="439" t="s">
        <v>966</v>
      </c>
      <c r="D49" s="427"/>
      <c r="E49" s="543"/>
      <c r="F49" s="544"/>
      <c r="G49" s="544"/>
      <c r="H49" s="544"/>
      <c r="I49" s="544"/>
      <c r="J49" s="544"/>
      <c r="K49" s="544"/>
      <c r="L49" s="544"/>
      <c r="M49" s="544"/>
      <c r="N49" s="543"/>
      <c r="O49" s="543"/>
      <c r="P49" s="543"/>
      <c r="Q49" s="543"/>
      <c r="R49" s="429"/>
      <c r="S49" s="524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576"/>
      <c r="AE49" s="576"/>
      <c r="AF49" s="576"/>
      <c r="AG49" s="576"/>
      <c r="AH49" s="577"/>
      <c r="AI49" s="451"/>
      <c r="AJ49" s="451"/>
      <c r="AK49" s="451"/>
      <c r="AL49" s="451"/>
      <c r="AM49" s="451"/>
      <c r="AN49" s="451"/>
      <c r="AO49" s="427"/>
      <c r="AP49" s="451"/>
      <c r="AQ49" s="451"/>
      <c r="AR49" s="451"/>
      <c r="AS49" s="451"/>
      <c r="AT49" s="451"/>
      <c r="AU49" s="451"/>
      <c r="AV49" s="451"/>
    </row>
    <row r="50" spans="1:48">
      <c r="A50" s="541" t="s">
        <v>967</v>
      </c>
      <c r="B50" s="439" t="s">
        <v>805</v>
      </c>
      <c r="C50" s="439" t="s">
        <v>968</v>
      </c>
      <c r="D50" s="427"/>
      <c r="E50" s="543"/>
      <c r="F50" s="553">
        <f t="shared" ref="F50:Q50" si="7">+F48+E50+F49</f>
        <v>0</v>
      </c>
      <c r="G50" s="553">
        <f t="shared" si="7"/>
        <v>0</v>
      </c>
      <c r="H50" s="553">
        <f t="shared" si="7"/>
        <v>0</v>
      </c>
      <c r="I50" s="553">
        <f t="shared" si="7"/>
        <v>0</v>
      </c>
      <c r="J50" s="553">
        <f t="shared" si="7"/>
        <v>0</v>
      </c>
      <c r="K50" s="553">
        <f t="shared" si="7"/>
        <v>0</v>
      </c>
      <c r="L50" s="553">
        <f t="shared" si="7"/>
        <v>0</v>
      </c>
      <c r="M50" s="553">
        <f t="shared" si="7"/>
        <v>0</v>
      </c>
      <c r="N50" s="543">
        <f t="shared" si="7"/>
        <v>0</v>
      </c>
      <c r="O50" s="543">
        <f t="shared" si="7"/>
        <v>0</v>
      </c>
      <c r="P50" s="543">
        <f t="shared" si="7"/>
        <v>0</v>
      </c>
      <c r="Q50" s="543">
        <f t="shared" si="7"/>
        <v>0</v>
      </c>
      <c r="R50" s="543"/>
      <c r="S50" s="524"/>
      <c r="T50" s="524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</row>
    <row r="51" spans="1:48">
      <c r="A51" s="427"/>
      <c r="B51" s="427"/>
      <c r="C51" s="427"/>
      <c r="D51" s="427"/>
      <c r="E51" s="543"/>
      <c r="F51" s="543"/>
      <c r="G51" s="543"/>
      <c r="H51" s="543"/>
      <c r="I51" s="543"/>
      <c r="J51" s="543"/>
      <c r="K51" s="543"/>
      <c r="L51" s="543"/>
      <c r="M51" s="543"/>
      <c r="N51" s="543"/>
      <c r="O51" s="543"/>
      <c r="P51" s="543"/>
      <c r="Q51" s="543"/>
      <c r="R51" s="543"/>
      <c r="S51" s="524"/>
      <c r="T51" s="524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</row>
    <row r="52" spans="1:48" s="30" customFormat="1">
      <c r="A52" s="541" t="s">
        <v>969</v>
      </c>
      <c r="B52" s="527" t="s">
        <v>805</v>
      </c>
      <c r="C52" s="525" t="s">
        <v>970</v>
      </c>
      <c r="D52" s="428"/>
      <c r="E52" s="578"/>
      <c r="F52" s="562">
        <f t="shared" ref="E52:Q52" si="8">+F46+F48</f>
        <v>0</v>
      </c>
      <c r="G52" s="558">
        <f t="shared" si="8"/>
        <v>0</v>
      </c>
      <c r="H52" s="558">
        <f t="shared" si="8"/>
        <v>0</v>
      </c>
      <c r="I52" s="558">
        <f t="shared" si="8"/>
        <v>0</v>
      </c>
      <c r="J52" s="558">
        <f t="shared" si="8"/>
        <v>30000</v>
      </c>
      <c r="K52" s="558">
        <f t="shared" si="8"/>
        <v>30000</v>
      </c>
      <c r="L52" s="558">
        <f t="shared" si="8"/>
        <v>30000</v>
      </c>
      <c r="M52" s="558">
        <f t="shared" si="8"/>
        <v>30000</v>
      </c>
      <c r="N52" s="477">
        <f t="shared" si="8"/>
        <v>150000</v>
      </c>
      <c r="O52" s="477">
        <f t="shared" si="8"/>
        <v>240000</v>
      </c>
      <c r="P52" s="486">
        <f t="shared" si="8"/>
        <v>240000</v>
      </c>
      <c r="Q52" s="486">
        <f t="shared" si="8"/>
        <v>240000</v>
      </c>
      <c r="R52" s="543"/>
      <c r="S52" s="427"/>
      <c r="T52" s="427"/>
      <c r="U52" s="427"/>
      <c r="V52" s="427"/>
      <c r="W52" s="427"/>
      <c r="X52" s="427"/>
      <c r="Y52" s="427"/>
      <c r="Z52" s="486"/>
      <c r="AA52" s="486"/>
      <c r="AB52" s="486"/>
      <c r="AC52" s="486"/>
      <c r="AD52" s="486"/>
      <c r="AE52" s="486"/>
      <c r="AF52" s="486"/>
      <c r="AG52" s="427"/>
      <c r="AH52" s="486"/>
      <c r="AI52" s="486"/>
      <c r="AJ52" s="486"/>
      <c r="AK52" s="486"/>
      <c r="AL52" s="486"/>
      <c r="AM52" s="486"/>
      <c r="AN52" s="486"/>
      <c r="AO52" s="427"/>
      <c r="AP52" s="427"/>
      <c r="AQ52" s="427"/>
      <c r="AR52" s="427"/>
      <c r="AS52" s="427"/>
      <c r="AT52" s="427"/>
      <c r="AU52" s="427"/>
      <c r="AV52" s="427"/>
    </row>
    <row r="53" spans="1:48" s="30" customFormat="1">
      <c r="A53" s="541" t="s">
        <v>971</v>
      </c>
      <c r="B53" s="527" t="s">
        <v>805</v>
      </c>
      <c r="C53" s="525" t="s">
        <v>972</v>
      </c>
      <c r="D53" s="428"/>
      <c r="E53" s="557"/>
      <c r="F53" s="558">
        <f t="shared" ref="E53:Q53" si="9">+F49+F52</f>
        <v>0</v>
      </c>
      <c r="G53" s="558">
        <f t="shared" si="9"/>
        <v>0</v>
      </c>
      <c r="H53" s="558">
        <f t="shared" si="9"/>
        <v>0</v>
      </c>
      <c r="I53" s="558">
        <f t="shared" si="9"/>
        <v>0</v>
      </c>
      <c r="J53" s="558">
        <f t="shared" si="9"/>
        <v>30000</v>
      </c>
      <c r="K53" s="558">
        <f t="shared" si="9"/>
        <v>30000</v>
      </c>
      <c r="L53" s="558">
        <f t="shared" si="9"/>
        <v>30000</v>
      </c>
      <c r="M53" s="558">
        <f t="shared" si="9"/>
        <v>30000</v>
      </c>
      <c r="N53" s="486">
        <f t="shared" si="9"/>
        <v>150000</v>
      </c>
      <c r="O53" s="486">
        <f t="shared" si="9"/>
        <v>240000</v>
      </c>
      <c r="P53" s="486">
        <f t="shared" si="9"/>
        <v>240000</v>
      </c>
      <c r="Q53" s="486">
        <f t="shared" si="9"/>
        <v>240000</v>
      </c>
      <c r="R53" s="543"/>
      <c r="S53" s="427"/>
      <c r="T53" s="427"/>
      <c r="U53" s="427"/>
      <c r="V53" s="427"/>
      <c r="W53" s="427"/>
      <c r="X53" s="427"/>
      <c r="Y53" s="427"/>
      <c r="Z53" s="486"/>
      <c r="AA53" s="486"/>
      <c r="AB53" s="486"/>
      <c r="AC53" s="486"/>
      <c r="AD53" s="486"/>
      <c r="AE53" s="486"/>
      <c r="AF53" s="486"/>
      <c r="AG53" s="427"/>
      <c r="AH53" s="486"/>
      <c r="AI53" s="486"/>
      <c r="AJ53" s="486"/>
      <c r="AK53" s="486"/>
      <c r="AL53" s="486"/>
      <c r="AM53" s="486"/>
      <c r="AN53" s="486"/>
      <c r="AO53" s="427"/>
      <c r="AP53" s="427"/>
      <c r="AQ53" s="427"/>
      <c r="AR53" s="427"/>
      <c r="AS53" s="427"/>
      <c r="AT53" s="427"/>
      <c r="AU53" s="427"/>
      <c r="AV53" s="427"/>
    </row>
    <row r="54" spans="1:48">
      <c r="A54" s="427"/>
      <c r="B54" s="427"/>
      <c r="C54" s="427"/>
      <c r="D54" s="427"/>
      <c r="E54" s="543"/>
      <c r="F54" s="543"/>
      <c r="G54" s="543"/>
      <c r="H54" s="543"/>
      <c r="I54" s="543"/>
      <c r="J54" s="543"/>
      <c r="K54" s="543"/>
      <c r="L54" s="543"/>
      <c r="M54" s="543"/>
      <c r="N54" s="543"/>
      <c r="O54" s="543"/>
      <c r="P54" s="543"/>
      <c r="Q54" s="543"/>
      <c r="R54" s="427"/>
      <c r="S54" s="524"/>
      <c r="T54" s="524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</row>
    <row r="55" spans="1:48">
      <c r="A55" s="541" t="s">
        <v>973</v>
      </c>
      <c r="B55" s="427"/>
      <c r="C55" s="439"/>
      <c r="D55" s="427"/>
      <c r="E55" s="543"/>
      <c r="F55" s="543"/>
      <c r="G55" s="543"/>
      <c r="H55" s="543"/>
      <c r="I55" s="543"/>
      <c r="J55" s="543"/>
      <c r="K55" s="543"/>
      <c r="L55" s="543"/>
      <c r="M55" s="543"/>
      <c r="N55" s="543"/>
      <c r="O55" s="543"/>
      <c r="P55" s="543"/>
      <c r="Q55" s="543"/>
      <c r="R55" s="427"/>
      <c r="S55" s="524"/>
      <c r="T55" s="524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</row>
    <row r="56" spans="1:48">
      <c r="A56" s="541" t="s">
        <v>975</v>
      </c>
      <c r="B56" s="439" t="s">
        <v>805</v>
      </c>
      <c r="C56" s="439" t="s">
        <v>976</v>
      </c>
      <c r="D56" s="427"/>
      <c r="E56" s="563"/>
      <c r="F56" s="564">
        <f>1/(1-'c12_inputs'!$E$7)</f>
        <v>1.0526315789473684</v>
      </c>
      <c r="G56" s="564">
        <f>1/(1-'c12_inputs'!$E$7)</f>
        <v>1.0526315789473684</v>
      </c>
      <c r="H56" s="564">
        <f>1/(1-'c12_inputs'!$E$7)</f>
        <v>1.0526315789473684</v>
      </c>
      <c r="I56" s="564">
        <f>1/(1-'c12_inputs'!$E$7)</f>
        <v>1.0526315789473684</v>
      </c>
      <c r="J56" s="564">
        <f>1/(1-'c12_inputs'!$E$7)</f>
        <v>1.0526315789473684</v>
      </c>
      <c r="K56" s="564">
        <f>1/(1-'c12_inputs'!$E$7)</f>
        <v>1.0526315789473684</v>
      </c>
      <c r="L56" s="564">
        <f>1/(1-'c12_inputs'!$E$7)</f>
        <v>1.0526315789473684</v>
      </c>
      <c r="M56" s="564">
        <f>1/(1-'c12_inputs'!$E$7)</f>
        <v>1.0526315789473684</v>
      </c>
      <c r="N56" s="563">
        <f>1/(1-'c12_inputs'!$E$7)</f>
        <v>1.0526315789473684</v>
      </c>
      <c r="O56" s="563">
        <f>1/(1-'c12_inputs'!$E$7)</f>
        <v>1.0526315789473684</v>
      </c>
      <c r="P56" s="563">
        <f>1/(1-'c12_inputs'!$E$7)</f>
        <v>1.0526315789473684</v>
      </c>
      <c r="Q56" s="563">
        <f>1/(1-'c12_inputs'!$E$7)</f>
        <v>1.0526315789473684</v>
      </c>
      <c r="R56" s="543"/>
      <c r="S56" s="524"/>
      <c r="T56" s="524"/>
      <c r="U56" s="427"/>
      <c r="V56" s="427"/>
      <c r="W56" s="427"/>
      <c r="X56" s="477"/>
      <c r="Y56" s="477"/>
      <c r="Z56" s="477"/>
      <c r="AA56" s="477"/>
      <c r="AB56" s="477"/>
      <c r="AC56" s="47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</row>
    <row r="57" spans="1:48" s="30" customFormat="1" ht="14.65" customHeight="1">
      <c r="A57" s="541" t="s">
        <v>1032</v>
      </c>
      <c r="B57" s="527" t="s">
        <v>805</v>
      </c>
      <c r="C57" s="525" t="s">
        <v>978</v>
      </c>
      <c r="D57" s="428"/>
      <c r="E57" s="543"/>
      <c r="F57" s="553">
        <f t="shared" ref="E57:Q57" si="10">F78</f>
        <v>53279.999999999993</v>
      </c>
      <c r="G57" s="553">
        <f t="shared" si="10"/>
        <v>53279.999999999993</v>
      </c>
      <c r="H57" s="553">
        <f t="shared" si="10"/>
        <v>115199.99999999999</v>
      </c>
      <c r="I57" s="553">
        <f t="shared" si="10"/>
        <v>154162.5</v>
      </c>
      <c r="J57" s="553">
        <f t="shared" si="10"/>
        <v>118079.99999999999</v>
      </c>
      <c r="K57" s="553">
        <f t="shared" si="10"/>
        <v>118079.99999999999</v>
      </c>
      <c r="L57" s="553">
        <f t="shared" si="10"/>
        <v>226080</v>
      </c>
      <c r="M57" s="553">
        <f t="shared" si="10"/>
        <v>314395</v>
      </c>
      <c r="N57" s="486">
        <f t="shared" si="10"/>
        <v>1013415</v>
      </c>
      <c r="O57" s="486">
        <f t="shared" si="10"/>
        <v>1013415</v>
      </c>
      <c r="P57" s="486">
        <f t="shared" si="10"/>
        <v>1013415</v>
      </c>
      <c r="Q57" s="486">
        <f t="shared" si="10"/>
        <v>1013415</v>
      </c>
      <c r="R57" s="543"/>
      <c r="S57" s="524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</row>
    <row r="58" spans="1:48" s="30" customFormat="1">
      <c r="A58" s="552" t="s">
        <v>1033</v>
      </c>
      <c r="B58" s="527" t="s">
        <v>805</v>
      </c>
      <c r="C58" s="525" t="s">
        <v>980</v>
      </c>
      <c r="D58" s="428"/>
      <c r="E58" s="543"/>
      <c r="F58" s="553">
        <f t="shared" ref="E58:Q58" si="11">F57*F56</f>
        <v>56084.210526315779</v>
      </c>
      <c r="G58" s="553">
        <f t="shared" si="11"/>
        <v>56084.210526315779</v>
      </c>
      <c r="H58" s="553">
        <f t="shared" si="11"/>
        <v>121263.15789473683</v>
      </c>
      <c r="I58" s="553">
        <f t="shared" si="11"/>
        <v>162276.31578947368</v>
      </c>
      <c r="J58" s="553">
        <f t="shared" si="11"/>
        <v>124294.73684210524</v>
      </c>
      <c r="K58" s="553">
        <f t="shared" si="11"/>
        <v>124294.73684210524</v>
      </c>
      <c r="L58" s="553">
        <f t="shared" si="11"/>
        <v>237978.94736842104</v>
      </c>
      <c r="M58" s="553">
        <f t="shared" si="11"/>
        <v>330942.10526315786</v>
      </c>
      <c r="N58" s="543">
        <f t="shared" si="11"/>
        <v>1066752.6315789474</v>
      </c>
      <c r="O58" s="543">
        <f t="shared" si="11"/>
        <v>1066752.6315789474</v>
      </c>
      <c r="P58" s="543">
        <f t="shared" si="11"/>
        <v>1066752.6315789474</v>
      </c>
      <c r="Q58" s="543">
        <f t="shared" si="11"/>
        <v>1066752.6315789474</v>
      </c>
      <c r="R58" s="543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71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</row>
    <row r="59" spans="1:48" s="30" customFormat="1">
      <c r="A59" s="531"/>
      <c r="B59" s="428"/>
      <c r="C59" s="429"/>
      <c r="D59" s="428"/>
      <c r="E59" s="543"/>
      <c r="F59" s="543"/>
      <c r="G59" s="543"/>
      <c r="H59" s="543"/>
      <c r="I59" s="543"/>
      <c r="J59" s="543"/>
      <c r="K59" s="543"/>
      <c r="L59" s="543"/>
      <c r="M59" s="543"/>
      <c r="N59" s="543"/>
      <c r="O59" s="543"/>
      <c r="P59" s="543"/>
      <c r="Q59" s="543"/>
      <c r="R59" s="543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71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</row>
    <row r="60" spans="1:48" s="30" customFormat="1">
      <c r="A60" s="552" t="s">
        <v>1034</v>
      </c>
      <c r="B60" s="527" t="s">
        <v>805</v>
      </c>
      <c r="C60" s="525" t="s">
        <v>1035</v>
      </c>
      <c r="D60" s="428"/>
      <c r="E60" s="543"/>
      <c r="F60" s="553">
        <f t="shared" ref="E60:Q60" si="12">+F53+F32+F58</f>
        <v>56084.210526315779</v>
      </c>
      <c r="G60" s="553">
        <f t="shared" si="12"/>
        <v>56084.210526315779</v>
      </c>
      <c r="H60" s="553">
        <f t="shared" si="12"/>
        <v>121263.15789473683</v>
      </c>
      <c r="I60" s="553">
        <f t="shared" si="12"/>
        <v>162276.31578947368</v>
      </c>
      <c r="J60" s="553">
        <f t="shared" si="12"/>
        <v>154294.73684210522</v>
      </c>
      <c r="K60" s="553">
        <f t="shared" si="12"/>
        <v>154294.73684210522</v>
      </c>
      <c r="L60" s="553">
        <f t="shared" si="12"/>
        <v>267978.94736842101</v>
      </c>
      <c r="M60" s="553">
        <f t="shared" si="12"/>
        <v>360942.10526315786</v>
      </c>
      <c r="N60" s="543">
        <f t="shared" si="12"/>
        <v>1216752.6315789474</v>
      </c>
      <c r="O60" s="543">
        <f t="shared" si="12"/>
        <v>1306752.6315789474</v>
      </c>
      <c r="P60" s="543">
        <f t="shared" si="12"/>
        <v>1306752.6315789474</v>
      </c>
      <c r="Q60" s="543">
        <f t="shared" si="12"/>
        <v>1306752.6315789474</v>
      </c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71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</row>
    <row r="61" spans="1:48">
      <c r="A61" s="568"/>
      <c r="B61" s="427"/>
      <c r="C61" s="427"/>
      <c r="D61" s="427"/>
      <c r="E61" s="543"/>
      <c r="F61" s="543"/>
      <c r="G61" s="543"/>
      <c r="H61" s="543"/>
      <c r="I61" s="543"/>
      <c r="J61" s="543"/>
      <c r="K61" s="543"/>
      <c r="L61" s="543"/>
      <c r="M61" s="543"/>
      <c r="N61" s="543"/>
      <c r="O61" s="543"/>
      <c r="P61" s="543"/>
      <c r="Q61" s="543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</row>
    <row r="62" spans="1:48">
      <c r="A62" s="552" t="s">
        <v>983</v>
      </c>
      <c r="B62" s="439" t="s">
        <v>805</v>
      </c>
      <c r="C62" s="439" t="s">
        <v>984</v>
      </c>
      <c r="D62" s="427"/>
      <c r="E62" s="543"/>
      <c r="F62" s="553">
        <f t="shared" ref="E62:Q62" si="13">+F29+F50</f>
        <v>0</v>
      </c>
      <c r="G62" s="553">
        <f t="shared" si="13"/>
        <v>0</v>
      </c>
      <c r="H62" s="553">
        <f t="shared" si="13"/>
        <v>0</v>
      </c>
      <c r="I62" s="553">
        <f t="shared" si="13"/>
        <v>0</v>
      </c>
      <c r="J62" s="553">
        <f t="shared" si="13"/>
        <v>0</v>
      </c>
      <c r="K62" s="553">
        <f t="shared" si="13"/>
        <v>0</v>
      </c>
      <c r="L62" s="553">
        <f t="shared" si="13"/>
        <v>0</v>
      </c>
      <c r="M62" s="553">
        <f t="shared" si="13"/>
        <v>0</v>
      </c>
      <c r="N62" s="543">
        <f t="shared" si="13"/>
        <v>0</v>
      </c>
      <c r="O62" s="543">
        <f t="shared" si="13"/>
        <v>0</v>
      </c>
      <c r="P62" s="543">
        <f t="shared" si="13"/>
        <v>0</v>
      </c>
      <c r="Q62" s="543">
        <f t="shared" si="13"/>
        <v>0</v>
      </c>
      <c r="R62" s="543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</row>
    <row r="63" spans="1:48" ht="15" customHeight="1">
      <c r="A63" s="427"/>
      <c r="B63" s="427"/>
      <c r="C63" s="427"/>
      <c r="D63" s="427"/>
      <c r="E63" s="543"/>
      <c r="F63" s="543"/>
      <c r="G63" s="543"/>
      <c r="H63" s="543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</row>
    <row r="64" spans="1:48" ht="15" customHeight="1">
      <c r="A64" s="541" t="s">
        <v>985</v>
      </c>
      <c r="B64" s="439" t="s">
        <v>805</v>
      </c>
      <c r="C64" s="439" t="s">
        <v>986</v>
      </c>
      <c r="D64" s="427"/>
      <c r="E64" s="443"/>
      <c r="F64" s="569">
        <f>'c12_inputs'!$E$8</f>
        <v>0.35</v>
      </c>
      <c r="G64" s="569">
        <f>'c12_inputs'!$E$8</f>
        <v>0.35</v>
      </c>
      <c r="H64" s="569">
        <f>'c12_inputs'!$E$8</f>
        <v>0.35</v>
      </c>
      <c r="I64" s="569">
        <f>'c12_inputs'!$E$8</f>
        <v>0.35</v>
      </c>
      <c r="J64" s="569">
        <f>'c12_inputs'!$E$8</f>
        <v>0.35</v>
      </c>
      <c r="K64" s="569">
        <f>'c12_inputs'!$E$8</f>
        <v>0.35</v>
      </c>
      <c r="L64" s="569">
        <f>'c12_inputs'!$E$8</f>
        <v>0.35</v>
      </c>
      <c r="M64" s="569">
        <f>'c12_inputs'!$E$8</f>
        <v>0.35</v>
      </c>
      <c r="N64" s="443">
        <f>'c12_inputs'!$E$8</f>
        <v>0.35</v>
      </c>
      <c r="O64" s="443">
        <f>'c12_inputs'!$E$8</f>
        <v>0.35</v>
      </c>
      <c r="P64" s="443">
        <f>'c12_inputs'!$E$8</f>
        <v>0.35</v>
      </c>
      <c r="Q64" s="443">
        <f>'c12_inputs'!$E$8</f>
        <v>0.35</v>
      </c>
      <c r="R64" s="543"/>
      <c r="S64" s="524"/>
      <c r="T64" s="524"/>
      <c r="U64" s="427"/>
      <c r="V64" s="427"/>
      <c r="W64" s="427"/>
      <c r="X64" s="477"/>
      <c r="Y64" s="477"/>
      <c r="Z64" s="477"/>
      <c r="AA64" s="477"/>
      <c r="AB64" s="477"/>
      <c r="AC64" s="47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</row>
    <row r="65" spans="1:48" s="417" customFormat="1" ht="15" customHeight="1">
      <c r="A65" s="541" t="s">
        <v>987</v>
      </c>
      <c r="B65" s="527" t="s">
        <v>17</v>
      </c>
      <c r="C65" s="525" t="s">
        <v>988</v>
      </c>
      <c r="D65" s="428"/>
      <c r="E65" s="570"/>
      <c r="F65" s="571">
        <v>0.15</v>
      </c>
      <c r="G65" s="571">
        <v>0.15</v>
      </c>
      <c r="H65" s="571">
        <v>0.15</v>
      </c>
      <c r="I65" s="571">
        <v>0.15</v>
      </c>
      <c r="J65" s="571">
        <v>0</v>
      </c>
      <c r="K65" s="571">
        <v>0</v>
      </c>
      <c r="L65" s="571">
        <v>0</v>
      </c>
      <c r="M65" s="571">
        <v>0</v>
      </c>
      <c r="N65" s="443">
        <v>0</v>
      </c>
      <c r="O65" s="443">
        <v>0</v>
      </c>
      <c r="P65" s="443">
        <v>0</v>
      </c>
      <c r="Q65" s="443">
        <v>0</v>
      </c>
      <c r="R65" s="543"/>
      <c r="S65" s="524"/>
      <c r="T65" s="524"/>
      <c r="U65" s="427"/>
      <c r="V65" s="427"/>
      <c r="W65" s="427"/>
      <c r="X65" s="477"/>
      <c r="Y65" s="477"/>
      <c r="Z65" s="477"/>
      <c r="AA65" s="477"/>
      <c r="AB65" s="477"/>
      <c r="AC65" s="47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</row>
    <row r="66" spans="1:48" s="417" customFormat="1" ht="15" customHeight="1">
      <c r="A66" s="541" t="s">
        <v>989</v>
      </c>
      <c r="B66" s="527" t="s">
        <v>17</v>
      </c>
      <c r="C66" s="525" t="s">
        <v>990</v>
      </c>
      <c r="D66" s="428"/>
      <c r="E66" s="570"/>
      <c r="F66" s="571">
        <v>0.15</v>
      </c>
      <c r="G66" s="571">
        <v>0.15</v>
      </c>
      <c r="H66" s="571">
        <v>0.15</v>
      </c>
      <c r="I66" s="571">
        <v>0.15</v>
      </c>
      <c r="J66" s="571">
        <v>0.15</v>
      </c>
      <c r="K66" s="571">
        <v>0.15</v>
      </c>
      <c r="L66" s="571">
        <v>0.15</v>
      </c>
      <c r="M66" s="571">
        <v>0.15</v>
      </c>
      <c r="N66" s="443">
        <v>0</v>
      </c>
      <c r="O66" s="443">
        <v>0</v>
      </c>
      <c r="P66" s="443">
        <v>0</v>
      </c>
      <c r="Q66" s="443">
        <v>0</v>
      </c>
      <c r="R66" s="543"/>
      <c r="S66" s="524"/>
      <c r="T66" s="524"/>
      <c r="U66" s="427"/>
      <c r="V66" s="427"/>
      <c r="W66" s="427"/>
      <c r="X66" s="477"/>
      <c r="Y66" s="477"/>
      <c r="Z66" s="477"/>
      <c r="AA66" s="477"/>
      <c r="AB66" s="477"/>
      <c r="AC66" s="47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</row>
    <row r="67" spans="1:48" s="30" customFormat="1">
      <c r="A67" s="541" t="s">
        <v>991</v>
      </c>
      <c r="B67" s="527" t="s">
        <v>805</v>
      </c>
      <c r="C67" s="525" t="s">
        <v>797</v>
      </c>
      <c r="D67" s="428"/>
      <c r="E67" s="572"/>
      <c r="F67" s="573">
        <f>'c12_inputs'!$E$7</f>
        <v>0.05</v>
      </c>
      <c r="G67" s="573">
        <f>'c12_inputs'!$E$7</f>
        <v>0.05</v>
      </c>
      <c r="H67" s="573">
        <f>'c12_inputs'!$E$7</f>
        <v>0.05</v>
      </c>
      <c r="I67" s="573">
        <f>'c12_inputs'!$E$7</f>
        <v>0.05</v>
      </c>
      <c r="J67" s="573">
        <f>'c12_inputs'!$E$7</f>
        <v>0.05</v>
      </c>
      <c r="K67" s="573">
        <f>'c12_inputs'!$E$7</f>
        <v>0.05</v>
      </c>
      <c r="L67" s="573">
        <f>'c12_inputs'!$E$7</f>
        <v>0.05</v>
      </c>
      <c r="M67" s="573">
        <f>'c12_inputs'!$E$7</f>
        <v>0.05</v>
      </c>
      <c r="N67" s="572">
        <f>'c12_inputs'!$E$7</f>
        <v>0.05</v>
      </c>
      <c r="O67" s="572">
        <f>'c12_inputs'!$E$7</f>
        <v>0.05</v>
      </c>
      <c r="P67" s="572">
        <f>'c12_inputs'!$E$7</f>
        <v>0.05</v>
      </c>
      <c r="Q67" s="572">
        <f>'c12_inputs'!$E$7</f>
        <v>0.05</v>
      </c>
      <c r="R67" s="427"/>
      <c r="S67" s="427"/>
      <c r="T67" s="427"/>
      <c r="U67" s="427"/>
      <c r="V67" s="427"/>
      <c r="W67" s="427"/>
      <c r="X67" s="427"/>
      <c r="Y67" s="427"/>
      <c r="Z67" s="486"/>
      <c r="AA67" s="486"/>
      <c r="AB67" s="486"/>
      <c r="AC67" s="486"/>
      <c r="AD67" s="486"/>
      <c r="AE67" s="486"/>
      <c r="AF67" s="486"/>
      <c r="AG67" s="427"/>
      <c r="AH67" s="486"/>
      <c r="AI67" s="486"/>
      <c r="AJ67" s="486"/>
      <c r="AK67" s="486"/>
      <c r="AL67" s="486"/>
      <c r="AM67" s="486"/>
      <c r="AN67" s="486"/>
      <c r="AO67" s="427"/>
      <c r="AP67" s="427"/>
      <c r="AQ67" s="427"/>
      <c r="AR67" s="427"/>
      <c r="AS67" s="427"/>
      <c r="AT67" s="427"/>
      <c r="AU67" s="427"/>
      <c r="AV67" s="427"/>
    </row>
    <row r="68" spans="1:48">
      <c r="A68" s="541" t="s">
        <v>992</v>
      </c>
      <c r="B68" s="439" t="s">
        <v>805</v>
      </c>
      <c r="C68" s="439" t="s">
        <v>993</v>
      </c>
      <c r="D68" s="427"/>
      <c r="E68" s="543"/>
      <c r="F68" s="553">
        <f t="shared" ref="E68:Q68" si="14">(F64+F65)*(F32+F52)+(F64+F66)*(F49+F29)</f>
        <v>0</v>
      </c>
      <c r="G68" s="553">
        <f t="shared" si="14"/>
        <v>0</v>
      </c>
      <c r="H68" s="553">
        <f t="shared" si="14"/>
        <v>0</v>
      </c>
      <c r="I68" s="553">
        <f t="shared" si="14"/>
        <v>0</v>
      </c>
      <c r="J68" s="553">
        <f t="shared" si="14"/>
        <v>10500</v>
      </c>
      <c r="K68" s="553">
        <f t="shared" si="14"/>
        <v>10500</v>
      </c>
      <c r="L68" s="553">
        <f t="shared" si="14"/>
        <v>10500</v>
      </c>
      <c r="M68" s="553">
        <f t="shared" si="14"/>
        <v>10500</v>
      </c>
      <c r="N68" s="543">
        <f t="shared" si="14"/>
        <v>52500</v>
      </c>
      <c r="O68" s="543">
        <f t="shared" si="14"/>
        <v>84000</v>
      </c>
      <c r="P68" s="543">
        <f t="shared" si="14"/>
        <v>84000</v>
      </c>
      <c r="Q68" s="543">
        <f t="shared" si="14"/>
        <v>84000</v>
      </c>
      <c r="R68" s="443"/>
      <c r="S68" s="524"/>
      <c r="T68" s="524"/>
      <c r="U68" s="427"/>
      <c r="V68" s="427"/>
      <c r="W68" s="427"/>
      <c r="X68" s="477"/>
      <c r="Y68" s="477"/>
      <c r="Z68" s="477"/>
      <c r="AA68" s="477"/>
      <c r="AB68" s="477"/>
      <c r="AC68" s="47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</row>
    <row r="69" spans="1:48">
      <c r="A69" s="541" t="s">
        <v>1036</v>
      </c>
      <c r="B69" s="439" t="s">
        <v>805</v>
      </c>
      <c r="C69" s="439" t="s">
        <v>995</v>
      </c>
      <c r="D69" s="427"/>
      <c r="E69" s="543"/>
      <c r="F69" s="553">
        <f t="shared" ref="E69:Q69" si="15">F58*F67</f>
        <v>2804.2105263157891</v>
      </c>
      <c r="G69" s="553">
        <f t="shared" si="15"/>
        <v>2804.2105263157891</v>
      </c>
      <c r="H69" s="553">
        <f t="shared" si="15"/>
        <v>6063.1578947368416</v>
      </c>
      <c r="I69" s="553">
        <f t="shared" si="15"/>
        <v>8113.8157894736842</v>
      </c>
      <c r="J69" s="553">
        <f t="shared" si="15"/>
        <v>6214.7368421052624</v>
      </c>
      <c r="K69" s="553">
        <f t="shared" si="15"/>
        <v>6214.7368421052624</v>
      </c>
      <c r="L69" s="553">
        <f t="shared" si="15"/>
        <v>11898.947368421053</v>
      </c>
      <c r="M69" s="553">
        <f t="shared" si="15"/>
        <v>16547.105263157893</v>
      </c>
      <c r="N69" s="543">
        <f t="shared" si="15"/>
        <v>53337.631578947374</v>
      </c>
      <c r="O69" s="543">
        <f t="shared" si="15"/>
        <v>53337.631578947374</v>
      </c>
      <c r="P69" s="543">
        <f t="shared" si="15"/>
        <v>53337.631578947374</v>
      </c>
      <c r="Q69" s="543">
        <f t="shared" si="15"/>
        <v>53337.631578947374</v>
      </c>
      <c r="R69" s="543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</row>
    <row r="70" spans="1:48">
      <c r="A70" s="552" t="s">
        <v>1037</v>
      </c>
      <c r="B70" s="439" t="s">
        <v>805</v>
      </c>
      <c r="C70" s="439" t="s">
        <v>1038</v>
      </c>
      <c r="D70" s="427"/>
      <c r="E70" s="543"/>
      <c r="F70" s="553">
        <f t="shared" ref="E70:Q70" si="16">F69+F68</f>
        <v>2804.2105263157891</v>
      </c>
      <c r="G70" s="553">
        <f t="shared" si="16"/>
        <v>2804.2105263157891</v>
      </c>
      <c r="H70" s="553">
        <f t="shared" si="16"/>
        <v>6063.1578947368416</v>
      </c>
      <c r="I70" s="553">
        <f t="shared" si="16"/>
        <v>8113.8157894736842</v>
      </c>
      <c r="J70" s="553">
        <f t="shared" si="16"/>
        <v>16714.736842105263</v>
      </c>
      <c r="K70" s="553">
        <f t="shared" si="16"/>
        <v>16714.736842105263</v>
      </c>
      <c r="L70" s="553">
        <f t="shared" si="16"/>
        <v>22398.947368421053</v>
      </c>
      <c r="M70" s="553">
        <f t="shared" si="16"/>
        <v>27047.105263157893</v>
      </c>
      <c r="N70" s="543">
        <f t="shared" si="16"/>
        <v>105837.63157894737</v>
      </c>
      <c r="O70" s="543">
        <f t="shared" si="16"/>
        <v>137337.63157894736</v>
      </c>
      <c r="P70" s="543">
        <f t="shared" si="16"/>
        <v>137337.63157894736</v>
      </c>
      <c r="Q70" s="543">
        <f t="shared" si="16"/>
        <v>137337.63157894736</v>
      </c>
      <c r="R70" s="443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</row>
    <row r="71" spans="1:48">
      <c r="A71" s="427"/>
      <c r="B71" s="427"/>
      <c r="C71" s="427"/>
      <c r="D71" s="427"/>
      <c r="E71" s="543"/>
      <c r="F71" s="543"/>
      <c r="G71" s="543"/>
      <c r="H71" s="543"/>
      <c r="I71" s="543"/>
      <c r="J71" s="543"/>
      <c r="K71" s="543"/>
      <c r="L71" s="543"/>
      <c r="M71" s="543"/>
      <c r="N71" s="543"/>
      <c r="O71" s="543"/>
      <c r="P71" s="543"/>
      <c r="Q71" s="543"/>
      <c r="R71" s="543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</row>
    <row r="72" spans="1:48" s="30" customFormat="1">
      <c r="A72" s="541" t="s">
        <v>998</v>
      </c>
      <c r="B72" s="527" t="s">
        <v>805</v>
      </c>
      <c r="C72" s="525" t="s">
        <v>999</v>
      </c>
      <c r="D72" s="428"/>
      <c r="E72" s="543"/>
      <c r="F72" s="553">
        <f t="shared" ref="E72:Q72" si="17">-(F64+F65)*(F27+F48)</f>
        <v>0</v>
      </c>
      <c r="G72" s="553">
        <f t="shared" si="17"/>
        <v>0</v>
      </c>
      <c r="H72" s="553">
        <f t="shared" si="17"/>
        <v>0</v>
      </c>
      <c r="I72" s="553">
        <f t="shared" si="17"/>
        <v>0</v>
      </c>
      <c r="J72" s="553">
        <f t="shared" si="17"/>
        <v>0</v>
      </c>
      <c r="K72" s="553">
        <f t="shared" si="17"/>
        <v>0</v>
      </c>
      <c r="L72" s="553">
        <f t="shared" si="17"/>
        <v>0</v>
      </c>
      <c r="M72" s="553">
        <f t="shared" si="17"/>
        <v>0</v>
      </c>
      <c r="N72" s="543">
        <f t="shared" si="17"/>
        <v>0</v>
      </c>
      <c r="O72" s="543">
        <f t="shared" si="17"/>
        <v>0</v>
      </c>
      <c r="P72" s="543">
        <f t="shared" si="17"/>
        <v>0</v>
      </c>
      <c r="Q72" s="543">
        <f t="shared" si="17"/>
        <v>0</v>
      </c>
      <c r="R72" s="427"/>
      <c r="S72" s="427"/>
      <c r="T72" s="427"/>
      <c r="U72" s="427"/>
      <c r="V72" s="427"/>
      <c r="W72" s="427"/>
      <c r="X72" s="427"/>
      <c r="Y72" s="427"/>
      <c r="Z72" s="486"/>
      <c r="AA72" s="486"/>
      <c r="AB72" s="486"/>
      <c r="AC72" s="486"/>
      <c r="AD72" s="486"/>
      <c r="AE72" s="486"/>
      <c r="AF72" s="486"/>
      <c r="AG72" s="427"/>
      <c r="AH72" s="486"/>
      <c r="AI72" s="486"/>
      <c r="AJ72" s="486"/>
      <c r="AK72" s="486"/>
      <c r="AL72" s="486"/>
      <c r="AM72" s="486"/>
      <c r="AN72" s="486"/>
      <c r="AO72" s="427"/>
      <c r="AP72" s="427"/>
      <c r="AQ72" s="427"/>
      <c r="AR72" s="427"/>
      <c r="AS72" s="427"/>
      <c r="AT72" s="427"/>
      <c r="AU72" s="427"/>
      <c r="AV72" s="427"/>
    </row>
    <row r="73" spans="1:48" s="30" customFormat="1">
      <c r="A73" s="541" t="s">
        <v>1000</v>
      </c>
      <c r="B73" s="527" t="s">
        <v>805</v>
      </c>
      <c r="C73" s="525" t="s">
        <v>1001</v>
      </c>
      <c r="D73" s="428"/>
      <c r="E73" s="543"/>
      <c r="F73" s="553">
        <f t="shared" ref="E73:Q73" si="18">-(F64+F66)*(F28+F49)</f>
        <v>0</v>
      </c>
      <c r="G73" s="553">
        <f t="shared" si="18"/>
        <v>0</v>
      </c>
      <c r="H73" s="553">
        <f t="shared" si="18"/>
        <v>0</v>
      </c>
      <c r="I73" s="553">
        <f t="shared" si="18"/>
        <v>0</v>
      </c>
      <c r="J73" s="553">
        <f t="shared" si="18"/>
        <v>0</v>
      </c>
      <c r="K73" s="553">
        <f t="shared" si="18"/>
        <v>0</v>
      </c>
      <c r="L73" s="553">
        <f t="shared" si="18"/>
        <v>0</v>
      </c>
      <c r="M73" s="553">
        <f t="shared" si="18"/>
        <v>0</v>
      </c>
      <c r="N73" s="543">
        <f t="shared" si="18"/>
        <v>0</v>
      </c>
      <c r="O73" s="543">
        <f t="shared" si="18"/>
        <v>0</v>
      </c>
      <c r="P73" s="543">
        <f t="shared" si="18"/>
        <v>0</v>
      </c>
      <c r="Q73" s="543">
        <f t="shared" si="18"/>
        <v>0</v>
      </c>
      <c r="R73" s="427"/>
      <c r="S73" s="427"/>
      <c r="T73" s="427"/>
      <c r="U73" s="427"/>
      <c r="V73" s="427"/>
      <c r="W73" s="427"/>
      <c r="X73" s="427"/>
      <c r="Y73" s="427"/>
      <c r="Z73" s="486"/>
      <c r="AA73" s="486"/>
      <c r="AB73" s="486"/>
      <c r="AC73" s="486"/>
      <c r="AD73" s="486"/>
      <c r="AE73" s="486"/>
      <c r="AF73" s="486"/>
      <c r="AG73" s="427"/>
      <c r="AH73" s="486"/>
      <c r="AI73" s="486"/>
      <c r="AJ73" s="486"/>
      <c r="AK73" s="486"/>
      <c r="AL73" s="486"/>
      <c r="AM73" s="486"/>
      <c r="AN73" s="486"/>
      <c r="AO73" s="427"/>
      <c r="AP73" s="427"/>
      <c r="AQ73" s="427"/>
      <c r="AR73" s="427"/>
      <c r="AS73" s="427"/>
      <c r="AT73" s="427"/>
      <c r="AU73" s="427"/>
      <c r="AV73" s="427"/>
    </row>
    <row r="74" spans="1:48">
      <c r="A74" s="541" t="s">
        <v>1002</v>
      </c>
      <c r="B74" s="439" t="s">
        <v>17</v>
      </c>
      <c r="C74" s="439" t="s">
        <v>1003</v>
      </c>
      <c r="D74" s="427"/>
      <c r="E74" s="547"/>
      <c r="F74" s="544">
        <f t="shared" ref="F74:Q74" si="19">SUM(F72:F73)+E74</f>
        <v>0</v>
      </c>
      <c r="G74" s="544">
        <f t="shared" si="19"/>
        <v>0</v>
      </c>
      <c r="H74" s="544">
        <f t="shared" si="19"/>
        <v>0</v>
      </c>
      <c r="I74" s="544">
        <f t="shared" si="19"/>
        <v>0</v>
      </c>
      <c r="J74" s="544">
        <f t="shared" si="19"/>
        <v>0</v>
      </c>
      <c r="K74" s="544">
        <f t="shared" si="19"/>
        <v>0</v>
      </c>
      <c r="L74" s="544">
        <f t="shared" si="19"/>
        <v>0</v>
      </c>
      <c r="M74" s="544">
        <f t="shared" si="19"/>
        <v>0</v>
      </c>
      <c r="N74" s="543">
        <f t="shared" si="19"/>
        <v>0</v>
      </c>
      <c r="O74" s="543">
        <f t="shared" si="19"/>
        <v>0</v>
      </c>
      <c r="P74" s="543">
        <f t="shared" si="19"/>
        <v>0</v>
      </c>
      <c r="Q74" s="543">
        <f t="shared" si="19"/>
        <v>0</v>
      </c>
      <c r="R74" s="543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</row>
    <row r="75" spans="1:48">
      <c r="A75" s="427"/>
      <c r="B75" s="427"/>
      <c r="C75" s="427"/>
      <c r="D75" s="427"/>
      <c r="E75" s="543"/>
      <c r="F75" s="543"/>
      <c r="G75" s="543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</row>
    <row r="76" spans="1:48">
      <c r="A76" s="541" t="s">
        <v>1004</v>
      </c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</row>
    <row r="77" spans="1:48" s="30" customFormat="1" ht="14.65" customHeight="1">
      <c r="A77" s="504" t="s">
        <v>1005</v>
      </c>
      <c r="B77" s="527" t="s">
        <v>805</v>
      </c>
      <c r="C77" s="525" t="s">
        <v>1006</v>
      </c>
      <c r="D77" s="428"/>
      <c r="E77" s="486"/>
      <c r="F77" s="565">
        <f>'.c12_bi&amp;f_hr'!F48</f>
        <v>250559.99999999997</v>
      </c>
      <c r="G77" s="565">
        <f>'.c12_bi&amp;f_hr'!G48</f>
        <v>250559.99999999997</v>
      </c>
      <c r="H77" s="565">
        <f>'.c12_bi&amp;f_hr'!H48</f>
        <v>336959.99999999994</v>
      </c>
      <c r="I77" s="565">
        <f>'.c12_bi&amp;f_hr'!I48</f>
        <v>602497.5</v>
      </c>
      <c r="J77" s="565">
        <f>'.c12_bi&amp;f_hr'!J48</f>
        <v>296640</v>
      </c>
      <c r="K77" s="565">
        <f>'.c12_bi&amp;f_hr'!K48</f>
        <v>477677.14285714284</v>
      </c>
      <c r="L77" s="565">
        <f>'.c12_bi&amp;f_hr'!L48</f>
        <v>672077.14285714284</v>
      </c>
      <c r="M77" s="565">
        <f>'.c12_bi&amp;f_hr'!M48</f>
        <v>1173394.6428571427</v>
      </c>
      <c r="N77" s="486">
        <f>'.c12_bi&amp;f_hr'!N48</f>
        <v>3289116.0714285714</v>
      </c>
      <c r="O77" s="486">
        <f>'.c12_bi&amp;f_hr'!O48</f>
        <v>3289116.0714285714</v>
      </c>
      <c r="P77" s="486">
        <f>'.c12_bi&amp;f_hr'!P48</f>
        <v>3289116.0714285714</v>
      </c>
      <c r="Q77" s="486">
        <f>'.c12_bi&amp;f_hr'!Q48</f>
        <v>3289116.0714285714</v>
      </c>
      <c r="R77" s="523"/>
      <c r="S77" s="524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</row>
    <row r="78" spans="1:48" s="30" customFormat="1">
      <c r="A78" s="504" t="s">
        <v>1007</v>
      </c>
      <c r="B78" s="527" t="s">
        <v>805</v>
      </c>
      <c r="C78" s="525" t="s">
        <v>1008</v>
      </c>
      <c r="D78" s="428"/>
      <c r="E78" s="486"/>
      <c r="F78" s="565">
        <f>'.c12_bi&amp;f_hr'!F49</f>
        <v>53279.999999999993</v>
      </c>
      <c r="G78" s="565">
        <f>'.c12_bi&amp;f_hr'!G49</f>
        <v>53279.999999999993</v>
      </c>
      <c r="H78" s="565">
        <f>'.c12_bi&amp;f_hr'!H49</f>
        <v>115199.99999999999</v>
      </c>
      <c r="I78" s="565">
        <f>'.c12_bi&amp;f_hr'!I49</f>
        <v>154162.5</v>
      </c>
      <c r="J78" s="565">
        <f>'.c12_bi&amp;f_hr'!J49</f>
        <v>118079.99999999999</v>
      </c>
      <c r="K78" s="565">
        <f>'.c12_bi&amp;f_hr'!K49</f>
        <v>118079.99999999999</v>
      </c>
      <c r="L78" s="565">
        <f>'.c12_bi&amp;f_hr'!L49</f>
        <v>226080</v>
      </c>
      <c r="M78" s="565">
        <f>'.c12_bi&amp;f_hr'!M49</f>
        <v>314395</v>
      </c>
      <c r="N78" s="486">
        <f>'.c12_bi&amp;f_hr'!N49</f>
        <v>1013415</v>
      </c>
      <c r="O78" s="486">
        <f>'.c12_bi&amp;f_hr'!O49</f>
        <v>1013415</v>
      </c>
      <c r="P78" s="486">
        <f>'.c12_bi&amp;f_hr'!P49</f>
        <v>1013415</v>
      </c>
      <c r="Q78" s="486">
        <f>'.c12_bi&amp;f_hr'!Q49</f>
        <v>1013415</v>
      </c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71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</row>
    <row r="79" spans="1:48" s="30" customFormat="1">
      <c r="A79" s="504" t="s">
        <v>1009</v>
      </c>
      <c r="B79" s="527" t="s">
        <v>805</v>
      </c>
      <c r="C79" s="525" t="s">
        <v>1010</v>
      </c>
      <c r="D79" s="428"/>
      <c r="E79" s="486"/>
      <c r="F79" s="565">
        <f>'.c12_bi&amp;f_hr'!F50</f>
        <v>197280</v>
      </c>
      <c r="G79" s="565">
        <f>'.c12_bi&amp;f_hr'!G50</f>
        <v>197280</v>
      </c>
      <c r="H79" s="565">
        <f>'.c12_bi&amp;f_hr'!H50</f>
        <v>221759.99999999997</v>
      </c>
      <c r="I79" s="565">
        <f>'.c12_bi&amp;f_hr'!I50</f>
        <v>448334.99999999994</v>
      </c>
      <c r="J79" s="565">
        <f>'.c12_bi&amp;f_hr'!J50</f>
        <v>178559.99999999997</v>
      </c>
      <c r="K79" s="565">
        <f>'.c12_bi&amp;f_hr'!K50</f>
        <v>359597.14285714284</v>
      </c>
      <c r="L79" s="565">
        <f>'.c12_bi&amp;f_hr'!L50</f>
        <v>445997.14285714284</v>
      </c>
      <c r="M79" s="565">
        <f>'.c12_bi&amp;f_hr'!M50</f>
        <v>858999.64285714284</v>
      </c>
      <c r="N79" s="486">
        <f>'.c12_bi&amp;f_hr'!N50</f>
        <v>2275701.0714285714</v>
      </c>
      <c r="O79" s="486">
        <f>'.c12_bi&amp;f_hr'!O50</f>
        <v>2275701.0714285714</v>
      </c>
      <c r="P79" s="486">
        <f>'.c12_bi&amp;f_hr'!P50</f>
        <v>2275701.0714285714</v>
      </c>
      <c r="Q79" s="486">
        <f>'.c12_bi&amp;f_hr'!Q50</f>
        <v>2275701.0714285714</v>
      </c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71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</row>
    <row r="80" spans="1:48" s="30" customFormat="1">
      <c r="A80" s="504" t="s">
        <v>1011</v>
      </c>
      <c r="B80" s="527" t="s">
        <v>805</v>
      </c>
      <c r="C80" s="525" t="s">
        <v>1012</v>
      </c>
      <c r="D80" s="428"/>
      <c r="E80" s="486"/>
      <c r="F80" s="565">
        <f>'.c12_bi&amp;f_hr'!F51</f>
        <v>0</v>
      </c>
      <c r="G80" s="565">
        <f>'.c12_bi&amp;f_hr'!G51</f>
        <v>0</v>
      </c>
      <c r="H80" s="565">
        <f>'.c12_bi&amp;f_hr'!H51</f>
        <v>0</v>
      </c>
      <c r="I80" s="565">
        <f>'.c12_bi&amp;f_hr'!I51</f>
        <v>0</v>
      </c>
      <c r="J80" s="565">
        <f>'.c12_bi&amp;f_hr'!J51</f>
        <v>0</v>
      </c>
      <c r="K80" s="565">
        <f>'.c12_bi&amp;f_hr'!K51</f>
        <v>0</v>
      </c>
      <c r="L80" s="565">
        <f>'.c12_bi&amp;f_hr'!L51</f>
        <v>0</v>
      </c>
      <c r="M80" s="565">
        <f>'.c12_bi&amp;f_hr'!M51</f>
        <v>0</v>
      </c>
      <c r="N80" s="486">
        <f>'.c12_bi&amp;f_hr'!N51</f>
        <v>0</v>
      </c>
      <c r="O80" s="486">
        <f>'.c12_bi&amp;f_hr'!O51</f>
        <v>0</v>
      </c>
      <c r="P80" s="486">
        <f>'.c12_bi&amp;f_hr'!P51</f>
        <v>0</v>
      </c>
      <c r="Q80" s="486">
        <f>'.c12_bi&amp;f_hr'!Q51</f>
        <v>0</v>
      </c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71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</row>
    <row r="81" spans="1:48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</row>
    <row r="82" spans="1:48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</row>
    <row r="83" spans="1:48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</row>
    <row r="84" spans="1:48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</row>
    <row r="85" spans="1:48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</row>
    <row r="86" spans="1:48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</row>
    <row r="87" spans="1:48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</row>
    <row r="88" spans="1:48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</row>
    <row r="89" spans="1:48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</row>
    <row r="90" spans="1:48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</row>
    <row r="91" spans="1:48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</row>
    <row r="92" spans="1:48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</row>
    <row r="93" spans="1:48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</row>
    <row r="94" spans="1:48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</row>
    <row r="95" spans="1:48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</row>
    <row r="96" spans="1:48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</row>
    <row r="97" spans="1:48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</row>
    <row r="98" spans="1:48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</row>
    <row r="99" spans="1:48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</row>
    <row r="100" spans="1:48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</row>
    <row r="101" spans="1:48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</row>
    <row r="102" spans="1:48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</row>
    <row r="103" spans="1:48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</row>
    <row r="104" spans="1:48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</row>
    <row r="105" spans="1:48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9"/>
      <c r="T105" s="429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</row>
    <row r="106" spans="1:48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</row>
    <row r="107" spans="1:48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</row>
    <row r="108" spans="1:48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</row>
    <row r="109" spans="1:48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</row>
    <row r="110" spans="1:48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</row>
    <row r="111" spans="1:48">
      <c r="A111" s="427"/>
      <c r="B111" s="448"/>
      <c r="C111" s="427"/>
      <c r="D111" s="448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</row>
    <row r="112" spans="1:48">
      <c r="A112" s="427"/>
      <c r="B112" s="448"/>
      <c r="C112" s="427"/>
      <c r="D112" s="448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</row>
    <row r="113" spans="1:48">
      <c r="A113" s="427"/>
      <c r="B113" s="448"/>
      <c r="C113" s="427"/>
      <c r="D113" s="448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</row>
    <row r="114" spans="1:48">
      <c r="A114" s="427"/>
      <c r="B114" s="448"/>
      <c r="C114" s="427"/>
      <c r="D114" s="448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</row>
    <row r="115" spans="1:48">
      <c r="A115" s="427"/>
      <c r="B115" s="448"/>
      <c r="C115" s="427"/>
      <c r="D115" s="448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</row>
    <row r="116" spans="1:48">
      <c r="A116" s="427"/>
      <c r="B116" s="448"/>
      <c r="C116" s="427"/>
      <c r="D116" s="448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</row>
    <row r="117" spans="1:48">
      <c r="A117" s="427"/>
      <c r="B117" s="448"/>
      <c r="C117" s="427"/>
      <c r="D117" s="448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</row>
    <row r="118" spans="1:48">
      <c r="A118" s="427"/>
      <c r="B118" s="448"/>
      <c r="C118" s="427"/>
      <c r="D118" s="448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</row>
    <row r="119" spans="1:48" s="5" customFormat="1">
      <c r="A119" s="531"/>
      <c r="B119" s="448"/>
      <c r="C119" s="427"/>
      <c r="D119" s="448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71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</row>
    <row r="120" spans="1:48">
      <c r="A120" s="427"/>
      <c r="B120" s="448"/>
      <c r="C120" s="427"/>
      <c r="D120" s="448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</row>
    <row r="121" spans="1:48">
      <c r="A121" s="427"/>
      <c r="B121" s="448"/>
      <c r="C121" s="427"/>
      <c r="D121" s="448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</row>
    <row r="122" spans="1:48">
      <c r="A122" s="427"/>
      <c r="B122" s="448"/>
      <c r="C122" s="427"/>
      <c r="D122" s="448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</row>
    <row r="123" spans="1:48">
      <c r="A123" s="427"/>
      <c r="B123" s="448"/>
      <c r="C123" s="427"/>
      <c r="D123" s="448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</row>
    <row r="124" spans="1:48">
      <c r="A124" s="427"/>
      <c r="B124" s="448"/>
      <c r="C124" s="427"/>
      <c r="D124" s="448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549"/>
      <c r="P124" s="549"/>
      <c r="Q124" s="427"/>
      <c r="R124" s="429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</row>
    <row r="125" spans="1:48">
      <c r="A125" s="427"/>
      <c r="B125" s="448"/>
      <c r="C125" s="427"/>
      <c r="D125" s="448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</row>
    <row r="126" spans="1:48">
      <c r="A126" s="427"/>
      <c r="B126" s="448"/>
      <c r="C126" s="427"/>
      <c r="D126" s="448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</row>
    <row r="127" spans="1:48">
      <c r="A127" s="427"/>
      <c r="B127" s="448"/>
      <c r="C127" s="427"/>
      <c r="D127" s="448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</row>
    <row r="128" spans="1:48">
      <c r="A128" s="427"/>
      <c r="B128" s="448"/>
      <c r="C128" s="427"/>
      <c r="D128" s="448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</row>
    <row r="129" spans="1:48">
      <c r="A129" s="427"/>
      <c r="B129" s="448"/>
      <c r="C129" s="427"/>
      <c r="D129" s="448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</row>
    <row r="130" spans="1:48">
      <c r="A130" s="427"/>
      <c r="B130" s="448"/>
      <c r="C130" s="427"/>
      <c r="D130" s="448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</row>
    <row r="131" spans="1:48">
      <c r="A131" s="427"/>
      <c r="B131" s="448"/>
      <c r="C131" s="427"/>
      <c r="D131" s="448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</row>
    <row r="132" spans="1:48">
      <c r="A132" s="427"/>
      <c r="B132" s="448"/>
      <c r="C132" s="427"/>
      <c r="D132" s="448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</row>
    <row r="133" spans="1:48">
      <c r="A133" s="427"/>
      <c r="B133" s="448"/>
      <c r="C133" s="427"/>
      <c r="D133" s="448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</row>
    <row r="134" spans="1:48">
      <c r="A134" s="427"/>
      <c r="B134" s="448"/>
      <c r="C134" s="427"/>
      <c r="D134" s="448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</row>
    <row r="135" spans="1:48">
      <c r="A135" s="427"/>
      <c r="B135" s="448"/>
      <c r="C135" s="427"/>
      <c r="D135" s="448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</row>
    <row r="136" spans="1:48">
      <c r="A136" s="427"/>
      <c r="B136" s="448"/>
      <c r="C136" s="427"/>
      <c r="D136" s="448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</row>
    <row r="137" spans="1:48">
      <c r="A137" s="427"/>
      <c r="B137" s="448"/>
      <c r="C137" s="427"/>
      <c r="D137" s="448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</row>
    <row r="138" spans="1:48">
      <c r="A138" s="427"/>
      <c r="B138" s="448"/>
      <c r="C138" s="427"/>
      <c r="D138" s="448"/>
      <c r="E138" s="427"/>
      <c r="F138" s="427"/>
      <c r="G138" s="427"/>
      <c r="H138" s="427"/>
      <c r="I138" s="427"/>
      <c r="J138" s="427"/>
      <c r="K138" s="427"/>
      <c r="L138" s="525" t="s">
        <v>1013</v>
      </c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</row>
    <row r="139" spans="1:48">
      <c r="A139" s="427"/>
      <c r="B139" s="448"/>
      <c r="C139" s="427"/>
      <c r="D139" s="448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</row>
    <row r="140" spans="1:48">
      <c r="A140" s="427"/>
      <c r="B140" s="448"/>
      <c r="C140" s="427"/>
      <c r="D140" s="448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</row>
    <row r="141" spans="1:48">
      <c r="A141" s="427"/>
      <c r="B141" s="448"/>
      <c r="C141" s="427"/>
      <c r="D141" s="448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</row>
    <row r="142" spans="1:48">
      <c r="A142" s="427"/>
      <c r="B142" s="448"/>
      <c r="C142" s="427"/>
      <c r="D142" s="448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</row>
    <row r="143" spans="1:48">
      <c r="A143" s="427"/>
      <c r="B143" s="448"/>
      <c r="C143" s="427"/>
      <c r="D143" s="448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</row>
    <row r="144" spans="1:48">
      <c r="A144" s="427"/>
      <c r="B144" s="448"/>
      <c r="C144" s="427"/>
      <c r="D144" s="448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</row>
    <row r="145" spans="1:48">
      <c r="A145" s="427"/>
      <c r="B145" s="448"/>
      <c r="C145" s="427"/>
      <c r="D145" s="448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</row>
    <row r="146" spans="1:48">
      <c r="A146" s="427"/>
      <c r="B146" s="448"/>
      <c r="C146" s="427"/>
      <c r="D146" s="448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</row>
    <row r="147" spans="1:48">
      <c r="A147" s="427"/>
      <c r="B147" s="448"/>
      <c r="C147" s="427"/>
      <c r="D147" s="448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</row>
    <row r="148" spans="1:48">
      <c r="A148" s="427"/>
      <c r="B148" s="448"/>
      <c r="C148" s="427"/>
      <c r="D148" s="448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</row>
    <row r="149" spans="1:48">
      <c r="A149" s="427"/>
      <c r="B149" s="448"/>
      <c r="C149" s="427"/>
      <c r="D149" s="448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selection activeCell="F5" sqref="F5"/>
    </sheetView>
  </sheetViews>
  <sheetFormatPr defaultRowHeight="14.5"/>
  <cols>
    <col min="1" max="1" width="13.54296875" customWidth="1"/>
    <col min="2" max="2" width="4.453125" style="424" customWidth="1"/>
    <col min="3" max="3" width="19.08984375" style="418" customWidth="1"/>
    <col min="4" max="4" width="7.6328125" style="424" customWidth="1"/>
    <col min="14" max="14" width="27.54296875" customWidth="1"/>
  </cols>
  <sheetData>
    <row r="1" spans="1:7">
      <c r="A1" s="580"/>
      <c r="B1" s="580"/>
      <c r="C1" s="580"/>
      <c r="D1" s="580"/>
      <c r="E1" s="580"/>
      <c r="F1" s="580"/>
      <c r="G1" s="580"/>
    </row>
    <row r="2" spans="1:7" ht="15" customHeight="1">
      <c r="A2" s="583"/>
      <c r="B2" s="584"/>
      <c r="C2" s="584"/>
      <c r="D2" s="584"/>
      <c r="E2" s="583"/>
      <c r="F2" s="583"/>
      <c r="G2" s="583"/>
    </row>
    <row r="3" spans="1:7" s="426" customFormat="1" ht="15" customHeight="1">
      <c r="A3" s="583"/>
      <c r="B3" s="584"/>
      <c r="C3" s="584"/>
      <c r="D3" s="584"/>
      <c r="E3" s="583"/>
      <c r="F3" s="583"/>
      <c r="G3" s="583"/>
    </row>
    <row r="4" spans="1:7" ht="18.5" customHeight="1">
      <c r="A4" s="583"/>
      <c r="B4" s="649" t="s">
        <v>0</v>
      </c>
      <c r="C4" s="650" t="s">
        <v>1</v>
      </c>
      <c r="D4" s="649" t="s">
        <v>2</v>
      </c>
      <c r="E4" s="583"/>
      <c r="F4" s="583"/>
      <c r="G4" s="583"/>
    </row>
    <row r="5" spans="1:7">
      <c r="A5" s="609" t="s">
        <v>1039</v>
      </c>
      <c r="B5" s="598" t="s">
        <v>17</v>
      </c>
      <c r="C5" s="599" t="s">
        <v>1040</v>
      </c>
      <c r="D5" s="598" t="s">
        <v>1041</v>
      </c>
      <c r="E5" s="651">
        <f>15.2%*250/1750</f>
        <v>2.1714285714285714E-2</v>
      </c>
      <c r="F5" s="607" t="s">
        <v>1135</v>
      </c>
      <c r="G5" s="580"/>
    </row>
    <row r="6" spans="1:7">
      <c r="A6" s="609" t="s">
        <v>1042</v>
      </c>
      <c r="B6" s="598" t="s">
        <v>17</v>
      </c>
      <c r="C6" s="599" t="s">
        <v>1043</v>
      </c>
      <c r="D6" s="600" t="s">
        <v>1041</v>
      </c>
      <c r="E6" s="652">
        <v>3.9E-2</v>
      </c>
      <c r="F6" s="580"/>
      <c r="G6" s="580"/>
    </row>
    <row r="7" spans="1:7">
      <c r="A7" s="580"/>
      <c r="B7" s="653"/>
      <c r="C7" s="654"/>
      <c r="D7" s="655"/>
      <c r="E7" s="580"/>
      <c r="F7" s="580"/>
      <c r="G7" s="580"/>
    </row>
    <row r="8" spans="1:7">
      <c r="A8" s="609" t="s">
        <v>1044</v>
      </c>
      <c r="B8" s="598" t="s">
        <v>17</v>
      </c>
      <c r="C8" s="599" t="s">
        <v>1040</v>
      </c>
      <c r="D8" s="600" t="s">
        <v>886</v>
      </c>
      <c r="E8" s="656">
        <v>0.152</v>
      </c>
      <c r="F8" s="580"/>
      <c r="G8" s="580"/>
    </row>
    <row r="9" spans="1:7">
      <c r="A9" s="609" t="s">
        <v>1045</v>
      </c>
      <c r="B9" s="607" t="s">
        <v>17</v>
      </c>
      <c r="C9" s="607" t="s">
        <v>1043</v>
      </c>
      <c r="D9" s="607" t="s">
        <v>886</v>
      </c>
      <c r="E9" s="656">
        <v>3.9E-2</v>
      </c>
      <c r="F9" s="580"/>
      <c r="G9" s="580"/>
    </row>
    <row r="10" spans="1:7">
      <c r="A10" s="580"/>
      <c r="B10" s="580"/>
      <c r="C10" s="580"/>
      <c r="D10" s="580"/>
      <c r="E10" s="580"/>
      <c r="F10" s="580"/>
      <c r="G10" s="580"/>
    </row>
    <row r="11" spans="1:7">
      <c r="A11" s="609" t="s">
        <v>1046</v>
      </c>
      <c r="B11" s="607" t="s">
        <v>17</v>
      </c>
      <c r="C11" s="607" t="s">
        <v>1040</v>
      </c>
      <c r="D11" s="607" t="s">
        <v>888</v>
      </c>
      <c r="E11" s="656">
        <v>0.152</v>
      </c>
      <c r="F11" s="580"/>
      <c r="G11" s="580"/>
    </row>
    <row r="12" spans="1:7">
      <c r="A12" s="609" t="s">
        <v>1047</v>
      </c>
      <c r="B12" s="607" t="s">
        <v>17</v>
      </c>
      <c r="C12" s="607" t="s">
        <v>1043</v>
      </c>
      <c r="D12" s="607" t="s">
        <v>888</v>
      </c>
      <c r="E12" s="656">
        <v>3.9E-2</v>
      </c>
      <c r="F12" s="580"/>
      <c r="G12" s="580"/>
    </row>
    <row r="13" spans="1:7">
      <c r="A13" s="580"/>
      <c r="B13" s="580"/>
      <c r="C13" s="580"/>
      <c r="D13" s="580"/>
      <c r="E13" s="580"/>
      <c r="F13" s="580"/>
      <c r="G13" s="580"/>
    </row>
    <row r="14" spans="1:7">
      <c r="A14" s="580"/>
      <c r="B14" s="580"/>
      <c r="C14" s="580"/>
      <c r="D14" s="580"/>
      <c r="E14" s="580"/>
      <c r="F14" s="580"/>
      <c r="G14" s="580"/>
    </row>
    <row r="15" spans="1:7">
      <c r="A15" s="609" t="s">
        <v>1048</v>
      </c>
      <c r="B15" s="607" t="s">
        <v>17</v>
      </c>
      <c r="C15" s="607" t="s">
        <v>1040</v>
      </c>
      <c r="D15" s="607" t="s">
        <v>1049</v>
      </c>
      <c r="E15" s="656">
        <v>0.152</v>
      </c>
      <c r="F15" s="580"/>
      <c r="G15" s="580"/>
    </row>
    <row r="16" spans="1:7">
      <c r="A16" s="609" t="s">
        <v>1050</v>
      </c>
      <c r="B16" s="607" t="s">
        <v>17</v>
      </c>
      <c r="C16" s="607" t="s">
        <v>1043</v>
      </c>
      <c r="D16" s="607" t="s">
        <v>1049</v>
      </c>
      <c r="E16" s="656">
        <v>3.9E-2</v>
      </c>
      <c r="F16" s="580"/>
      <c r="G16" s="580"/>
    </row>
    <row r="17" spans="1:7">
      <c r="A17" s="580"/>
      <c r="B17" s="580"/>
      <c r="C17" s="580"/>
      <c r="D17" s="580"/>
      <c r="E17" s="580"/>
      <c r="F17" s="580"/>
      <c r="G17" s="580"/>
    </row>
    <row r="18" spans="1:7">
      <c r="A18" s="580"/>
      <c r="B18" s="580"/>
      <c r="C18" s="580"/>
      <c r="D18" s="580"/>
      <c r="E18" s="580"/>
      <c r="F18" s="580"/>
      <c r="G18" s="580"/>
    </row>
    <row r="19" spans="1:7">
      <c r="A19" s="580"/>
      <c r="B19" s="580"/>
      <c r="C19" s="580"/>
      <c r="D19" s="580"/>
      <c r="E19" s="580"/>
      <c r="F19" s="580"/>
      <c r="G19" s="580"/>
    </row>
    <row r="20" spans="1:7">
      <c r="A20" s="580"/>
      <c r="B20" s="580"/>
      <c r="C20" s="580"/>
      <c r="D20" s="580"/>
      <c r="E20" s="580"/>
      <c r="F20" s="580"/>
      <c r="G20" s="580"/>
    </row>
    <row r="21" spans="1:7">
      <c r="A21" s="580"/>
      <c r="B21" s="580"/>
      <c r="C21" s="580"/>
      <c r="D21" s="580"/>
      <c r="E21" s="580"/>
      <c r="F21" s="580"/>
      <c r="G21" s="580"/>
    </row>
    <row r="22" spans="1:7">
      <c r="A22" s="580"/>
      <c r="B22" s="580"/>
      <c r="C22" s="580"/>
      <c r="D22" s="580"/>
      <c r="E22" s="580"/>
      <c r="F22" s="580"/>
      <c r="G22" s="580"/>
    </row>
    <row r="23" spans="1:7">
      <c r="A23" s="580"/>
      <c r="B23" s="580"/>
      <c r="C23" s="580"/>
      <c r="D23" s="580"/>
      <c r="E23" s="580"/>
      <c r="F23" s="580"/>
      <c r="G23" s="580"/>
    </row>
    <row r="24" spans="1:7">
      <c r="A24" s="580"/>
      <c r="B24" s="580"/>
      <c r="C24" s="580"/>
      <c r="D24" s="580"/>
      <c r="E24" s="580"/>
      <c r="F24" s="580"/>
      <c r="G24" s="580"/>
    </row>
    <row r="25" spans="1:7">
      <c r="A25" s="580"/>
      <c r="B25" s="580"/>
      <c r="C25" s="580"/>
      <c r="D25" s="580"/>
      <c r="E25" s="580"/>
      <c r="F25" s="580"/>
      <c r="G25" s="580"/>
    </row>
    <row r="26" spans="1:7">
      <c r="A26" s="580"/>
      <c r="B26" s="580"/>
      <c r="C26" s="580"/>
      <c r="D26" s="580"/>
      <c r="E26" s="580"/>
      <c r="F26" s="580"/>
      <c r="G26" s="580"/>
    </row>
    <row r="27" spans="1:7">
      <c r="A27" s="580"/>
      <c r="B27" s="580"/>
      <c r="C27" s="580"/>
      <c r="D27" s="580"/>
      <c r="E27" s="580"/>
      <c r="F27" s="580"/>
      <c r="G27" s="580"/>
    </row>
    <row r="28" spans="1:7">
      <c r="A28" s="580"/>
      <c r="B28" s="580"/>
      <c r="C28" s="580"/>
      <c r="D28" s="580"/>
      <c r="E28" s="580"/>
      <c r="F28" s="580"/>
      <c r="G28" s="580"/>
    </row>
    <row r="29" spans="1:7">
      <c r="A29" s="580"/>
      <c r="B29" s="580"/>
      <c r="C29" s="580"/>
      <c r="D29" s="580"/>
      <c r="E29" s="580"/>
      <c r="F29" s="580"/>
      <c r="G29" s="580"/>
    </row>
    <row r="30" spans="1:7">
      <c r="A30" s="580"/>
      <c r="B30" s="580"/>
      <c r="C30" s="580"/>
      <c r="D30" s="580"/>
      <c r="E30" s="580"/>
      <c r="F30" s="580"/>
      <c r="G30" s="580"/>
    </row>
    <row r="31" spans="1:7">
      <c r="A31" s="580"/>
      <c r="B31" s="580"/>
      <c r="C31" s="580"/>
      <c r="D31" s="580"/>
      <c r="E31" s="580"/>
      <c r="F31" s="580"/>
      <c r="G31" s="580"/>
    </row>
    <row r="32" spans="1:7">
      <c r="A32" s="580"/>
      <c r="B32" s="580"/>
      <c r="C32" s="580"/>
      <c r="D32" s="580"/>
      <c r="E32" s="580"/>
      <c r="F32" s="580"/>
      <c r="G32" s="580"/>
    </row>
    <row r="33" spans="1:7">
      <c r="A33" s="580"/>
      <c r="B33" s="580"/>
      <c r="C33" s="580"/>
      <c r="D33" s="580"/>
      <c r="E33" s="580"/>
      <c r="F33" s="580"/>
      <c r="G33" s="580"/>
    </row>
    <row r="34" spans="1:7">
      <c r="A34" s="580"/>
      <c r="B34" s="580"/>
      <c r="C34" s="580"/>
      <c r="D34" s="580"/>
      <c r="E34" s="580"/>
      <c r="F34" s="580"/>
      <c r="G34" s="580"/>
    </row>
    <row r="35" spans="1:7">
      <c r="A35" s="580"/>
      <c r="B35" s="580"/>
      <c r="C35" s="580"/>
      <c r="D35" s="580"/>
      <c r="E35" s="580"/>
      <c r="F35" s="580"/>
      <c r="G35" s="580"/>
    </row>
    <row r="36" spans="1:7">
      <c r="A36" s="580"/>
      <c r="B36" s="580"/>
      <c r="C36" s="580"/>
      <c r="D36" s="580"/>
      <c r="E36" s="580"/>
      <c r="F36" s="580"/>
      <c r="G36" s="580"/>
    </row>
    <row r="37" spans="1:7">
      <c r="A37" s="580"/>
      <c r="B37" s="580"/>
      <c r="C37" s="580"/>
      <c r="D37" s="580"/>
      <c r="E37" s="580"/>
      <c r="F37" s="580"/>
      <c r="G37" s="580"/>
    </row>
    <row r="38" spans="1:7">
      <c r="A38" s="580"/>
      <c r="B38" s="580"/>
      <c r="C38" s="580"/>
      <c r="D38" s="580"/>
      <c r="E38" s="580"/>
      <c r="F38" s="580"/>
      <c r="G38" s="580"/>
    </row>
    <row r="39" spans="1:7">
      <c r="A39" s="580"/>
      <c r="B39" s="580"/>
      <c r="C39" s="580"/>
      <c r="D39" s="580"/>
      <c r="E39" s="580"/>
      <c r="F39" s="580"/>
      <c r="G39" s="580"/>
    </row>
    <row r="40" spans="1:7">
      <c r="A40" s="580"/>
      <c r="B40" s="580"/>
      <c r="C40" s="580"/>
      <c r="D40" s="580"/>
      <c r="E40" s="580"/>
      <c r="F40" s="580"/>
      <c r="G40" s="580"/>
    </row>
    <row r="41" spans="1:7">
      <c r="A41" s="580"/>
      <c r="B41" s="580"/>
      <c r="C41" s="580"/>
      <c r="D41" s="580"/>
      <c r="E41" s="580"/>
      <c r="F41" s="580"/>
      <c r="G41" s="580"/>
    </row>
    <row r="42" spans="1:7">
      <c r="A42" s="580"/>
      <c r="B42" s="580"/>
      <c r="C42" s="580"/>
      <c r="D42" s="580"/>
      <c r="E42" s="580"/>
      <c r="F42" s="580"/>
      <c r="G42" s="580"/>
    </row>
    <row r="43" spans="1:7">
      <c r="A43" s="580"/>
      <c r="B43" s="580"/>
      <c r="C43" s="580"/>
      <c r="D43" s="580"/>
      <c r="E43" s="580"/>
      <c r="F43" s="580"/>
      <c r="G43" s="580"/>
    </row>
    <row r="44" spans="1:7">
      <c r="A44" s="580"/>
      <c r="B44" s="580"/>
      <c r="C44" s="580"/>
      <c r="D44" s="580"/>
      <c r="E44" s="580"/>
      <c r="F44" s="580"/>
      <c r="G44" s="580"/>
    </row>
    <row r="45" spans="1:7">
      <c r="A45" s="580"/>
      <c r="B45" s="580"/>
      <c r="C45" s="580"/>
      <c r="D45" s="580"/>
      <c r="E45" s="580"/>
      <c r="F45" s="580"/>
      <c r="G45" s="580"/>
    </row>
    <row r="46" spans="1:7">
      <c r="A46" s="580"/>
      <c r="B46" s="580"/>
      <c r="C46" s="580"/>
      <c r="D46" s="580"/>
      <c r="E46" s="580"/>
      <c r="F46" s="580"/>
      <c r="G46" s="580"/>
    </row>
    <row r="47" spans="1:7">
      <c r="A47" s="580"/>
      <c r="B47" s="580"/>
      <c r="C47" s="580"/>
      <c r="D47" s="580"/>
      <c r="E47" s="580"/>
      <c r="F47" s="580"/>
      <c r="G47" s="580"/>
    </row>
    <row r="48" spans="1:7">
      <c r="A48" s="580"/>
      <c r="B48" s="580"/>
      <c r="C48" s="580"/>
      <c r="D48" s="580"/>
      <c r="E48" s="580"/>
      <c r="F48" s="580"/>
      <c r="G48" s="580"/>
    </row>
    <row r="49" spans="1:7">
      <c r="A49" s="580"/>
      <c r="B49" s="580"/>
      <c r="C49" s="580"/>
      <c r="D49" s="580"/>
      <c r="E49" s="580"/>
      <c r="F49" s="580"/>
      <c r="G49" s="580"/>
    </row>
    <row r="50" spans="1:7">
      <c r="A50" s="580"/>
      <c r="B50" s="580"/>
      <c r="C50" s="580"/>
      <c r="D50" s="580"/>
      <c r="E50" s="580"/>
      <c r="F50" s="580"/>
      <c r="G50" s="580"/>
    </row>
    <row r="51" spans="1:7">
      <c r="A51" s="580"/>
      <c r="B51" s="580"/>
      <c r="C51" s="580"/>
      <c r="D51" s="580"/>
      <c r="E51" s="580"/>
      <c r="F51" s="580"/>
      <c r="G51" s="580"/>
    </row>
    <row r="52" spans="1:7">
      <c r="A52" s="580"/>
      <c r="B52" s="580"/>
      <c r="C52" s="580"/>
      <c r="D52" s="580"/>
      <c r="E52" s="580"/>
      <c r="F52" s="580"/>
      <c r="G52" s="580"/>
    </row>
    <row r="53" spans="1:7">
      <c r="A53" s="580"/>
      <c r="B53" s="580"/>
      <c r="C53" s="580"/>
      <c r="D53" s="580"/>
      <c r="E53" s="580"/>
      <c r="F53" s="580"/>
      <c r="G53" s="580"/>
    </row>
    <row r="54" spans="1:7">
      <c r="A54" s="580"/>
      <c r="B54" s="580"/>
      <c r="C54" s="580"/>
      <c r="D54" s="580"/>
      <c r="E54" s="580"/>
      <c r="F54" s="580"/>
      <c r="G54" s="580"/>
    </row>
    <row r="55" spans="1:7">
      <c r="A55" s="580"/>
      <c r="B55" s="580"/>
      <c r="C55" s="580"/>
      <c r="D55" s="580"/>
      <c r="E55" s="580"/>
      <c r="F55" s="580"/>
      <c r="G55" s="580"/>
    </row>
    <row r="56" spans="1:7">
      <c r="A56" s="580"/>
      <c r="B56" s="580"/>
      <c r="C56" s="580"/>
      <c r="D56" s="580"/>
      <c r="E56" s="580"/>
      <c r="F56" s="580"/>
      <c r="G56" s="580"/>
    </row>
    <row r="57" spans="1:7">
      <c r="A57" s="580"/>
      <c r="B57" s="580"/>
      <c r="C57" s="580"/>
      <c r="D57" s="580"/>
      <c r="E57" s="580"/>
      <c r="F57" s="580"/>
      <c r="G57" s="580"/>
    </row>
    <row r="58" spans="1:7">
      <c r="A58" s="580"/>
      <c r="B58" s="580"/>
      <c r="C58" s="580"/>
      <c r="D58" s="580"/>
      <c r="E58" s="580"/>
      <c r="F58" s="580"/>
      <c r="G58" s="580"/>
    </row>
    <row r="59" spans="1:7">
      <c r="A59" s="580"/>
      <c r="B59" s="580"/>
      <c r="C59" s="580"/>
      <c r="D59" s="580"/>
      <c r="E59" s="580"/>
      <c r="F59" s="580"/>
      <c r="G59" s="580"/>
    </row>
    <row r="60" spans="1:7">
      <c r="A60" s="580"/>
      <c r="B60" s="580"/>
      <c r="C60" s="580"/>
      <c r="D60" s="580"/>
      <c r="E60" s="580"/>
      <c r="F60" s="580"/>
      <c r="G60" s="580"/>
    </row>
    <row r="61" spans="1:7">
      <c r="A61" s="580"/>
      <c r="B61" s="580"/>
      <c r="C61" s="580"/>
      <c r="D61" s="580"/>
      <c r="E61" s="580"/>
      <c r="F61" s="580"/>
      <c r="G61" s="580"/>
    </row>
    <row r="62" spans="1:7">
      <c r="A62" s="580"/>
      <c r="B62" s="580"/>
      <c r="C62" s="580"/>
      <c r="D62" s="580"/>
      <c r="E62" s="580"/>
      <c r="F62" s="580"/>
      <c r="G62" s="580"/>
    </row>
    <row r="63" spans="1:7">
      <c r="A63" s="580"/>
      <c r="B63" s="580"/>
      <c r="C63" s="580"/>
      <c r="D63" s="580"/>
      <c r="E63" s="580"/>
      <c r="F63" s="580"/>
      <c r="G63" s="580"/>
    </row>
    <row r="64" spans="1:7">
      <c r="A64" s="580"/>
      <c r="B64" s="580"/>
      <c r="C64" s="580"/>
      <c r="D64" s="580"/>
      <c r="E64" s="580"/>
      <c r="F64" s="580"/>
      <c r="G64" s="580"/>
    </row>
    <row r="65" spans="1:7">
      <c r="A65" s="580"/>
      <c r="B65" s="580"/>
      <c r="C65" s="580"/>
      <c r="D65" s="580"/>
      <c r="E65" s="580"/>
      <c r="F65" s="580"/>
      <c r="G65" s="580"/>
    </row>
    <row r="66" spans="1:7">
      <c r="A66" s="580"/>
      <c r="B66" s="580"/>
      <c r="C66" s="580"/>
      <c r="D66" s="580"/>
      <c r="E66" s="580"/>
      <c r="F66" s="580"/>
      <c r="G66" s="580"/>
    </row>
    <row r="67" spans="1:7">
      <c r="A67" s="580"/>
      <c r="B67" s="580"/>
      <c r="C67" s="580"/>
      <c r="D67" s="580"/>
      <c r="E67" s="580"/>
      <c r="F67" s="580"/>
      <c r="G67" s="580"/>
    </row>
    <row r="68" spans="1:7">
      <c r="A68" s="580"/>
      <c r="B68" s="580"/>
      <c r="C68" s="580"/>
      <c r="D68" s="580"/>
      <c r="E68" s="580"/>
      <c r="F68" s="580"/>
      <c r="G68" s="580"/>
    </row>
    <row r="69" spans="1:7">
      <c r="A69" s="580"/>
      <c r="B69" s="580"/>
      <c r="C69" s="580"/>
      <c r="D69" s="580"/>
      <c r="E69" s="580"/>
      <c r="F69" s="580"/>
      <c r="G69" s="580"/>
    </row>
    <row r="70" spans="1:7">
      <c r="A70" s="580"/>
      <c r="B70" s="580"/>
      <c r="C70" s="580"/>
      <c r="D70" s="580"/>
      <c r="E70" s="580"/>
      <c r="F70" s="580"/>
      <c r="G70" s="580"/>
    </row>
    <row r="71" spans="1:7">
      <c r="A71" s="580"/>
      <c r="B71" s="580"/>
      <c r="C71" s="580"/>
      <c r="D71" s="580"/>
      <c r="E71" s="580"/>
      <c r="F71" s="580"/>
      <c r="G71" s="580"/>
    </row>
    <row r="72" spans="1:7">
      <c r="A72" s="580"/>
      <c r="B72" s="580"/>
      <c r="C72" s="580"/>
      <c r="D72" s="580"/>
      <c r="E72" s="580"/>
      <c r="F72" s="580"/>
      <c r="G72" s="580"/>
    </row>
    <row r="73" spans="1:7">
      <c r="A73" s="580"/>
      <c r="B73" s="580"/>
      <c r="C73" s="580"/>
      <c r="D73" s="580"/>
      <c r="E73" s="580"/>
      <c r="F73" s="580"/>
      <c r="G73" s="580"/>
    </row>
    <row r="74" spans="1:7">
      <c r="A74" s="580"/>
      <c r="B74" s="580"/>
      <c r="C74" s="580"/>
      <c r="D74" s="580"/>
      <c r="E74" s="580"/>
      <c r="F74" s="580"/>
      <c r="G74" s="580"/>
    </row>
    <row r="75" spans="1:7">
      <c r="A75" s="580"/>
      <c r="B75" s="580"/>
      <c r="C75" s="580"/>
      <c r="D75" s="580"/>
      <c r="E75" s="580"/>
      <c r="F75" s="580"/>
      <c r="G75" s="580"/>
    </row>
    <row r="76" spans="1:7">
      <c r="A76" s="580"/>
      <c r="B76" s="580"/>
      <c r="C76" s="580"/>
      <c r="D76" s="580"/>
      <c r="E76" s="580"/>
      <c r="F76" s="580"/>
      <c r="G76" s="580"/>
    </row>
    <row r="77" spans="1:7">
      <c r="A77" s="580"/>
      <c r="B77" s="580"/>
      <c r="C77" s="580"/>
      <c r="D77" s="580"/>
      <c r="E77" s="580"/>
      <c r="F77" s="580"/>
      <c r="G77" s="580"/>
    </row>
    <row r="78" spans="1:7">
      <c r="A78" s="580"/>
      <c r="B78" s="580"/>
      <c r="C78" s="580"/>
      <c r="D78" s="580"/>
      <c r="E78" s="580"/>
      <c r="F78" s="580"/>
      <c r="G78" s="580"/>
    </row>
    <row r="79" spans="1:7">
      <c r="A79" s="580"/>
      <c r="B79" s="580"/>
      <c r="C79" s="580"/>
      <c r="D79" s="580"/>
      <c r="E79" s="580"/>
      <c r="F79" s="580"/>
      <c r="G79" s="580"/>
    </row>
    <row r="80" spans="1:7">
      <c r="A80" s="580"/>
      <c r="B80" s="580"/>
      <c r="C80" s="580"/>
      <c r="D80" s="580"/>
      <c r="E80" s="580"/>
      <c r="F80" s="580"/>
      <c r="G80" s="580"/>
    </row>
    <row r="81" spans="1:7">
      <c r="A81" s="580"/>
      <c r="B81" s="580"/>
      <c r="C81" s="580"/>
      <c r="D81" s="580"/>
      <c r="E81" s="580"/>
      <c r="F81" s="580"/>
      <c r="G81" s="580"/>
    </row>
    <row r="82" spans="1:7">
      <c r="A82" s="580"/>
      <c r="B82" s="580"/>
      <c r="C82" s="580"/>
      <c r="D82" s="580"/>
      <c r="E82" s="580"/>
      <c r="F82" s="580"/>
      <c r="G82" s="580"/>
    </row>
    <row r="83" spans="1:7">
      <c r="A83" s="580"/>
      <c r="B83" s="580"/>
      <c r="C83" s="580"/>
      <c r="D83" s="580"/>
      <c r="E83" s="580"/>
      <c r="F83" s="580"/>
      <c r="G83" s="580"/>
    </row>
    <row r="84" spans="1:7">
      <c r="A84" s="580"/>
      <c r="B84" s="580"/>
      <c r="C84" s="580"/>
      <c r="D84" s="580"/>
      <c r="E84" s="580"/>
      <c r="F84" s="580"/>
      <c r="G84" s="580"/>
    </row>
    <row r="85" spans="1:7">
      <c r="A85" s="580"/>
      <c r="B85" s="580"/>
      <c r="C85" s="580"/>
      <c r="D85" s="580"/>
      <c r="E85" s="580"/>
      <c r="F85" s="580"/>
      <c r="G85" s="580"/>
    </row>
    <row r="86" spans="1:7">
      <c r="A86" s="580"/>
      <c r="B86" s="580"/>
      <c r="C86" s="580"/>
      <c r="D86" s="580"/>
      <c r="E86" s="580"/>
      <c r="F86" s="580"/>
      <c r="G86" s="580"/>
    </row>
    <row r="87" spans="1:7">
      <c r="A87" s="580"/>
      <c r="B87" s="580"/>
      <c r="C87" s="580"/>
      <c r="D87" s="580"/>
      <c r="E87" s="580"/>
      <c r="F87" s="580"/>
      <c r="G87" s="580"/>
    </row>
    <row r="88" spans="1:7">
      <c r="A88" s="580"/>
      <c r="B88" s="580"/>
      <c r="C88" s="580"/>
      <c r="D88" s="580"/>
      <c r="E88" s="580"/>
      <c r="F88" s="580"/>
      <c r="G88" s="580"/>
    </row>
    <row r="89" spans="1:7">
      <c r="A89" s="580"/>
      <c r="B89" s="580"/>
      <c r="C89" s="580"/>
      <c r="D89" s="580"/>
      <c r="E89" s="580"/>
      <c r="F89" s="580"/>
      <c r="G89" s="580"/>
    </row>
    <row r="90" spans="1:7">
      <c r="A90" s="580"/>
      <c r="B90" s="580"/>
      <c r="C90" s="580"/>
      <c r="D90" s="580"/>
      <c r="E90" s="580"/>
      <c r="F90" s="580"/>
      <c r="G90" s="580"/>
    </row>
    <row r="91" spans="1:7">
      <c r="A91" s="580"/>
      <c r="B91" s="580"/>
      <c r="C91" s="580"/>
      <c r="D91" s="580"/>
      <c r="E91" s="580"/>
      <c r="F91" s="580"/>
      <c r="G91" s="580"/>
    </row>
    <row r="92" spans="1:7">
      <c r="A92" s="580"/>
      <c r="B92" s="580"/>
      <c r="C92" s="580"/>
      <c r="D92" s="580"/>
      <c r="E92" s="580"/>
      <c r="F92" s="580"/>
      <c r="G92" s="580"/>
    </row>
    <row r="93" spans="1:7">
      <c r="A93" s="580"/>
      <c r="B93" s="580"/>
      <c r="C93" s="580"/>
      <c r="D93" s="580"/>
      <c r="E93" s="580"/>
      <c r="F93" s="580"/>
      <c r="G93" s="580"/>
    </row>
    <row r="94" spans="1:7">
      <c r="A94" s="580"/>
      <c r="B94" s="580"/>
      <c r="C94" s="580"/>
      <c r="D94" s="580"/>
      <c r="E94" s="580"/>
      <c r="F94" s="580"/>
      <c r="G94" s="580"/>
    </row>
    <row r="95" spans="1:7">
      <c r="A95" s="580"/>
      <c r="B95" s="580"/>
      <c r="C95" s="580"/>
      <c r="D95" s="580"/>
      <c r="E95" s="580"/>
      <c r="F95" s="580"/>
      <c r="G95" s="580"/>
    </row>
    <row r="96" spans="1:7">
      <c r="A96" s="580"/>
      <c r="B96" s="580"/>
      <c r="C96" s="580"/>
      <c r="D96" s="580"/>
      <c r="E96" s="580"/>
      <c r="F96" s="580"/>
      <c r="G96" s="580"/>
    </row>
    <row r="97" spans="1:7">
      <c r="A97" s="580"/>
      <c r="B97" s="580"/>
      <c r="C97" s="580"/>
      <c r="D97" s="580"/>
      <c r="E97" s="580"/>
      <c r="F97" s="580"/>
      <c r="G97" s="580"/>
    </row>
    <row r="98" spans="1:7">
      <c r="A98" s="580"/>
      <c r="B98" s="580"/>
      <c r="C98" s="580"/>
      <c r="D98" s="580"/>
      <c r="E98" s="580"/>
      <c r="F98" s="580"/>
      <c r="G98" s="580"/>
    </row>
    <row r="99" spans="1:7">
      <c r="A99" s="580"/>
      <c r="B99" s="580"/>
      <c r="C99" s="580"/>
      <c r="D99" s="580"/>
      <c r="E99" s="580"/>
      <c r="F99" s="580"/>
      <c r="G99" s="580"/>
    </row>
    <row r="100" spans="1:7">
      <c r="A100" s="580"/>
      <c r="B100" s="580"/>
      <c r="C100" s="580"/>
      <c r="D100" s="580"/>
      <c r="E100" s="580"/>
      <c r="F100" s="580"/>
      <c r="G100" s="580"/>
    </row>
    <row r="101" spans="1:7">
      <c r="A101" s="580"/>
      <c r="B101" s="580"/>
      <c r="C101" s="580"/>
      <c r="D101" s="580"/>
      <c r="E101" s="580"/>
      <c r="F101" s="580"/>
      <c r="G101" s="580"/>
    </row>
    <row r="102" spans="1:7">
      <c r="A102" s="580"/>
      <c r="B102" s="580"/>
      <c r="C102" s="580"/>
      <c r="D102" s="580"/>
      <c r="E102" s="580"/>
      <c r="F102" s="580"/>
      <c r="G102" s="580"/>
    </row>
    <row r="103" spans="1:7">
      <c r="A103" s="580"/>
      <c r="B103" s="580"/>
      <c r="C103" s="580"/>
      <c r="D103" s="580"/>
      <c r="E103" s="580"/>
      <c r="F103" s="580"/>
      <c r="G103" s="580"/>
    </row>
    <row r="104" spans="1:7">
      <c r="A104" s="580"/>
      <c r="B104" s="580"/>
      <c r="C104" s="580"/>
      <c r="D104" s="580"/>
      <c r="E104" s="580"/>
      <c r="F104" s="580"/>
      <c r="G104" s="580"/>
    </row>
    <row r="105" spans="1:7">
      <c r="A105" s="580"/>
      <c r="B105" s="580"/>
      <c r="C105" s="580"/>
      <c r="D105" s="580"/>
      <c r="E105" s="580"/>
      <c r="F105" s="580"/>
      <c r="G105" s="580"/>
    </row>
    <row r="106" spans="1:7">
      <c r="A106" s="580"/>
      <c r="B106" s="580"/>
      <c r="C106" s="580"/>
      <c r="D106" s="580"/>
      <c r="E106" s="580"/>
      <c r="F106" s="580"/>
      <c r="G106" s="580"/>
    </row>
    <row r="107" spans="1:7">
      <c r="A107" s="580"/>
      <c r="B107" s="580"/>
      <c r="C107" s="580"/>
      <c r="D107" s="580"/>
      <c r="E107" s="580"/>
      <c r="F107" s="580"/>
      <c r="G107" s="580"/>
    </row>
    <row r="108" spans="1:7">
      <c r="A108" s="580"/>
      <c r="B108" s="580"/>
      <c r="C108" s="580"/>
      <c r="D108" s="580"/>
      <c r="E108" s="580"/>
      <c r="F108" s="580"/>
      <c r="G108" s="580"/>
    </row>
    <row r="109" spans="1:7">
      <c r="A109" s="580"/>
      <c r="B109" s="580"/>
      <c r="C109" s="580"/>
      <c r="D109" s="580"/>
      <c r="E109" s="580"/>
      <c r="F109" s="580"/>
      <c r="G109" s="580"/>
    </row>
    <row r="110" spans="1:7">
      <c r="A110" s="580"/>
      <c r="B110" s="580"/>
      <c r="C110" s="580"/>
      <c r="D110" s="580"/>
      <c r="E110" s="580"/>
      <c r="F110" s="580"/>
      <c r="G110" s="580"/>
    </row>
    <row r="111" spans="1:7">
      <c r="A111" s="580"/>
      <c r="B111" s="616"/>
      <c r="C111" s="580"/>
      <c r="D111" s="616"/>
      <c r="E111" s="580"/>
      <c r="F111" s="580"/>
      <c r="G111" s="580"/>
    </row>
    <row r="112" spans="1:7">
      <c r="A112" s="580"/>
      <c r="B112" s="616"/>
      <c r="C112" s="580"/>
      <c r="D112" s="616"/>
      <c r="E112" s="580"/>
      <c r="F112" s="580"/>
      <c r="G112" s="580"/>
    </row>
    <row r="113" spans="1:7">
      <c r="A113" s="580"/>
      <c r="B113" s="616"/>
      <c r="C113" s="580"/>
      <c r="D113" s="616"/>
      <c r="E113" s="580"/>
      <c r="F113" s="580"/>
      <c r="G113" s="580"/>
    </row>
    <row r="114" spans="1:7">
      <c r="A114" s="580"/>
      <c r="B114" s="616"/>
      <c r="C114" s="580"/>
      <c r="D114" s="616"/>
      <c r="E114" s="580"/>
      <c r="F114" s="580"/>
      <c r="G114" s="580"/>
    </row>
    <row r="115" spans="1:7">
      <c r="A115" s="580"/>
      <c r="B115" s="616"/>
      <c r="C115" s="580"/>
      <c r="D115" s="616"/>
      <c r="E115" s="580"/>
      <c r="F115" s="580"/>
      <c r="G115" s="580"/>
    </row>
    <row r="116" spans="1:7">
      <c r="A116" s="580"/>
      <c r="B116" s="616"/>
      <c r="C116" s="580"/>
      <c r="D116" s="616"/>
      <c r="E116" s="580"/>
      <c r="F116" s="580"/>
      <c r="G116" s="580"/>
    </row>
    <row r="117" spans="1:7">
      <c r="A117" s="580"/>
      <c r="B117" s="616"/>
      <c r="C117" s="580"/>
      <c r="D117" s="616"/>
      <c r="E117" s="580"/>
      <c r="F117" s="580"/>
      <c r="G117" s="580"/>
    </row>
    <row r="118" spans="1:7">
      <c r="A118" s="580"/>
      <c r="B118" s="616"/>
      <c r="C118" s="580"/>
      <c r="D118" s="616"/>
      <c r="E118" s="580"/>
      <c r="F118" s="580"/>
      <c r="G118" s="580"/>
    </row>
    <row r="119" spans="1:7">
      <c r="A119" s="580"/>
      <c r="B119" s="616"/>
      <c r="C119" s="580"/>
      <c r="D119" s="616"/>
      <c r="E119" s="580"/>
      <c r="F119" s="580"/>
      <c r="G119" s="580"/>
    </row>
    <row r="120" spans="1:7">
      <c r="A120" s="580"/>
      <c r="B120" s="616"/>
      <c r="C120" s="580"/>
      <c r="D120" s="616"/>
      <c r="E120" s="580"/>
      <c r="F120" s="580"/>
      <c r="G120" s="580"/>
    </row>
    <row r="121" spans="1:7">
      <c r="A121" s="580"/>
      <c r="B121" s="616"/>
      <c r="C121" s="580"/>
      <c r="D121" s="616"/>
      <c r="E121" s="580"/>
      <c r="F121" s="580"/>
      <c r="G121" s="580"/>
    </row>
    <row r="122" spans="1:7">
      <c r="A122" s="580"/>
      <c r="B122" s="616"/>
      <c r="C122" s="580"/>
      <c r="D122" s="616"/>
      <c r="E122" s="580"/>
      <c r="F122" s="580"/>
      <c r="G122" s="580"/>
    </row>
    <row r="123" spans="1:7">
      <c r="A123" s="580"/>
      <c r="B123" s="616"/>
      <c r="C123" s="580"/>
      <c r="D123" s="616"/>
      <c r="E123" s="580"/>
      <c r="F123" s="580"/>
      <c r="G123" s="580"/>
    </row>
    <row r="124" spans="1:7">
      <c r="A124" s="580"/>
      <c r="B124" s="616"/>
      <c r="C124" s="580"/>
      <c r="D124" s="616"/>
      <c r="E124" s="580"/>
      <c r="F124" s="580"/>
      <c r="G124" s="580"/>
    </row>
    <row r="125" spans="1:7">
      <c r="A125" s="580"/>
      <c r="B125" s="616"/>
      <c r="C125" s="580"/>
      <c r="D125" s="616"/>
      <c r="E125" s="580"/>
      <c r="F125" s="580"/>
      <c r="G125" s="580"/>
    </row>
    <row r="126" spans="1:7">
      <c r="A126" s="580"/>
      <c r="B126" s="616"/>
      <c r="C126" s="580"/>
      <c r="D126" s="616"/>
      <c r="E126" s="580"/>
      <c r="F126" s="580"/>
      <c r="G126" s="580"/>
    </row>
    <row r="127" spans="1:7">
      <c r="A127" s="580"/>
      <c r="B127" s="616"/>
      <c r="C127" s="580"/>
      <c r="D127" s="616"/>
      <c r="E127" s="580"/>
      <c r="F127" s="580"/>
      <c r="G127" s="580"/>
    </row>
    <row r="128" spans="1:7">
      <c r="A128" s="580"/>
      <c r="B128" s="616"/>
      <c r="C128" s="580"/>
      <c r="D128" s="616"/>
      <c r="E128" s="580"/>
      <c r="F128" s="580"/>
      <c r="G128" s="580"/>
    </row>
    <row r="129" spans="1:7">
      <c r="A129" s="580"/>
      <c r="B129" s="616"/>
      <c r="C129" s="580"/>
      <c r="D129" s="616"/>
      <c r="E129" s="580"/>
      <c r="F129" s="580"/>
      <c r="G129" s="580"/>
    </row>
    <row r="130" spans="1:7">
      <c r="A130" s="580"/>
      <c r="B130" s="616"/>
      <c r="C130" s="580"/>
      <c r="D130" s="616"/>
      <c r="E130" s="580"/>
      <c r="F130" s="580"/>
      <c r="G130" s="580"/>
    </row>
    <row r="131" spans="1:7">
      <c r="A131" s="580"/>
      <c r="B131" s="616"/>
      <c r="C131" s="580"/>
      <c r="D131" s="616"/>
      <c r="E131" s="580"/>
      <c r="F131" s="580"/>
      <c r="G131" s="580"/>
    </row>
    <row r="132" spans="1:7">
      <c r="A132" s="580"/>
      <c r="B132" s="616"/>
      <c r="C132" s="580"/>
      <c r="D132" s="616"/>
      <c r="E132" s="580"/>
      <c r="F132" s="580"/>
      <c r="G132" s="580"/>
    </row>
    <row r="133" spans="1:7">
      <c r="A133" s="580"/>
      <c r="B133" s="616"/>
      <c r="C133" s="580"/>
      <c r="D133" s="616"/>
      <c r="E133" s="580"/>
      <c r="F133" s="580"/>
      <c r="G133" s="580"/>
    </row>
    <row r="134" spans="1:7">
      <c r="A134" s="580"/>
      <c r="B134" s="616"/>
      <c r="C134" s="580"/>
      <c r="D134" s="616"/>
      <c r="E134" s="580"/>
      <c r="F134" s="580"/>
      <c r="G134" s="580"/>
    </row>
    <row r="135" spans="1:7">
      <c r="A135" s="580"/>
      <c r="B135" s="616"/>
      <c r="C135" s="580"/>
      <c r="D135" s="616"/>
      <c r="E135" s="580"/>
      <c r="F135" s="580"/>
      <c r="G135" s="580"/>
    </row>
    <row r="136" spans="1:7">
      <c r="A136" s="580"/>
      <c r="B136" s="616"/>
      <c r="C136" s="580"/>
      <c r="D136" s="616"/>
      <c r="E136" s="580"/>
      <c r="F136" s="580"/>
      <c r="G136" s="580"/>
    </row>
    <row r="137" spans="1:7">
      <c r="A137" s="580"/>
      <c r="B137" s="616"/>
      <c r="C137" s="580"/>
      <c r="D137" s="616"/>
      <c r="E137" s="580"/>
      <c r="F137" s="580"/>
      <c r="G137" s="580"/>
    </row>
    <row r="138" spans="1:7">
      <c r="A138" s="580"/>
      <c r="B138" s="616"/>
      <c r="C138" s="580"/>
      <c r="D138" s="616"/>
      <c r="E138" s="580"/>
      <c r="F138" s="580"/>
      <c r="G138" s="580"/>
    </row>
    <row r="139" spans="1:7">
      <c r="A139" s="580"/>
      <c r="B139" s="616"/>
      <c r="C139" s="580"/>
      <c r="D139" s="616"/>
      <c r="E139" s="580"/>
      <c r="F139" s="580"/>
      <c r="G139" s="580"/>
    </row>
    <row r="140" spans="1:7">
      <c r="A140" s="580"/>
      <c r="B140" s="616"/>
      <c r="C140" s="580"/>
      <c r="D140" s="616"/>
      <c r="E140" s="580"/>
      <c r="F140" s="580"/>
      <c r="G140" s="580"/>
    </row>
    <row r="141" spans="1:7">
      <c r="A141" s="580"/>
      <c r="B141" s="616"/>
      <c r="C141" s="580"/>
      <c r="D141" s="616"/>
      <c r="E141" s="580"/>
      <c r="F141" s="580"/>
      <c r="G141" s="580"/>
    </row>
    <row r="142" spans="1:7">
      <c r="A142" s="580"/>
      <c r="B142" s="616"/>
      <c r="C142" s="580"/>
      <c r="D142" s="616"/>
      <c r="E142" s="580"/>
      <c r="F142" s="580"/>
      <c r="G142" s="580"/>
    </row>
    <row r="143" spans="1:7">
      <c r="A143" s="580"/>
      <c r="B143" s="616"/>
      <c r="C143" s="580"/>
      <c r="D143" s="616"/>
      <c r="E143" s="580"/>
      <c r="F143" s="580"/>
      <c r="G143" s="580"/>
    </row>
    <row r="144" spans="1:7">
      <c r="A144" s="580"/>
      <c r="B144" s="616"/>
      <c r="C144" s="580"/>
      <c r="D144" s="616"/>
      <c r="E144" s="580"/>
      <c r="F144" s="580"/>
      <c r="G144" s="580"/>
    </row>
    <row r="145" spans="1:7">
      <c r="A145" s="580"/>
      <c r="B145" s="616"/>
      <c r="C145" s="580"/>
      <c r="D145" s="616"/>
      <c r="E145" s="580"/>
      <c r="F145" s="580"/>
      <c r="G145" s="580"/>
    </row>
    <row r="146" spans="1:7">
      <c r="A146" s="580"/>
      <c r="B146" s="616"/>
      <c r="C146" s="580"/>
      <c r="D146" s="616"/>
      <c r="E146" s="580"/>
      <c r="F146" s="580"/>
      <c r="G146" s="580"/>
    </row>
    <row r="147" spans="1:7">
      <c r="A147" s="580"/>
      <c r="B147" s="616"/>
      <c r="C147" s="580"/>
      <c r="D147" s="616"/>
      <c r="E147" s="580"/>
      <c r="F147" s="580"/>
      <c r="G147" s="580"/>
    </row>
    <row r="148" spans="1:7">
      <c r="A148" s="580"/>
      <c r="B148" s="616"/>
      <c r="C148" s="580"/>
      <c r="D148" s="616"/>
      <c r="E148" s="580"/>
      <c r="F148" s="580"/>
      <c r="G148" s="580"/>
    </row>
    <row r="149" spans="1:7">
      <c r="A149" s="580"/>
      <c r="B149" s="616"/>
      <c r="C149" s="580"/>
      <c r="D149" s="616"/>
      <c r="E149" s="580"/>
      <c r="F149" s="580"/>
      <c r="G149" s="580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E147"/>
  <sheetViews>
    <sheetView workbookViewId="0">
      <selection activeCell="A12" sqref="A12:XFD12"/>
    </sheetView>
  </sheetViews>
  <sheetFormatPr defaultRowHeight="14.5"/>
  <cols>
    <col min="1" max="1" width="36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6.81640625" bestFit="1" customWidth="1"/>
    <col min="6" max="9" width="10.7265625" bestFit="1" customWidth="1"/>
    <col min="10" max="10" width="11.7265625" bestFit="1" customWidth="1"/>
    <col min="11" max="17" width="10.7265625" bestFit="1" customWidth="1"/>
  </cols>
  <sheetData>
    <row r="1" spans="1:57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1"/>
      <c r="T1" s="581"/>
      <c r="U1" s="580"/>
      <c r="V1" s="580"/>
      <c r="W1" s="580"/>
      <c r="X1" s="580"/>
      <c r="Y1" s="580"/>
      <c r="Z1" s="580"/>
      <c r="AA1" s="580"/>
      <c r="AB1" s="580"/>
      <c r="AC1" s="582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80"/>
      <c r="BE1" s="580"/>
    </row>
    <row r="2" spans="1:57">
      <c r="A2" s="583"/>
      <c r="B2" s="584"/>
      <c r="C2" s="584"/>
      <c r="D2" s="584"/>
      <c r="E2" s="585">
        <v>45657</v>
      </c>
      <c r="F2" s="585">
        <v>45747</v>
      </c>
      <c r="G2" s="585">
        <v>45838</v>
      </c>
      <c r="H2" s="585">
        <v>45930</v>
      </c>
      <c r="I2" s="585">
        <v>46022</v>
      </c>
      <c r="J2" s="585">
        <v>46112</v>
      </c>
      <c r="K2" s="585">
        <v>46203</v>
      </c>
      <c r="L2" s="585">
        <v>46295</v>
      </c>
      <c r="M2" s="585">
        <v>46387</v>
      </c>
      <c r="N2" s="585">
        <v>46752</v>
      </c>
      <c r="O2" s="585">
        <v>47118</v>
      </c>
      <c r="P2" s="585">
        <v>47483</v>
      </c>
      <c r="Q2" s="585">
        <v>47848</v>
      </c>
      <c r="R2" s="586"/>
      <c r="S2" s="587"/>
      <c r="T2" s="587"/>
      <c r="U2" s="583"/>
      <c r="V2" s="583"/>
      <c r="W2" s="583"/>
      <c r="X2" s="583"/>
      <c r="Y2" s="583"/>
      <c r="Z2" s="583"/>
      <c r="AA2" s="583"/>
      <c r="AB2" s="583"/>
      <c r="AC2" s="588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  <c r="AT2" s="583"/>
      <c r="AU2" s="583"/>
      <c r="AV2" s="583"/>
      <c r="AW2" s="583"/>
      <c r="AX2" s="583"/>
      <c r="AY2" s="583"/>
      <c r="AZ2" s="583"/>
      <c r="BA2" s="583"/>
      <c r="BB2" s="583"/>
      <c r="BC2" s="583"/>
      <c r="BD2" s="583"/>
      <c r="BE2" s="583"/>
    </row>
    <row r="3" spans="1:57">
      <c r="A3" s="583"/>
      <c r="B3" s="584"/>
      <c r="C3" s="584"/>
      <c r="D3" s="584"/>
      <c r="E3" s="589"/>
      <c r="F3" s="589" t="s">
        <v>130</v>
      </c>
      <c r="G3" s="589" t="s">
        <v>131</v>
      </c>
      <c r="H3" s="589" t="s">
        <v>132</v>
      </c>
      <c r="I3" s="589" t="s">
        <v>129</v>
      </c>
      <c r="J3" s="589" t="s">
        <v>130</v>
      </c>
      <c r="K3" s="589" t="s">
        <v>131</v>
      </c>
      <c r="L3" s="589" t="s">
        <v>132</v>
      </c>
      <c r="M3" s="589" t="s">
        <v>129</v>
      </c>
      <c r="N3" s="590" t="s">
        <v>129</v>
      </c>
      <c r="O3" s="590" t="s">
        <v>129</v>
      </c>
      <c r="P3" s="590" t="s">
        <v>129</v>
      </c>
      <c r="Q3" s="590" t="s">
        <v>129</v>
      </c>
      <c r="R3" s="591"/>
      <c r="S3" s="587"/>
      <c r="T3" s="587"/>
      <c r="U3" s="583"/>
      <c r="V3" s="583"/>
      <c r="W3" s="583"/>
      <c r="X3" s="583"/>
      <c r="Y3" s="583"/>
      <c r="Z3" s="583"/>
      <c r="AA3" s="583"/>
      <c r="AB3" s="583"/>
      <c r="AC3" s="588"/>
      <c r="AD3" s="583"/>
      <c r="AE3" s="583"/>
      <c r="AF3" s="583"/>
      <c r="AG3" s="583"/>
      <c r="AH3" s="583"/>
      <c r="AI3" s="583"/>
      <c r="AJ3" s="583"/>
      <c r="AK3" s="583"/>
      <c r="AL3" s="583"/>
      <c r="AM3" s="583"/>
      <c r="AN3" s="583"/>
      <c r="AO3" s="583"/>
      <c r="AP3" s="583"/>
      <c r="AQ3" s="583"/>
      <c r="AR3" s="583"/>
      <c r="AS3" s="583"/>
      <c r="AT3" s="583"/>
      <c r="AU3" s="583"/>
      <c r="AV3" s="583"/>
      <c r="AW3" s="583"/>
      <c r="AX3" s="583"/>
      <c r="AY3" s="583"/>
      <c r="AZ3" s="583"/>
      <c r="BA3" s="583"/>
      <c r="BB3" s="583"/>
      <c r="BC3" s="583"/>
      <c r="BD3" s="583"/>
      <c r="BE3" s="583"/>
    </row>
    <row r="4" spans="1:57" s="426" customFormat="1" ht="18.5" customHeight="1">
      <c r="A4" s="580"/>
      <c r="B4" s="592" t="s">
        <v>0</v>
      </c>
      <c r="C4" s="593" t="s">
        <v>1</v>
      </c>
      <c r="D4" s="592" t="s">
        <v>2</v>
      </c>
      <c r="E4" s="594"/>
      <c r="F4" s="594"/>
      <c r="G4" s="594"/>
      <c r="H4" s="594"/>
      <c r="I4" s="594"/>
      <c r="J4" s="594"/>
      <c r="K4" s="594"/>
      <c r="L4" s="594"/>
      <c r="M4" s="594"/>
      <c r="N4" s="595"/>
      <c r="O4" s="595"/>
      <c r="P4" s="595"/>
      <c r="Q4" s="595"/>
      <c r="R4" s="596"/>
      <c r="S4" s="581"/>
      <c r="T4" s="581"/>
      <c r="U4" s="580"/>
      <c r="V4" s="580"/>
      <c r="W4" s="580"/>
      <c r="X4" s="580"/>
      <c r="Y4" s="580"/>
      <c r="Z4" s="580"/>
      <c r="AA4" s="580"/>
      <c r="AB4" s="580"/>
      <c r="AC4" s="582"/>
      <c r="AD4" s="580"/>
      <c r="AE4" s="580"/>
      <c r="AF4" s="580"/>
      <c r="AG4" s="580"/>
      <c r="AH4" s="580"/>
      <c r="AI4" s="580"/>
      <c r="AJ4" s="580"/>
      <c r="AK4" s="580"/>
      <c r="AL4" s="580"/>
      <c r="AM4" s="580"/>
      <c r="AN4" s="580"/>
      <c r="AO4" s="580"/>
      <c r="AP4" s="580"/>
      <c r="AQ4" s="580"/>
      <c r="AR4" s="580"/>
      <c r="AS4" s="580"/>
      <c r="AT4" s="580"/>
      <c r="AU4" s="580"/>
      <c r="AV4" s="580"/>
      <c r="AW4" s="580"/>
      <c r="AX4" s="580"/>
      <c r="AY4" s="580"/>
      <c r="AZ4" s="580"/>
      <c r="BA4" s="580"/>
      <c r="BB4" s="580"/>
      <c r="BC4" s="580"/>
      <c r="BD4" s="580"/>
      <c r="BE4" s="580"/>
    </row>
    <row r="5" spans="1:57" s="417" customFormat="1">
      <c r="A5" s="588" t="s">
        <v>1051</v>
      </c>
      <c r="B5" s="584"/>
      <c r="C5" s="586"/>
      <c r="D5" s="584"/>
      <c r="E5" s="589"/>
      <c r="F5" s="589"/>
      <c r="G5" s="589"/>
      <c r="H5" s="589"/>
      <c r="I5" s="589"/>
      <c r="J5" s="589"/>
      <c r="K5" s="589"/>
      <c r="L5" s="589"/>
      <c r="M5" s="589"/>
      <c r="N5" s="590"/>
      <c r="O5" s="590"/>
      <c r="P5" s="590"/>
      <c r="Q5" s="590"/>
      <c r="R5" s="591"/>
      <c r="S5" s="587"/>
      <c r="T5" s="587"/>
      <c r="U5" s="583"/>
      <c r="V5" s="583"/>
      <c r="W5" s="583"/>
      <c r="X5" s="583"/>
      <c r="Y5" s="583"/>
      <c r="Z5" s="583"/>
      <c r="AA5" s="583"/>
      <c r="AB5" s="583"/>
      <c r="AC5" s="588"/>
      <c r="AD5" s="583"/>
      <c r="AE5" s="583"/>
      <c r="AF5" s="583"/>
      <c r="AG5" s="583"/>
      <c r="AH5" s="583"/>
      <c r="AI5" s="583"/>
      <c r="AJ5" s="583"/>
      <c r="AK5" s="583"/>
      <c r="AL5" s="583"/>
      <c r="AM5" s="583"/>
      <c r="AN5" s="583"/>
      <c r="AO5" s="583"/>
      <c r="AP5" s="583"/>
      <c r="AQ5" s="583"/>
      <c r="AR5" s="583"/>
      <c r="AS5" s="583"/>
      <c r="AT5" s="583"/>
      <c r="AU5" s="583"/>
      <c r="AV5" s="583"/>
      <c r="AW5" s="583"/>
      <c r="AX5" s="583"/>
      <c r="AY5" s="583"/>
      <c r="AZ5" s="583"/>
      <c r="BA5" s="583"/>
      <c r="BB5" s="583"/>
      <c r="BC5" s="583"/>
      <c r="BD5" s="583"/>
      <c r="BE5" s="583"/>
    </row>
    <row r="6" spans="1:57">
      <c r="A6" s="597" t="s">
        <v>1052</v>
      </c>
      <c r="B6" s="598" t="s">
        <v>17</v>
      </c>
      <c r="C6" s="599" t="s">
        <v>1053</v>
      </c>
      <c r="D6" s="600" t="s">
        <v>1054</v>
      </c>
      <c r="E6" s="601"/>
      <c r="F6" s="602">
        <v>375000</v>
      </c>
      <c r="G6" s="602">
        <v>375000</v>
      </c>
      <c r="H6" s="602">
        <v>375000</v>
      </c>
      <c r="I6" s="602">
        <v>375000</v>
      </c>
      <c r="J6" s="603">
        <v>375000</v>
      </c>
      <c r="K6" s="604">
        <v>375000</v>
      </c>
      <c r="L6" s="604">
        <v>375000</v>
      </c>
      <c r="M6" s="604">
        <v>375000</v>
      </c>
      <c r="N6" s="605">
        <v>1500000</v>
      </c>
      <c r="O6" s="601">
        <v>1500000</v>
      </c>
      <c r="P6" s="601">
        <v>1500000</v>
      </c>
      <c r="Q6" s="601">
        <v>1500000</v>
      </c>
      <c r="R6" s="605"/>
      <c r="S6" s="581"/>
      <c r="T6" s="581"/>
      <c r="U6" s="580"/>
      <c r="V6" s="580"/>
      <c r="W6" s="580"/>
      <c r="X6" s="580"/>
      <c r="Y6" s="580"/>
      <c r="Z6" s="580"/>
      <c r="AA6" s="580"/>
      <c r="AB6" s="580"/>
      <c r="AC6" s="582"/>
      <c r="AD6" s="580"/>
      <c r="AE6" s="580"/>
      <c r="AF6" s="580"/>
      <c r="AG6" s="580"/>
      <c r="AH6" s="580"/>
      <c r="AI6" s="580"/>
      <c r="AJ6" s="580"/>
      <c r="AK6" s="580"/>
      <c r="AL6" s="580"/>
      <c r="AM6" s="580"/>
      <c r="AN6" s="580"/>
      <c r="AO6" s="580"/>
      <c r="AP6" s="580"/>
      <c r="AQ6" s="580"/>
      <c r="AR6" s="580"/>
      <c r="AS6" s="580"/>
      <c r="AT6" s="580"/>
      <c r="AU6" s="580"/>
      <c r="AV6" s="580"/>
      <c r="AW6" s="580"/>
      <c r="AX6" s="580"/>
      <c r="AY6" s="580"/>
      <c r="AZ6" s="580"/>
      <c r="BA6" s="580"/>
      <c r="BB6" s="580"/>
      <c r="BC6" s="580"/>
      <c r="BD6" s="580"/>
      <c r="BE6" s="580"/>
    </row>
    <row r="7" spans="1:57">
      <c r="A7" s="597" t="s">
        <v>1055</v>
      </c>
      <c r="B7" s="598" t="s">
        <v>17</v>
      </c>
      <c r="C7" s="599" t="s">
        <v>1053</v>
      </c>
      <c r="D7" s="600" t="s">
        <v>1056</v>
      </c>
      <c r="E7" s="580"/>
      <c r="F7" s="602">
        <v>0</v>
      </c>
      <c r="G7" s="602">
        <v>0</v>
      </c>
      <c r="H7" s="602">
        <v>0</v>
      </c>
      <c r="I7" s="602">
        <v>0</v>
      </c>
      <c r="J7" s="606">
        <v>0</v>
      </c>
      <c r="K7" s="604">
        <v>0</v>
      </c>
      <c r="L7" s="604">
        <v>0</v>
      </c>
      <c r="M7" s="604">
        <v>0</v>
      </c>
      <c r="N7" s="605">
        <v>0</v>
      </c>
      <c r="O7" s="601">
        <v>0</v>
      </c>
      <c r="P7" s="601">
        <v>0</v>
      </c>
      <c r="Q7" s="601">
        <v>0</v>
      </c>
      <c r="R7" s="605"/>
      <c r="S7" s="581"/>
      <c r="T7" s="581"/>
      <c r="U7" s="580"/>
      <c r="V7" s="580"/>
      <c r="W7" s="580"/>
      <c r="X7" s="580"/>
      <c r="Y7" s="580"/>
      <c r="Z7" s="580"/>
      <c r="AA7" s="580"/>
      <c r="AB7" s="580"/>
      <c r="AC7" s="582"/>
      <c r="AD7" s="580"/>
      <c r="AE7" s="580"/>
      <c r="AF7" s="580"/>
      <c r="AG7" s="580"/>
      <c r="AH7" s="580"/>
      <c r="AI7" s="580"/>
      <c r="AJ7" s="580"/>
      <c r="AK7" s="580"/>
      <c r="AL7" s="580"/>
      <c r="AM7" s="580"/>
      <c r="AN7" s="580"/>
      <c r="AO7" s="580"/>
      <c r="AP7" s="580"/>
      <c r="AQ7" s="580"/>
      <c r="AR7" s="580"/>
      <c r="AS7" s="580"/>
      <c r="AT7" s="580"/>
      <c r="AU7" s="580"/>
      <c r="AV7" s="580"/>
      <c r="AW7" s="580"/>
      <c r="AX7" s="580"/>
      <c r="AY7" s="580"/>
      <c r="AZ7" s="580"/>
      <c r="BA7" s="580"/>
      <c r="BB7" s="580"/>
      <c r="BC7" s="580"/>
      <c r="BD7" s="580"/>
      <c r="BE7" s="580"/>
    </row>
    <row r="8" spans="1:57">
      <c r="A8" s="597" t="s">
        <v>1057</v>
      </c>
      <c r="B8" s="598" t="s">
        <v>17</v>
      </c>
      <c r="C8" s="599" t="s">
        <v>1053</v>
      </c>
      <c r="D8" s="600" t="s">
        <v>1058</v>
      </c>
      <c r="E8" s="580"/>
      <c r="F8" s="602">
        <v>0</v>
      </c>
      <c r="G8" s="602">
        <v>0</v>
      </c>
      <c r="H8" s="602">
        <v>0</v>
      </c>
      <c r="I8" s="602">
        <v>0</v>
      </c>
      <c r="J8" s="603">
        <v>25750</v>
      </c>
      <c r="K8" s="604">
        <v>25750</v>
      </c>
      <c r="L8" s="604">
        <v>25750</v>
      </c>
      <c r="M8" s="604">
        <v>25750</v>
      </c>
      <c r="N8" s="605">
        <v>103000</v>
      </c>
      <c r="O8" s="601">
        <v>103000</v>
      </c>
      <c r="P8" s="601">
        <v>103000</v>
      </c>
      <c r="Q8" s="601">
        <v>103000</v>
      </c>
      <c r="R8" s="605"/>
      <c r="S8" s="581"/>
      <c r="T8" s="581"/>
      <c r="U8" s="580"/>
      <c r="V8" s="580"/>
      <c r="W8" s="580"/>
      <c r="X8" s="580"/>
      <c r="Y8" s="605"/>
      <c r="Z8" s="580"/>
      <c r="AA8" s="580"/>
      <c r="AB8" s="580"/>
      <c r="AC8" s="582"/>
      <c r="AD8" s="580"/>
      <c r="AE8" s="580"/>
      <c r="AF8" s="580"/>
      <c r="AG8" s="580"/>
      <c r="AH8" s="580"/>
      <c r="AI8" s="580"/>
      <c r="AJ8" s="580"/>
      <c r="AK8" s="580"/>
      <c r="AL8" s="580"/>
      <c r="AM8" s="580"/>
      <c r="AN8" s="580"/>
      <c r="AO8" s="580"/>
      <c r="AP8" s="580"/>
      <c r="AQ8" s="580"/>
      <c r="AR8" s="580"/>
      <c r="AS8" s="580"/>
      <c r="AT8" s="580"/>
      <c r="AU8" s="580"/>
      <c r="AV8" s="580"/>
      <c r="AW8" s="580"/>
      <c r="AX8" s="580"/>
      <c r="AY8" s="580"/>
      <c r="AZ8" s="580"/>
      <c r="BA8" s="580"/>
      <c r="BB8" s="580"/>
      <c r="BC8" s="580"/>
      <c r="BD8" s="580"/>
      <c r="BE8" s="580"/>
    </row>
    <row r="9" spans="1:57">
      <c r="A9" s="597" t="s">
        <v>1059</v>
      </c>
      <c r="B9" s="607" t="s">
        <v>17</v>
      </c>
      <c r="C9" s="607" t="s">
        <v>1053</v>
      </c>
      <c r="D9" s="607" t="s">
        <v>1060</v>
      </c>
      <c r="E9" s="580"/>
      <c r="F9" s="602">
        <v>31250</v>
      </c>
      <c r="G9" s="602">
        <v>31250</v>
      </c>
      <c r="H9" s="602">
        <v>31250</v>
      </c>
      <c r="I9" s="602">
        <v>31250</v>
      </c>
      <c r="J9" s="603">
        <v>31250</v>
      </c>
      <c r="K9" s="604">
        <v>31250</v>
      </c>
      <c r="L9" s="604">
        <v>31250</v>
      </c>
      <c r="M9" s="604">
        <v>31250</v>
      </c>
      <c r="N9" s="605">
        <v>125000</v>
      </c>
      <c r="O9" s="601">
        <v>125000</v>
      </c>
      <c r="P9" s="601">
        <v>125000</v>
      </c>
      <c r="Q9" s="601">
        <v>125000</v>
      </c>
      <c r="R9" s="605"/>
      <c r="S9" s="581"/>
      <c r="T9" s="581"/>
      <c r="U9" s="580"/>
      <c r="V9" s="580"/>
      <c r="W9" s="580"/>
      <c r="X9" s="580"/>
      <c r="Y9" s="580"/>
      <c r="Z9" s="580"/>
      <c r="AA9" s="580"/>
      <c r="AB9" s="580"/>
      <c r="AC9" s="582"/>
      <c r="AD9" s="580"/>
      <c r="AE9" s="580"/>
      <c r="AF9" s="580"/>
      <c r="AG9" s="580"/>
      <c r="AH9" s="580"/>
      <c r="AI9" s="580"/>
      <c r="AJ9" s="580"/>
      <c r="AK9" s="580"/>
      <c r="AL9" s="580"/>
      <c r="AM9" s="580"/>
      <c r="AN9" s="580"/>
      <c r="AO9" s="580"/>
      <c r="AP9" s="580"/>
      <c r="AQ9" s="580"/>
      <c r="AR9" s="580"/>
      <c r="AS9" s="580"/>
      <c r="AT9" s="580"/>
      <c r="AU9" s="580"/>
      <c r="AV9" s="580"/>
      <c r="AW9" s="580"/>
      <c r="AX9" s="580"/>
      <c r="AY9" s="580"/>
      <c r="AZ9" s="580"/>
      <c r="BA9" s="580"/>
      <c r="BB9" s="580"/>
      <c r="BC9" s="580"/>
      <c r="BD9" s="580"/>
      <c r="BE9" s="580"/>
    </row>
    <row r="10" spans="1:57">
      <c r="A10" s="607" t="s">
        <v>1061</v>
      </c>
      <c r="B10" s="607" t="s">
        <v>17</v>
      </c>
      <c r="C10" s="607" t="s">
        <v>1053</v>
      </c>
      <c r="D10" s="607" t="s">
        <v>1062</v>
      </c>
      <c r="E10" s="580"/>
      <c r="F10" s="602">
        <v>0</v>
      </c>
      <c r="G10" s="602">
        <v>0</v>
      </c>
      <c r="H10" s="602">
        <v>0</v>
      </c>
      <c r="I10" s="602">
        <v>0</v>
      </c>
      <c r="J10" s="602">
        <v>0</v>
      </c>
      <c r="K10" s="602">
        <v>0</v>
      </c>
      <c r="L10" s="602">
        <v>0</v>
      </c>
      <c r="M10" s="602">
        <v>0</v>
      </c>
      <c r="N10" s="605">
        <v>0</v>
      </c>
      <c r="O10" s="605">
        <v>0</v>
      </c>
      <c r="P10" s="605">
        <v>0</v>
      </c>
      <c r="Q10" s="605">
        <v>0</v>
      </c>
      <c r="R10" s="605"/>
      <c r="S10" s="581"/>
      <c r="T10" s="581"/>
      <c r="U10" s="580"/>
      <c r="V10" s="580"/>
      <c r="W10" s="580"/>
      <c r="X10" s="580"/>
      <c r="Y10" s="580"/>
      <c r="Z10" s="580"/>
      <c r="AA10" s="580"/>
      <c r="AB10" s="580"/>
      <c r="AC10" s="582"/>
      <c r="AD10" s="580"/>
      <c r="AE10" s="580"/>
      <c r="AF10" s="580"/>
      <c r="AG10" s="580"/>
      <c r="AH10" s="580"/>
      <c r="AI10" s="580"/>
      <c r="AJ10" s="580"/>
      <c r="AK10" s="580"/>
      <c r="AL10" s="580"/>
      <c r="AM10" s="580"/>
      <c r="AN10" s="580"/>
      <c r="AO10" s="580"/>
      <c r="AP10" s="580"/>
      <c r="AQ10" s="580"/>
      <c r="AR10" s="580"/>
      <c r="AS10" s="580"/>
      <c r="AT10" s="580"/>
      <c r="AU10" s="580"/>
      <c r="AV10" s="580"/>
      <c r="AW10" s="580"/>
      <c r="AX10" s="580"/>
      <c r="AY10" s="580"/>
      <c r="AZ10" s="580"/>
      <c r="BA10" s="580"/>
      <c r="BB10" s="580"/>
      <c r="BC10" s="580"/>
      <c r="BD10" s="580"/>
      <c r="BE10" s="580"/>
    </row>
    <row r="11" spans="1:57">
      <c r="A11" s="607" t="s">
        <v>1063</v>
      </c>
      <c r="B11" s="607" t="s">
        <v>17</v>
      </c>
      <c r="C11" s="607" t="s">
        <v>1053</v>
      </c>
      <c r="D11" s="607" t="s">
        <v>1064</v>
      </c>
      <c r="E11" s="605"/>
      <c r="F11" s="602">
        <v>87500</v>
      </c>
      <c r="G11" s="602">
        <v>87500</v>
      </c>
      <c r="H11" s="602">
        <v>87500</v>
      </c>
      <c r="I11" s="602">
        <v>87500</v>
      </c>
      <c r="J11" s="602">
        <v>87500</v>
      </c>
      <c r="K11" s="602">
        <v>0</v>
      </c>
      <c r="L11" s="602">
        <v>0</v>
      </c>
      <c r="M11" s="602">
        <v>0</v>
      </c>
      <c r="N11" s="605">
        <v>0</v>
      </c>
      <c r="O11" s="605">
        <v>0</v>
      </c>
      <c r="P11" s="605">
        <v>0</v>
      </c>
      <c r="Q11" s="605">
        <v>0</v>
      </c>
      <c r="R11" s="605"/>
      <c r="S11" s="581"/>
      <c r="T11" s="581"/>
      <c r="U11" s="580"/>
      <c r="V11" s="580"/>
      <c r="W11" s="580"/>
      <c r="X11" s="580"/>
      <c r="Y11" s="580"/>
      <c r="Z11" s="580"/>
      <c r="AA11" s="580"/>
      <c r="AB11" s="580"/>
      <c r="AC11" s="582"/>
      <c r="AD11" s="580"/>
      <c r="AE11" s="580"/>
      <c r="AF11" s="580"/>
      <c r="AG11" s="580"/>
      <c r="AH11" s="580"/>
      <c r="AI11" s="580"/>
      <c r="AJ11" s="580"/>
      <c r="AK11" s="580"/>
      <c r="AL11" s="580"/>
      <c r="AM11" s="580"/>
      <c r="AN11" s="580"/>
      <c r="AO11" s="580"/>
      <c r="AP11" s="580"/>
      <c r="AQ11" s="580"/>
      <c r="AR11" s="580"/>
      <c r="AS11" s="580"/>
      <c r="AT11" s="580"/>
      <c r="AU11" s="580"/>
      <c r="AV11" s="580"/>
      <c r="AW11" s="580"/>
      <c r="AX11" s="580"/>
      <c r="AY11" s="580"/>
      <c r="AZ11" s="580"/>
      <c r="BA11" s="580"/>
      <c r="BB11" s="580"/>
      <c r="BC11" s="580"/>
      <c r="BD11" s="580"/>
      <c r="BE11" s="580"/>
    </row>
    <row r="12" spans="1:57">
      <c r="A12" s="609" t="s">
        <v>259</v>
      </c>
      <c r="B12" s="580"/>
      <c r="C12" s="580"/>
      <c r="D12" s="580"/>
      <c r="E12" s="605"/>
      <c r="F12" s="605">
        <f>SUM(F6:F11)</f>
        <v>493750</v>
      </c>
      <c r="G12" s="605">
        <f>SUM(G6:G11)</f>
        <v>493750</v>
      </c>
      <c r="H12" s="605">
        <f>SUM(H6:H11)</f>
        <v>493750</v>
      </c>
      <c r="I12" s="605">
        <f>SUM(I6:I11)</f>
        <v>493750</v>
      </c>
      <c r="J12" s="605">
        <f>SUM(J6:J11)</f>
        <v>519500</v>
      </c>
      <c r="K12" s="605">
        <f>SUM(K6:K11)</f>
        <v>432000</v>
      </c>
      <c r="L12" s="605">
        <f>SUM(L6:L11)</f>
        <v>432000</v>
      </c>
      <c r="M12" s="605">
        <f>SUM(M6:M11)</f>
        <v>432000</v>
      </c>
      <c r="N12" s="605">
        <f>SUM(N6:N11)</f>
        <v>1728000</v>
      </c>
      <c r="O12" s="605">
        <f>SUM(O6:O11)</f>
        <v>1728000</v>
      </c>
      <c r="P12" s="605">
        <f>SUM(P6:P11)</f>
        <v>1728000</v>
      </c>
      <c r="Q12" s="605">
        <f>SUM(Q6:Q11)</f>
        <v>1728000</v>
      </c>
      <c r="R12" s="605"/>
      <c r="S12" s="581"/>
      <c r="T12" s="581"/>
      <c r="U12" s="580"/>
      <c r="V12" s="580"/>
      <c r="W12" s="580"/>
      <c r="X12" s="580"/>
      <c r="Y12" s="580"/>
      <c r="Z12" s="580"/>
      <c r="AA12" s="580"/>
      <c r="AB12" s="580"/>
      <c r="AC12" s="582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80"/>
      <c r="AS12" s="580"/>
      <c r="AT12" s="580"/>
      <c r="AU12" s="580"/>
      <c r="AV12" s="580"/>
      <c r="AW12" s="580"/>
      <c r="AX12" s="580"/>
      <c r="AY12" s="580"/>
      <c r="AZ12" s="580"/>
      <c r="BA12" s="580"/>
      <c r="BB12" s="580"/>
      <c r="BC12" s="580"/>
      <c r="BD12" s="580"/>
      <c r="BE12" s="580"/>
    </row>
    <row r="13" spans="1:57">
      <c r="A13" s="583" t="s">
        <v>1065</v>
      </c>
      <c r="B13" s="583"/>
      <c r="C13" s="583"/>
      <c r="D13" s="583"/>
      <c r="E13" s="583"/>
      <c r="F13" s="583"/>
      <c r="G13" s="583"/>
      <c r="H13" s="583"/>
      <c r="I13" s="583"/>
      <c r="J13" s="583"/>
      <c r="K13" s="583"/>
      <c r="L13" s="583"/>
      <c r="M13" s="583"/>
      <c r="N13" s="583"/>
      <c r="O13" s="583"/>
      <c r="P13" s="583"/>
      <c r="Q13" s="583"/>
      <c r="R13" s="583"/>
      <c r="S13" s="587"/>
      <c r="T13" s="587"/>
      <c r="U13" s="583"/>
      <c r="V13" s="583"/>
      <c r="W13" s="583"/>
      <c r="X13" s="583"/>
      <c r="Y13" s="583"/>
      <c r="Z13" s="583"/>
      <c r="AA13" s="583"/>
      <c r="AB13" s="583"/>
      <c r="AC13" s="588"/>
      <c r="AD13" s="583"/>
      <c r="AE13" s="583"/>
      <c r="AF13" s="583"/>
      <c r="AG13" s="583"/>
      <c r="AH13" s="583"/>
      <c r="AI13" s="583"/>
      <c r="AJ13" s="583"/>
      <c r="AK13" s="583"/>
      <c r="AL13" s="583"/>
      <c r="AM13" s="583"/>
      <c r="AN13" s="583"/>
      <c r="AO13" s="583"/>
      <c r="AP13" s="583"/>
      <c r="AQ13" s="583"/>
      <c r="AR13" s="583"/>
      <c r="AS13" s="583"/>
      <c r="AT13" s="583"/>
      <c r="AU13" s="583"/>
      <c r="AV13" s="583"/>
      <c r="AW13" s="583"/>
      <c r="AX13" s="583"/>
      <c r="AY13" s="583"/>
      <c r="AZ13" s="583"/>
      <c r="BA13" s="583"/>
      <c r="BB13" s="583"/>
      <c r="BC13" s="583"/>
      <c r="BD13" s="583"/>
      <c r="BE13" s="583"/>
    </row>
    <row r="14" spans="1:57">
      <c r="A14" s="580" t="str">
        <f>+A6</f>
        <v>Managing Member (SK)</v>
      </c>
      <c r="B14" s="607" t="s">
        <v>17</v>
      </c>
      <c r="C14" s="607" t="s">
        <v>1066</v>
      </c>
      <c r="D14" s="607" t="s">
        <v>1054</v>
      </c>
      <c r="E14" s="582"/>
      <c r="F14" s="604">
        <v>0</v>
      </c>
      <c r="G14" s="604">
        <v>0</v>
      </c>
      <c r="H14" s="604">
        <v>0</v>
      </c>
      <c r="I14" s="604">
        <v>0</v>
      </c>
      <c r="J14" s="604">
        <v>0</v>
      </c>
      <c r="K14" s="604">
        <v>0</v>
      </c>
      <c r="L14" s="604">
        <v>0</v>
      </c>
      <c r="M14" s="604">
        <v>0</v>
      </c>
      <c r="N14" s="601">
        <v>0</v>
      </c>
      <c r="O14" s="601">
        <v>0</v>
      </c>
      <c r="P14" s="601">
        <v>0</v>
      </c>
      <c r="Q14" s="601">
        <v>0</v>
      </c>
      <c r="R14" s="582"/>
      <c r="S14" s="581"/>
      <c r="T14" s="581"/>
      <c r="U14" s="580"/>
      <c r="V14" s="580"/>
      <c r="W14" s="580"/>
      <c r="X14" s="580"/>
      <c r="Y14" s="580"/>
      <c r="Z14" s="580"/>
      <c r="AA14" s="580"/>
      <c r="AB14" s="580"/>
      <c r="AC14" s="582"/>
      <c r="AD14" s="580"/>
      <c r="AE14" s="580"/>
      <c r="AF14" s="580"/>
      <c r="AG14" s="580"/>
      <c r="AH14" s="580"/>
      <c r="AI14" s="580"/>
      <c r="AJ14" s="580"/>
      <c r="AK14" s="580"/>
      <c r="AL14" s="580"/>
      <c r="AM14" s="580"/>
      <c r="AN14" s="580"/>
      <c r="AO14" s="580"/>
      <c r="AP14" s="580"/>
      <c r="AQ14" s="580"/>
      <c r="AR14" s="580"/>
      <c r="AS14" s="580"/>
      <c r="AT14" s="580"/>
      <c r="AU14" s="580"/>
      <c r="AV14" s="580"/>
      <c r="AW14" s="580"/>
      <c r="AX14" s="580"/>
      <c r="AY14" s="580"/>
      <c r="AZ14" s="580"/>
      <c r="BA14" s="580"/>
      <c r="BB14" s="580"/>
      <c r="BC14" s="580"/>
      <c r="BD14" s="580"/>
      <c r="BE14" s="580"/>
    </row>
    <row r="15" spans="1:57">
      <c r="A15" s="580" t="str">
        <f>+A7</f>
        <v>Philanropy senior exec (LM) (100%roots)</v>
      </c>
      <c r="B15" s="607" t="s">
        <v>17</v>
      </c>
      <c r="C15" s="607" t="s">
        <v>1066</v>
      </c>
      <c r="D15" s="607" t="s">
        <v>1056</v>
      </c>
      <c r="E15" s="605"/>
      <c r="F15" s="604">
        <v>0</v>
      </c>
      <c r="G15" s="604">
        <v>0</v>
      </c>
      <c r="H15" s="604">
        <v>0</v>
      </c>
      <c r="I15" s="604">
        <v>0</v>
      </c>
      <c r="J15" s="604">
        <v>0</v>
      </c>
      <c r="K15" s="604">
        <v>0</v>
      </c>
      <c r="L15" s="604">
        <v>0</v>
      </c>
      <c r="M15" s="604">
        <v>0</v>
      </c>
      <c r="N15" s="601">
        <v>0</v>
      </c>
      <c r="O15" s="601">
        <v>0</v>
      </c>
      <c r="P15" s="601">
        <v>0</v>
      </c>
      <c r="Q15" s="601">
        <v>0</v>
      </c>
      <c r="R15" s="605"/>
      <c r="S15" s="581"/>
      <c r="T15" s="581"/>
      <c r="U15" s="580"/>
      <c r="V15" s="580"/>
      <c r="W15" s="580"/>
      <c r="X15" s="580"/>
      <c r="Y15" s="580"/>
      <c r="Z15" s="580"/>
      <c r="AA15" s="580"/>
      <c r="AB15" s="580"/>
      <c r="AC15" s="582"/>
      <c r="AD15" s="580"/>
      <c r="AE15" s="580"/>
      <c r="AF15" s="580"/>
      <c r="AG15" s="580"/>
      <c r="AH15" s="580"/>
      <c r="AI15" s="580"/>
      <c r="AJ15" s="580"/>
      <c r="AK15" s="580"/>
      <c r="AL15" s="580"/>
      <c r="AM15" s="580"/>
      <c r="AN15" s="580"/>
      <c r="AO15" s="580"/>
      <c r="AP15" s="580"/>
      <c r="AQ15" s="580"/>
      <c r="AR15" s="580"/>
      <c r="AS15" s="580"/>
      <c r="AT15" s="580"/>
      <c r="AU15" s="580"/>
      <c r="AV15" s="580"/>
      <c r="AW15" s="580"/>
      <c r="AX15" s="580"/>
      <c r="AY15" s="580"/>
      <c r="AZ15" s="580"/>
      <c r="BA15" s="580"/>
      <c r="BB15" s="580"/>
      <c r="BC15" s="580"/>
      <c r="BD15" s="580"/>
      <c r="BE15" s="580"/>
    </row>
    <row r="16" spans="1:57">
      <c r="A16" s="580" t="str">
        <f>+A8</f>
        <v>Bookkeeper (DD)</v>
      </c>
      <c r="B16" s="607" t="s">
        <v>17</v>
      </c>
      <c r="C16" s="607" t="s">
        <v>1066</v>
      </c>
      <c r="D16" s="607" t="s">
        <v>1058</v>
      </c>
      <c r="E16" s="605"/>
      <c r="F16" s="604">
        <v>0</v>
      </c>
      <c r="G16" s="604"/>
      <c r="H16" s="604">
        <v>0</v>
      </c>
      <c r="I16" s="604">
        <v>10000</v>
      </c>
      <c r="J16" s="604">
        <v>0</v>
      </c>
      <c r="K16" s="604">
        <v>0</v>
      </c>
      <c r="L16" s="604">
        <v>0</v>
      </c>
      <c r="M16" s="604">
        <v>5000</v>
      </c>
      <c r="N16" s="601">
        <v>5000</v>
      </c>
      <c r="O16" s="601">
        <v>5000</v>
      </c>
      <c r="P16" s="601">
        <v>5000</v>
      </c>
      <c r="Q16" s="601">
        <v>5000</v>
      </c>
      <c r="R16" s="605"/>
      <c r="S16" s="581"/>
      <c r="T16" s="581"/>
      <c r="U16" s="580"/>
      <c r="V16" s="580"/>
      <c r="W16" s="580"/>
      <c r="X16" s="580"/>
      <c r="Y16" s="580"/>
      <c r="Z16" s="580"/>
      <c r="AA16" s="580"/>
      <c r="AB16" s="580"/>
      <c r="AC16" s="580"/>
      <c r="AD16" s="580"/>
      <c r="AE16" s="580"/>
      <c r="AF16" s="580"/>
      <c r="AG16" s="580"/>
      <c r="AH16" s="580"/>
      <c r="AI16" s="580"/>
      <c r="AJ16" s="580"/>
      <c r="AK16" s="580"/>
      <c r="AL16" s="580"/>
      <c r="AM16" s="580"/>
      <c r="AN16" s="580"/>
      <c r="AO16" s="580"/>
      <c r="AP16" s="580"/>
      <c r="AQ16" s="580"/>
      <c r="AR16" s="580"/>
      <c r="AS16" s="580"/>
      <c r="AT16" s="580"/>
      <c r="AU16" s="580"/>
      <c r="AV16" s="580"/>
      <c r="AW16" s="580"/>
      <c r="AX16" s="580"/>
      <c r="AY16" s="580"/>
      <c r="AZ16" s="580"/>
      <c r="BA16" s="580"/>
      <c r="BB16" s="580"/>
      <c r="BC16" s="580"/>
      <c r="BD16" s="580"/>
      <c r="BE16" s="580"/>
    </row>
    <row r="17" spans="1:57">
      <c r="A17" s="580" t="str">
        <f>+A9</f>
        <v>Personal Assistant (CD)</v>
      </c>
      <c r="B17" s="607" t="s">
        <v>17</v>
      </c>
      <c r="C17" s="607" t="s">
        <v>1066</v>
      </c>
      <c r="D17" s="607" t="s">
        <v>1060</v>
      </c>
      <c r="E17" s="605"/>
      <c r="F17" s="604">
        <v>0</v>
      </c>
      <c r="G17" s="604">
        <v>0</v>
      </c>
      <c r="H17" s="604">
        <v>0</v>
      </c>
      <c r="I17" s="604">
        <v>0</v>
      </c>
      <c r="J17" s="604">
        <v>0</v>
      </c>
      <c r="K17" s="604">
        <v>0</v>
      </c>
      <c r="L17" s="604">
        <v>0</v>
      </c>
      <c r="M17" s="604">
        <v>15000</v>
      </c>
      <c r="N17" s="601">
        <v>15000</v>
      </c>
      <c r="O17" s="601">
        <v>15000</v>
      </c>
      <c r="P17" s="601">
        <v>15000</v>
      </c>
      <c r="Q17" s="601">
        <v>15000</v>
      </c>
      <c r="R17" s="605"/>
      <c r="S17" s="581"/>
      <c r="T17" s="581"/>
      <c r="U17" s="580"/>
      <c r="V17" s="580"/>
      <c r="W17" s="580"/>
      <c r="X17" s="580"/>
      <c r="Y17" s="580"/>
      <c r="Z17" s="580"/>
      <c r="AA17" s="580"/>
      <c r="AB17" s="580"/>
      <c r="AC17" s="580"/>
      <c r="AD17" s="580"/>
      <c r="AE17" s="580"/>
      <c r="AF17" s="580"/>
      <c r="AG17" s="580"/>
      <c r="AH17" s="580"/>
      <c r="AI17" s="580"/>
      <c r="AJ17" s="580"/>
      <c r="AK17" s="580"/>
      <c r="AL17" s="580"/>
      <c r="AM17" s="580"/>
      <c r="AN17" s="580"/>
      <c r="AO17" s="580"/>
      <c r="AP17" s="580"/>
      <c r="AQ17" s="580"/>
      <c r="AR17" s="580"/>
      <c r="AS17" s="580"/>
      <c r="AT17" s="580"/>
      <c r="AU17" s="580"/>
      <c r="AV17" s="580"/>
      <c r="AW17" s="580"/>
      <c r="AX17" s="580"/>
      <c r="AY17" s="580"/>
      <c r="AZ17" s="580"/>
      <c r="BA17" s="580"/>
      <c r="BB17" s="580"/>
      <c r="BC17" s="580"/>
      <c r="BD17" s="580"/>
      <c r="BE17" s="580"/>
    </row>
    <row r="18" spans="1:57">
      <c r="A18" s="580" t="str">
        <f>+A10</f>
        <v>philanthropy assist (100%roots)</v>
      </c>
      <c r="B18" s="607" t="s">
        <v>17</v>
      </c>
      <c r="C18" s="607" t="s">
        <v>1066</v>
      </c>
      <c r="D18" s="607" t="s">
        <v>1062</v>
      </c>
      <c r="E18" s="605"/>
      <c r="F18" s="604">
        <v>0</v>
      </c>
      <c r="G18" s="604">
        <v>0</v>
      </c>
      <c r="H18" s="604">
        <v>0</v>
      </c>
      <c r="I18" s="604">
        <v>0</v>
      </c>
      <c r="J18" s="604">
        <v>0</v>
      </c>
      <c r="K18" s="604">
        <v>0</v>
      </c>
      <c r="L18" s="604">
        <v>0</v>
      </c>
      <c r="M18" s="604">
        <v>0</v>
      </c>
      <c r="N18" s="601">
        <v>0</v>
      </c>
      <c r="O18" s="601">
        <v>0</v>
      </c>
      <c r="P18" s="601">
        <v>0</v>
      </c>
      <c r="Q18" s="601">
        <v>0</v>
      </c>
      <c r="R18" s="605"/>
      <c r="S18" s="581"/>
      <c r="T18" s="581"/>
      <c r="U18" s="580"/>
      <c r="V18" s="580"/>
      <c r="W18" s="580"/>
      <c r="X18" s="580"/>
      <c r="Y18" s="580"/>
      <c r="Z18" s="580"/>
      <c r="AA18" s="580"/>
      <c r="AB18" s="580"/>
      <c r="AC18" s="580"/>
      <c r="AD18" s="580"/>
      <c r="AE18" s="580"/>
      <c r="AF18" s="580"/>
      <c r="AG18" s="580"/>
      <c r="AH18" s="580"/>
      <c r="AI18" s="580"/>
      <c r="AJ18" s="580"/>
      <c r="AK18" s="580"/>
      <c r="AL18" s="580"/>
      <c r="AM18" s="580"/>
      <c r="AN18" s="580"/>
      <c r="AO18" s="580"/>
      <c r="AP18" s="580"/>
      <c r="AQ18" s="580"/>
      <c r="AR18" s="580"/>
      <c r="AS18" s="580"/>
      <c r="AT18" s="580"/>
      <c r="AU18" s="580"/>
      <c r="AV18" s="580"/>
      <c r="AW18" s="580"/>
      <c r="AX18" s="580"/>
      <c r="AY18" s="580"/>
      <c r="AZ18" s="580"/>
      <c r="BA18" s="580"/>
      <c r="BB18" s="580"/>
      <c r="BC18" s="580"/>
      <c r="BD18" s="580"/>
      <c r="BE18" s="580"/>
    </row>
    <row r="19" spans="1:57">
      <c r="A19" s="580" t="str">
        <f>+A11</f>
        <v>TM (gone)</v>
      </c>
      <c r="B19" s="607" t="s">
        <v>17</v>
      </c>
      <c r="C19" s="607" t="s">
        <v>1066</v>
      </c>
      <c r="D19" s="607" t="s">
        <v>1064</v>
      </c>
      <c r="E19" s="605"/>
      <c r="F19" s="604">
        <v>0</v>
      </c>
      <c r="G19" s="604">
        <v>0</v>
      </c>
      <c r="H19" s="604">
        <v>0</v>
      </c>
      <c r="I19" s="604">
        <v>0</v>
      </c>
      <c r="J19" s="604">
        <v>320000</v>
      </c>
      <c r="K19" s="604">
        <v>0</v>
      </c>
      <c r="L19" s="604">
        <v>0</v>
      </c>
      <c r="M19" s="604">
        <v>500000</v>
      </c>
      <c r="N19" s="601">
        <v>500000</v>
      </c>
      <c r="O19" s="601">
        <v>0</v>
      </c>
      <c r="P19" s="601">
        <v>0</v>
      </c>
      <c r="Q19" s="601">
        <v>0</v>
      </c>
      <c r="R19" s="605"/>
      <c r="S19" s="581"/>
      <c r="T19" s="581"/>
      <c r="U19" s="580"/>
      <c r="V19" s="580"/>
      <c r="W19" s="580"/>
      <c r="X19" s="580"/>
      <c r="Y19" s="580"/>
      <c r="Z19" s="580"/>
      <c r="AA19" s="580"/>
      <c r="AB19" s="580"/>
      <c r="AC19" s="580"/>
      <c r="AD19" s="580"/>
      <c r="AE19" s="580"/>
      <c r="AF19" s="580"/>
      <c r="AG19" s="580"/>
      <c r="AH19" s="580"/>
      <c r="AI19" s="580"/>
      <c r="AJ19" s="580"/>
      <c r="AK19" s="580"/>
      <c r="AL19" s="580"/>
      <c r="AM19" s="580"/>
      <c r="AN19" s="580"/>
      <c r="AO19" s="580"/>
      <c r="AP19" s="580"/>
      <c r="AQ19" s="580"/>
      <c r="AR19" s="580"/>
      <c r="AS19" s="580"/>
      <c r="AT19" s="580"/>
      <c r="AU19" s="580"/>
      <c r="AV19" s="580"/>
      <c r="AW19" s="580"/>
      <c r="AX19" s="580"/>
      <c r="AY19" s="580"/>
      <c r="AZ19" s="580"/>
      <c r="BA19" s="580"/>
      <c r="BB19" s="580"/>
      <c r="BC19" s="580"/>
      <c r="BD19" s="580"/>
      <c r="BE19" s="580"/>
    </row>
    <row r="20" spans="1:57">
      <c r="A20" s="609" t="s">
        <v>259</v>
      </c>
      <c r="B20" s="580"/>
      <c r="C20" s="580"/>
      <c r="D20" s="580"/>
      <c r="E20" s="605"/>
      <c r="F20" s="605">
        <f>SUM(F14:F19)</f>
        <v>0</v>
      </c>
      <c r="G20" s="605">
        <f>SUM(G14:G19)</f>
        <v>0</v>
      </c>
      <c r="H20" s="605">
        <f>SUM(H14:H19)</f>
        <v>0</v>
      </c>
      <c r="I20" s="605">
        <f>SUM(I14:I19)</f>
        <v>10000</v>
      </c>
      <c r="J20" s="605">
        <f>SUM(J14:J19)</f>
        <v>320000</v>
      </c>
      <c r="K20" s="605">
        <f>SUM(K14:K19)</f>
        <v>0</v>
      </c>
      <c r="L20" s="605">
        <f>SUM(L14:L19)</f>
        <v>0</v>
      </c>
      <c r="M20" s="605">
        <f>SUM(M14:M19)</f>
        <v>520000</v>
      </c>
      <c r="N20" s="605">
        <f>SUM(N14:N19)</f>
        <v>520000</v>
      </c>
      <c r="O20" s="605">
        <f>SUM(O14:O19)</f>
        <v>20000</v>
      </c>
      <c r="P20" s="605">
        <f>SUM(P14:P19)</f>
        <v>20000</v>
      </c>
      <c r="Q20" s="605">
        <f>SUM(Q14:Q19)</f>
        <v>20000</v>
      </c>
      <c r="R20" s="605"/>
      <c r="S20" s="581"/>
      <c r="T20" s="581"/>
      <c r="U20" s="580"/>
      <c r="V20" s="580"/>
      <c r="W20" s="580"/>
      <c r="X20" s="580"/>
      <c r="Y20" s="580"/>
      <c r="Z20" s="580"/>
      <c r="AA20" s="580"/>
      <c r="AB20" s="580"/>
      <c r="AC20" s="580"/>
      <c r="AD20" s="580"/>
      <c r="AE20" s="580"/>
      <c r="AF20" s="580"/>
      <c r="AG20" s="580"/>
      <c r="AH20" s="580"/>
      <c r="AI20" s="580"/>
      <c r="AJ20" s="580"/>
      <c r="AK20" s="580"/>
      <c r="AL20" s="580"/>
      <c r="AM20" s="580"/>
      <c r="AN20" s="580"/>
      <c r="AO20" s="580"/>
      <c r="AP20" s="580"/>
      <c r="AQ20" s="580"/>
      <c r="AR20" s="580"/>
      <c r="AS20" s="580"/>
      <c r="AT20" s="580"/>
      <c r="AU20" s="580"/>
      <c r="AV20" s="580"/>
      <c r="AW20" s="580"/>
      <c r="AX20" s="580"/>
      <c r="AY20" s="580"/>
      <c r="AZ20" s="580"/>
      <c r="BA20" s="580"/>
      <c r="BB20" s="580"/>
      <c r="BC20" s="580"/>
      <c r="BD20" s="580"/>
      <c r="BE20" s="580"/>
    </row>
    <row r="21" spans="1:57">
      <c r="A21" s="610"/>
      <c r="B21" s="580"/>
      <c r="C21" s="580"/>
      <c r="D21" s="580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581"/>
      <c r="T21" s="581"/>
      <c r="U21" s="580"/>
      <c r="V21" s="580"/>
      <c r="W21" s="580"/>
      <c r="X21" s="580"/>
      <c r="Y21" s="580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  <c r="AJ21" s="580"/>
      <c r="AK21" s="580"/>
      <c r="AL21" s="580"/>
      <c r="AM21" s="580"/>
      <c r="AN21" s="580"/>
      <c r="AO21" s="580"/>
      <c r="AP21" s="580"/>
      <c r="AQ21" s="580"/>
      <c r="AR21" s="580"/>
      <c r="AS21" s="580"/>
      <c r="AT21" s="580"/>
      <c r="AU21" s="580"/>
      <c r="AV21" s="580"/>
      <c r="AW21" s="580"/>
      <c r="AX21" s="580"/>
      <c r="AY21" s="580"/>
      <c r="AZ21" s="580"/>
      <c r="BA21" s="580"/>
      <c r="BB21" s="580"/>
      <c r="BC21" s="580"/>
      <c r="BD21" s="580"/>
      <c r="BE21" s="580"/>
    </row>
    <row r="22" spans="1:57">
      <c r="A22" s="583" t="s">
        <v>259</v>
      </c>
      <c r="B22" s="583"/>
      <c r="C22" s="583"/>
      <c r="D22" s="583"/>
      <c r="E22" s="583"/>
      <c r="F22" s="583"/>
      <c r="G22" s="583"/>
      <c r="H22" s="583"/>
      <c r="I22" s="583"/>
      <c r="J22" s="583"/>
      <c r="K22" s="583"/>
      <c r="L22" s="583"/>
      <c r="M22" s="583"/>
      <c r="N22" s="583"/>
      <c r="O22" s="583"/>
      <c r="P22" s="583"/>
      <c r="Q22" s="583"/>
      <c r="R22" s="583"/>
      <c r="S22" s="587"/>
      <c r="T22" s="587"/>
      <c r="U22" s="583"/>
      <c r="V22" s="583"/>
      <c r="W22" s="583"/>
      <c r="X22" s="583"/>
      <c r="Y22" s="583"/>
      <c r="Z22" s="583"/>
      <c r="AA22" s="583"/>
      <c r="AB22" s="583"/>
      <c r="AC22" s="583"/>
      <c r="AD22" s="583"/>
      <c r="AE22" s="583"/>
      <c r="AF22" s="583"/>
      <c r="AG22" s="583"/>
      <c r="AH22" s="583"/>
      <c r="AI22" s="583"/>
      <c r="AJ22" s="583"/>
      <c r="AK22" s="583"/>
      <c r="AL22" s="583"/>
      <c r="AM22" s="583"/>
      <c r="AN22" s="583"/>
      <c r="AO22" s="583"/>
      <c r="AP22" s="583"/>
      <c r="AQ22" s="583"/>
      <c r="AR22" s="583"/>
      <c r="AS22" s="583"/>
      <c r="AT22" s="583"/>
      <c r="AU22" s="583"/>
      <c r="AV22" s="583"/>
      <c r="AW22" s="583"/>
      <c r="AX22" s="583"/>
      <c r="AY22" s="583"/>
      <c r="AZ22" s="583"/>
      <c r="BA22" s="583"/>
      <c r="BB22" s="583"/>
      <c r="BC22" s="583"/>
      <c r="BD22" s="583"/>
      <c r="BE22" s="583"/>
    </row>
    <row r="23" spans="1:57">
      <c r="A23" s="580" t="str">
        <f>+A6</f>
        <v>Managing Member (SK)</v>
      </c>
      <c r="B23" s="607" t="s">
        <v>805</v>
      </c>
      <c r="C23" s="607" t="s">
        <v>1067</v>
      </c>
      <c r="D23" s="607" t="s">
        <v>1054</v>
      </c>
      <c r="E23" s="611"/>
      <c r="F23" s="612">
        <f>F6*(1+'.c12_inputs.hr'!$E$5)+(F14*(1+'.c12_inputs.hr'!$E$6))</f>
        <v>383142.85714285716</v>
      </c>
      <c r="G23" s="612">
        <f>G6*(1+'.c12_inputs.hr'!$E$5)+(G14*(1+'.c12_inputs.hr'!$E$6))</f>
        <v>383142.85714285716</v>
      </c>
      <c r="H23" s="612">
        <f>H6*(1+'.c12_inputs.hr'!$E$5)+(H14*(1+'.c12_inputs.hr'!$E$6))</f>
        <v>383142.85714285716</v>
      </c>
      <c r="I23" s="612">
        <f>I6*(1+'.c12_inputs.hr'!$E$5)+(I14*(1+'.c12_inputs.hr'!$E$6))</f>
        <v>383142.85714285716</v>
      </c>
      <c r="J23" s="612">
        <f>J6*(1+'.c12_inputs.hr'!$E$5)+(J14*(1+'.c12_inputs.hr'!$E$6))</f>
        <v>383142.85714285716</v>
      </c>
      <c r="K23" s="612">
        <f>K6*(1+'.c12_inputs.hr'!$E$5)+(K14*(1+'.c12_inputs.hr'!$E$6))</f>
        <v>383142.85714285716</v>
      </c>
      <c r="L23" s="612">
        <f>L6*(1+'.c12_inputs.hr'!$E$5)+(L14*(1+'.c12_inputs.hr'!$E$6))</f>
        <v>383142.85714285716</v>
      </c>
      <c r="M23" s="612">
        <f>M6*(1+'.c12_inputs.hr'!$E$5)+(M14*(1+'.c12_inputs.hr'!$E$6))</f>
        <v>383142.85714285716</v>
      </c>
      <c r="N23" s="605">
        <f>N6*(1+'.c12_inputs.hr'!$E$5)+(N14*(1+'.c12_inputs.hr'!$E$6))</f>
        <v>1532571.4285714286</v>
      </c>
      <c r="O23" s="605">
        <f>O6*(1+'.c12_inputs.hr'!$E$5)+(O14*(1+'.c12_inputs.hr'!$E$6))</f>
        <v>1532571.4285714286</v>
      </c>
      <c r="P23" s="605">
        <f>P6*(1+'.c12_inputs.hr'!$E$5)+(P14*(1+'.c12_inputs.hr'!$E$6))</f>
        <v>1532571.4285714286</v>
      </c>
      <c r="Q23" s="605">
        <f>Q6*(1+'.c12_inputs.hr'!$E$5)+(Q14*(1+'.c12_inputs.hr'!$E$6))</f>
        <v>1532571.4285714286</v>
      </c>
      <c r="R23" s="605"/>
      <c r="S23" s="581"/>
      <c r="T23" s="581"/>
      <c r="U23" s="580"/>
      <c r="V23" s="580"/>
      <c r="W23" s="580"/>
      <c r="X23" s="580"/>
      <c r="Y23" s="580"/>
      <c r="Z23" s="580"/>
      <c r="AA23" s="580"/>
      <c r="AB23" s="580"/>
      <c r="AC23" s="580"/>
      <c r="AD23" s="580"/>
      <c r="AE23" s="580"/>
      <c r="AF23" s="580"/>
      <c r="AG23" s="580"/>
      <c r="AH23" s="580"/>
      <c r="AI23" s="580"/>
      <c r="AJ23" s="580"/>
      <c r="AK23" s="580"/>
      <c r="AL23" s="580"/>
      <c r="AM23" s="580"/>
      <c r="AN23" s="580"/>
      <c r="AO23" s="580"/>
      <c r="AP23" s="580"/>
      <c r="AQ23" s="580"/>
      <c r="AR23" s="580"/>
      <c r="AS23" s="580"/>
      <c r="AT23" s="580"/>
      <c r="AU23" s="580"/>
      <c r="AV23" s="580"/>
      <c r="AW23" s="580"/>
      <c r="AX23" s="580"/>
      <c r="AY23" s="580"/>
      <c r="AZ23" s="580"/>
      <c r="BA23" s="580"/>
      <c r="BB23" s="580"/>
      <c r="BC23" s="580"/>
      <c r="BD23" s="580"/>
      <c r="BE23" s="580"/>
    </row>
    <row r="24" spans="1:57">
      <c r="A24" s="580" t="str">
        <f>+A7</f>
        <v>Philanropy senior exec (LM) (100%roots)</v>
      </c>
      <c r="B24" s="607" t="s">
        <v>805</v>
      </c>
      <c r="C24" s="607" t="s">
        <v>1067</v>
      </c>
      <c r="D24" s="607" t="s">
        <v>1056</v>
      </c>
      <c r="E24" s="611"/>
      <c r="F24" s="612">
        <f>F7*(1+'.c12_inputs.hr'!$E$5)+(F15*(1+'.c12_inputs.hr'!$E$6))</f>
        <v>0</v>
      </c>
      <c r="G24" s="612">
        <f>G7*(1+'.c12_inputs.hr'!$E$5)+(G15*(1+'.c12_inputs.hr'!$E$6))</f>
        <v>0</v>
      </c>
      <c r="H24" s="612">
        <f>H7*(1+'.c12_inputs.hr'!$E$5)+(H15*(1+'.c12_inputs.hr'!$E$6))</f>
        <v>0</v>
      </c>
      <c r="I24" s="612">
        <f>I7*(1+'.c12_inputs.hr'!$E$5)+(I15*(1+'.c12_inputs.hr'!$E$6))</f>
        <v>0</v>
      </c>
      <c r="J24" s="612">
        <f>J7*(1+'.c12_inputs.hr'!$E$5)+(J15*(1+'.c12_inputs.hr'!$E$6))</f>
        <v>0</v>
      </c>
      <c r="K24" s="612">
        <f>K7*(1+'.c12_inputs.hr'!$E$5)+(K15*(1+'.c12_inputs.hr'!$E$6))</f>
        <v>0</v>
      </c>
      <c r="L24" s="612">
        <f>L7*(1+'.c12_inputs.hr'!$E$5)+(L15*(1+'.c12_inputs.hr'!$E$6))</f>
        <v>0</v>
      </c>
      <c r="M24" s="612">
        <f>M7*(1+'.c12_inputs.hr'!$E$5)+(M15*(1+'.c12_inputs.hr'!$E$6))</f>
        <v>0</v>
      </c>
      <c r="N24" s="605">
        <f>N7*(1+'.c12_inputs.hr'!$E$5)+(N15*(1+'.c12_inputs.hr'!$E$6))</f>
        <v>0</v>
      </c>
      <c r="O24" s="605">
        <f>O7*(1+'.c12_inputs.hr'!$E$5)+(O15*(1+'.c12_inputs.hr'!$E$6))</f>
        <v>0</v>
      </c>
      <c r="P24" s="605">
        <f>P7*(1+'.c12_inputs.hr'!$E$5)+(P15*(1+'.c12_inputs.hr'!$E$6))</f>
        <v>0</v>
      </c>
      <c r="Q24" s="605">
        <f>Q7*(1+'.c12_inputs.hr'!$E$5)+(Q15*(1+'.c12_inputs.hr'!$E$6))</f>
        <v>0</v>
      </c>
      <c r="R24" s="605"/>
      <c r="S24" s="581"/>
      <c r="T24" s="581"/>
      <c r="U24" s="580"/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  <c r="AJ24" s="580"/>
      <c r="AK24" s="580"/>
      <c r="AL24" s="580"/>
      <c r="AM24" s="580"/>
      <c r="AN24" s="580"/>
      <c r="AO24" s="580"/>
      <c r="AP24" s="580"/>
      <c r="AQ24" s="580"/>
      <c r="AR24" s="580"/>
      <c r="AS24" s="580"/>
      <c r="AT24" s="580"/>
      <c r="AU24" s="580"/>
      <c r="AV24" s="580"/>
      <c r="AW24" s="580"/>
      <c r="AX24" s="580"/>
      <c r="AY24" s="580"/>
      <c r="AZ24" s="580"/>
      <c r="BA24" s="580"/>
      <c r="BB24" s="580"/>
      <c r="BC24" s="580"/>
      <c r="BD24" s="580"/>
      <c r="BE24" s="580"/>
    </row>
    <row r="25" spans="1:57">
      <c r="A25" s="580" t="str">
        <f>+A8</f>
        <v>Bookkeeper (DD)</v>
      </c>
      <c r="B25" s="607" t="s">
        <v>805</v>
      </c>
      <c r="C25" s="607" t="s">
        <v>1067</v>
      </c>
      <c r="D25" s="607" t="s">
        <v>1058</v>
      </c>
      <c r="E25" s="611"/>
      <c r="F25" s="612">
        <f>F8*(1+'.c12_inputs.hr'!$E$5)+(F16*(1+'.c12_inputs.hr'!$E$6))</f>
        <v>0</v>
      </c>
      <c r="G25" s="612">
        <f>G8*(1+'.c12_inputs.hr'!$E$5)+(G16*(1+'.c12_inputs.hr'!$E$6))</f>
        <v>0</v>
      </c>
      <c r="H25" s="612">
        <f>H8*(1+'.c12_inputs.hr'!$E$5)+(H16*(1+'.c12_inputs.hr'!$E$6))</f>
        <v>0</v>
      </c>
      <c r="I25" s="612">
        <f>I8*(1+'.c12_inputs.hr'!$E$5)+(I16*(1+'.c12_inputs.hr'!$E$6))</f>
        <v>10390</v>
      </c>
      <c r="J25" s="612">
        <f>J8*(1+'.c12_inputs.hr'!$E$5)+(J16*(1+'.c12_inputs.hr'!$E$6))</f>
        <v>26309.142857142859</v>
      </c>
      <c r="K25" s="612">
        <f>K8*(1+'.c12_inputs.hr'!$E$5)+(K16*(1+'.c12_inputs.hr'!$E$6))</f>
        <v>26309.142857142859</v>
      </c>
      <c r="L25" s="612">
        <f>L8*(1+'.c12_inputs.hr'!$E$5)+(L16*(1+'.c12_inputs.hr'!$E$6))</f>
        <v>26309.142857142859</v>
      </c>
      <c r="M25" s="612">
        <f>M8*(1+'.c12_inputs.hr'!$E$5)+(M16*(1+'.c12_inputs.hr'!$E$6))</f>
        <v>31504.142857142859</v>
      </c>
      <c r="N25" s="605">
        <f>N8*(1+'.c12_inputs.hr'!$E$5)+(N16*(1+'.c12_inputs.hr'!$E$6))</f>
        <v>110431.57142857143</v>
      </c>
      <c r="O25" s="605">
        <f>O8*(1+'.c12_inputs.hr'!$E$5)+(O16*(1+'.c12_inputs.hr'!$E$6))</f>
        <v>110431.57142857143</v>
      </c>
      <c r="P25" s="605">
        <f>P8*(1+'.c12_inputs.hr'!$E$5)+(P16*(1+'.c12_inputs.hr'!$E$6))</f>
        <v>110431.57142857143</v>
      </c>
      <c r="Q25" s="605">
        <f>Q8*(1+'.c12_inputs.hr'!$E$5)+(Q16*(1+'.c12_inputs.hr'!$E$6))</f>
        <v>110431.57142857143</v>
      </c>
      <c r="R25" s="605"/>
      <c r="S25" s="581"/>
      <c r="T25" s="580"/>
      <c r="U25" s="580"/>
      <c r="V25" s="580"/>
      <c r="W25" s="580"/>
      <c r="X25" s="580"/>
      <c r="Y25" s="580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  <c r="AJ25" s="580"/>
      <c r="AK25" s="580"/>
      <c r="AL25" s="580"/>
      <c r="AM25" s="580"/>
      <c r="AN25" s="580"/>
      <c r="AO25" s="580"/>
      <c r="AP25" s="580"/>
      <c r="AQ25" s="580"/>
      <c r="AR25" s="580"/>
      <c r="AS25" s="580"/>
      <c r="AT25" s="580"/>
      <c r="AU25" s="580"/>
      <c r="AV25" s="580"/>
      <c r="AW25" s="580"/>
      <c r="AX25" s="580"/>
      <c r="AY25" s="580"/>
      <c r="AZ25" s="580"/>
      <c r="BA25" s="580"/>
      <c r="BB25" s="580"/>
      <c r="BC25" s="580"/>
      <c r="BD25" s="580"/>
      <c r="BE25" s="580"/>
    </row>
    <row r="26" spans="1:57">
      <c r="A26" s="580" t="str">
        <f>+A9</f>
        <v>Personal Assistant (CD)</v>
      </c>
      <c r="B26" s="607" t="s">
        <v>805</v>
      </c>
      <c r="C26" s="607" t="s">
        <v>1067</v>
      </c>
      <c r="D26" s="607" t="s">
        <v>1060</v>
      </c>
      <c r="E26" s="611"/>
      <c r="F26" s="612">
        <f>F9*(1+'.c12_inputs.hr'!$E$5)+(F17*(1+'.c12_inputs.hr'!$E$6))</f>
        <v>31928.571428571431</v>
      </c>
      <c r="G26" s="612">
        <f>G9*(1+'.c12_inputs.hr'!$E$5)+(G17*(1+'.c12_inputs.hr'!$E$6))</f>
        <v>31928.571428571431</v>
      </c>
      <c r="H26" s="612">
        <f>H9*(1+'.c12_inputs.hr'!$E$5)+(H17*(1+'.c12_inputs.hr'!$E$6))</f>
        <v>31928.571428571431</v>
      </c>
      <c r="I26" s="612">
        <f>I9*(1+'.c12_inputs.hr'!$E$5)+(I17*(1+'.c12_inputs.hr'!$E$6))</f>
        <v>31928.571428571431</v>
      </c>
      <c r="J26" s="612">
        <f>J9*(1+'.c12_inputs.hr'!$E$5)+(J17*(1+'.c12_inputs.hr'!$E$6))</f>
        <v>31928.571428571431</v>
      </c>
      <c r="K26" s="612">
        <f>K9*(1+'.c12_inputs.hr'!$E$5)+(K17*(1+'.c12_inputs.hr'!$E$6))</f>
        <v>31928.571428571431</v>
      </c>
      <c r="L26" s="612">
        <f>L9*(1+'.c12_inputs.hr'!$E$5)+(L17*(1+'.c12_inputs.hr'!$E$6))</f>
        <v>31928.571428571431</v>
      </c>
      <c r="M26" s="612">
        <f>M9*(1+'.c12_inputs.hr'!$E$5)+(M17*(1+'.c12_inputs.hr'!$E$6))</f>
        <v>47513.571428571428</v>
      </c>
      <c r="N26" s="605">
        <f>N9*(1+'.c12_inputs.hr'!$E$5)+(N17*(1+'.c12_inputs.hr'!$E$6))</f>
        <v>143299.28571428571</v>
      </c>
      <c r="O26" s="605">
        <f>O9*(1+'.c12_inputs.hr'!$E$5)+(O17*(1+'.c12_inputs.hr'!$E$6))</f>
        <v>143299.28571428571</v>
      </c>
      <c r="P26" s="605">
        <f>P9*(1+'.c12_inputs.hr'!$E$5)+(P17*(1+'.c12_inputs.hr'!$E$6))</f>
        <v>143299.28571428571</v>
      </c>
      <c r="Q26" s="605">
        <f>Q9*(1+'.c12_inputs.hr'!$E$5)+(Q17*(1+'.c12_inputs.hr'!$E$6))</f>
        <v>143299.28571428571</v>
      </c>
      <c r="R26" s="605"/>
      <c r="S26" s="581"/>
      <c r="T26" s="580"/>
      <c r="U26" s="580"/>
      <c r="V26" s="580"/>
      <c r="W26" s="580"/>
      <c r="X26" s="580"/>
      <c r="Y26" s="580"/>
      <c r="Z26" s="580"/>
      <c r="AA26" s="580"/>
      <c r="AB26" s="580"/>
      <c r="AC26" s="582"/>
      <c r="AD26" s="580"/>
      <c r="AE26" s="580"/>
      <c r="AF26" s="580"/>
      <c r="AG26" s="580"/>
      <c r="AH26" s="580"/>
      <c r="AI26" s="580"/>
      <c r="AJ26" s="580"/>
      <c r="AK26" s="580"/>
      <c r="AL26" s="580"/>
      <c r="AM26" s="580"/>
      <c r="AN26" s="580"/>
      <c r="AO26" s="580"/>
      <c r="AP26" s="580"/>
      <c r="AQ26" s="580"/>
      <c r="AR26" s="580"/>
      <c r="AS26" s="580"/>
      <c r="AT26" s="580"/>
      <c r="AU26" s="580"/>
      <c r="AV26" s="580"/>
      <c r="AW26" s="580"/>
      <c r="AX26" s="580"/>
      <c r="AY26" s="580"/>
      <c r="AZ26" s="580"/>
      <c r="BA26" s="580"/>
      <c r="BB26" s="580"/>
      <c r="BC26" s="580"/>
      <c r="BD26" s="580"/>
      <c r="BE26" s="580"/>
    </row>
    <row r="27" spans="1:57">
      <c r="A27" s="580" t="str">
        <f>+A10</f>
        <v>philanthropy assist (100%roots)</v>
      </c>
      <c r="B27" s="607" t="s">
        <v>805</v>
      </c>
      <c r="C27" s="607" t="s">
        <v>1067</v>
      </c>
      <c r="D27" s="607" t="s">
        <v>1062</v>
      </c>
      <c r="E27" s="611"/>
      <c r="F27" s="612">
        <f>F10*(1+'.c12_inputs.hr'!$E$5)+(F18*(1+'.c12_inputs.hr'!$E$6))</f>
        <v>0</v>
      </c>
      <c r="G27" s="612">
        <f>G10*(1+'.c12_inputs.hr'!$E$5)+(G18*(1+'.c12_inputs.hr'!$E$6))</f>
        <v>0</v>
      </c>
      <c r="H27" s="612">
        <f>H10*(1+'.c12_inputs.hr'!$E$5)+(H18*(1+'.c12_inputs.hr'!$E$6))</f>
        <v>0</v>
      </c>
      <c r="I27" s="612">
        <f>I10*(1+'.c12_inputs.hr'!$E$5)+(I18*(1+'.c12_inputs.hr'!$E$6))</f>
        <v>0</v>
      </c>
      <c r="J27" s="612">
        <f>J10*(1+'.c12_inputs.hr'!$E$5)+(J18*(1+'.c12_inputs.hr'!$E$6))</f>
        <v>0</v>
      </c>
      <c r="K27" s="612">
        <f>K10*(1+'.c12_inputs.hr'!$E$5)+(K18*(1+'.c12_inputs.hr'!$E$6))</f>
        <v>0</v>
      </c>
      <c r="L27" s="612">
        <f>L10*(1+'.c12_inputs.hr'!$E$5)+(L18*(1+'.c12_inputs.hr'!$E$6))</f>
        <v>0</v>
      </c>
      <c r="M27" s="612">
        <f>M10*(1+'.c12_inputs.hr'!$E$5)+(M18*(1+'.c12_inputs.hr'!$E$6))</f>
        <v>0</v>
      </c>
      <c r="N27" s="605">
        <f>N10*(1+'.c12_inputs.hr'!$E$5)+(N18*(1+'.c12_inputs.hr'!$E$6))</f>
        <v>0</v>
      </c>
      <c r="O27" s="605">
        <f>O10*(1+'.c12_inputs.hr'!$E$5)+(O18*(1+'.c12_inputs.hr'!$E$6))</f>
        <v>0</v>
      </c>
      <c r="P27" s="605">
        <f>P10*(1+'.c12_inputs.hr'!$E$5)+(P18*(1+'.c12_inputs.hr'!$E$6))</f>
        <v>0</v>
      </c>
      <c r="Q27" s="605">
        <f>Q10*(1+'.c12_inputs.hr'!$E$5)+(Q18*(1+'.c12_inputs.hr'!$E$6))</f>
        <v>0</v>
      </c>
      <c r="R27" s="605"/>
      <c r="S27" s="581"/>
      <c r="T27" s="580"/>
      <c r="U27" s="580"/>
      <c r="V27" s="580"/>
      <c r="W27" s="580"/>
      <c r="X27" s="580"/>
      <c r="Y27" s="580"/>
      <c r="Z27" s="580"/>
      <c r="AA27" s="580"/>
      <c r="AB27" s="580"/>
      <c r="AC27" s="582"/>
      <c r="AD27" s="580"/>
      <c r="AE27" s="580"/>
      <c r="AF27" s="580"/>
      <c r="AG27" s="580"/>
      <c r="AH27" s="580"/>
      <c r="AI27" s="580"/>
      <c r="AJ27" s="580"/>
      <c r="AK27" s="580"/>
      <c r="AL27" s="580"/>
      <c r="AM27" s="580"/>
      <c r="AN27" s="580"/>
      <c r="AO27" s="580"/>
      <c r="AP27" s="580"/>
      <c r="AQ27" s="580"/>
      <c r="AR27" s="580"/>
      <c r="AS27" s="580"/>
      <c r="AT27" s="580"/>
      <c r="AU27" s="580"/>
      <c r="AV27" s="580"/>
      <c r="AW27" s="580"/>
      <c r="AX27" s="580"/>
      <c r="AY27" s="580"/>
      <c r="AZ27" s="580"/>
      <c r="BA27" s="580"/>
      <c r="BB27" s="580"/>
      <c r="BC27" s="580"/>
      <c r="BD27" s="580"/>
      <c r="BE27" s="580"/>
    </row>
    <row r="28" spans="1:57">
      <c r="A28" s="580" t="str">
        <f>+A11</f>
        <v>TM (gone)</v>
      </c>
      <c r="B28" s="607" t="s">
        <v>805</v>
      </c>
      <c r="C28" s="607" t="s">
        <v>1067</v>
      </c>
      <c r="D28" s="607" t="s">
        <v>1064</v>
      </c>
      <c r="E28" s="611"/>
      <c r="F28" s="612">
        <f>F11*(1+'.c12_inputs.hr'!$E$5)+(F19*(1+'.c12_inputs.hr'!$E$6))</f>
        <v>89400</v>
      </c>
      <c r="G28" s="612">
        <f>G11*(1+'.c12_inputs.hr'!$E$5)+(G19*(1+'.c12_inputs.hr'!$E$6))</f>
        <v>89400</v>
      </c>
      <c r="H28" s="612">
        <f>H11*(1+'.c12_inputs.hr'!$E$5)+(H19*(1+'.c12_inputs.hr'!$E$6))</f>
        <v>89400</v>
      </c>
      <c r="I28" s="612">
        <f>I11*(1+'.c12_inputs.hr'!$E$5)+(I19*(1+'.c12_inputs.hr'!$E$6))</f>
        <v>89400</v>
      </c>
      <c r="J28" s="612">
        <f>J11*(1+'.c12_inputs.hr'!$E$5)+(J19*(1+'.c12_inputs.hr'!$E$6))</f>
        <v>421880</v>
      </c>
      <c r="K28" s="612">
        <f>K11*(1+'.c12_inputs.hr'!$E$5)+(K19*(1+'.c12_inputs.hr'!$E$6))</f>
        <v>0</v>
      </c>
      <c r="L28" s="612">
        <f>L11*(1+'.c12_inputs.hr'!$E$5)+(L19*(1+'.c12_inputs.hr'!$E$6))</f>
        <v>0</v>
      </c>
      <c r="M28" s="612">
        <f>M11*(1+'.c12_inputs.hr'!$E$5)+(M19*(1+'.c12_inputs.hr'!$E$6))</f>
        <v>519499.99999999994</v>
      </c>
      <c r="N28" s="605">
        <f>N11*(1+'.c12_inputs.hr'!$E$5)+(N19*(1+'.c12_inputs.hr'!$E$6))</f>
        <v>519499.99999999994</v>
      </c>
      <c r="O28" s="605">
        <f>O11*(1+'.c12_inputs.hr'!$E$5)+(O19*(1+'.c12_inputs.hr'!$E$6))</f>
        <v>0</v>
      </c>
      <c r="P28" s="605">
        <f>P11*(1+'.c12_inputs.hr'!$E$5)+(P19*(1+'.c12_inputs.hr'!$E$6))</f>
        <v>0</v>
      </c>
      <c r="Q28" s="605">
        <f>Q11*(1+'.c12_inputs.hr'!$E$5)+(Q19*(1+'.c12_inputs.hr'!$E$6))</f>
        <v>0</v>
      </c>
      <c r="R28" s="605"/>
      <c r="S28" s="581"/>
      <c r="T28" s="580"/>
      <c r="U28" s="580"/>
      <c r="V28" s="580"/>
      <c r="W28" s="580"/>
      <c r="X28" s="580"/>
      <c r="Y28" s="580"/>
      <c r="Z28" s="580"/>
      <c r="AA28" s="580"/>
      <c r="AB28" s="580"/>
      <c r="AC28" s="582"/>
      <c r="AD28" s="580"/>
      <c r="AE28" s="580"/>
      <c r="AF28" s="580"/>
      <c r="AG28" s="580"/>
      <c r="AH28" s="580"/>
      <c r="AI28" s="580"/>
      <c r="AJ28" s="580"/>
      <c r="AK28" s="580"/>
      <c r="AL28" s="580"/>
      <c r="AM28" s="580"/>
      <c r="AN28" s="580"/>
      <c r="AO28" s="580"/>
      <c r="AP28" s="580"/>
      <c r="AQ28" s="580"/>
      <c r="AR28" s="580"/>
      <c r="AS28" s="580"/>
      <c r="AT28" s="580"/>
      <c r="AU28" s="580"/>
      <c r="AV28" s="580"/>
      <c r="AW28" s="580"/>
      <c r="AX28" s="580"/>
      <c r="AY28" s="580"/>
      <c r="AZ28" s="580"/>
      <c r="BA28" s="580"/>
      <c r="BB28" s="580"/>
      <c r="BC28" s="580"/>
      <c r="BD28" s="580"/>
      <c r="BE28" s="580"/>
    </row>
    <row r="29" spans="1:57" s="672" customFormat="1">
      <c r="A29" s="580"/>
      <c r="B29" s="607"/>
      <c r="C29" s="607"/>
      <c r="D29" s="607"/>
      <c r="E29" s="611"/>
      <c r="F29" s="612"/>
      <c r="G29" s="612"/>
      <c r="H29" s="612"/>
      <c r="I29" s="612"/>
      <c r="J29" s="612"/>
      <c r="K29" s="612"/>
      <c r="L29" s="612"/>
      <c r="M29" s="612"/>
      <c r="N29" s="605"/>
      <c r="O29" s="605"/>
      <c r="P29" s="605"/>
      <c r="Q29" s="605"/>
      <c r="R29" s="605"/>
      <c r="S29" s="581"/>
      <c r="T29" s="580"/>
      <c r="U29" s="580"/>
      <c r="V29" s="580"/>
      <c r="W29" s="580"/>
      <c r="X29" s="580"/>
      <c r="Y29" s="580"/>
      <c r="Z29" s="580"/>
      <c r="AA29" s="580"/>
      <c r="AB29" s="580"/>
      <c r="AC29" s="582"/>
      <c r="AD29" s="580"/>
      <c r="AE29" s="580"/>
      <c r="AF29" s="580"/>
      <c r="AG29" s="580"/>
      <c r="AH29" s="580"/>
      <c r="AI29" s="580"/>
      <c r="AJ29" s="580"/>
      <c r="AK29" s="580"/>
      <c r="AL29" s="580"/>
      <c r="AM29" s="580"/>
      <c r="AN29" s="580"/>
      <c r="AO29" s="580"/>
      <c r="AP29" s="580"/>
      <c r="AQ29" s="580"/>
      <c r="AR29" s="580"/>
      <c r="AS29" s="580"/>
      <c r="AT29" s="580"/>
      <c r="AU29" s="580"/>
      <c r="AV29" s="580"/>
      <c r="AW29" s="580"/>
      <c r="AX29" s="580"/>
      <c r="AY29" s="580"/>
      <c r="AZ29" s="580"/>
      <c r="BA29" s="580"/>
      <c r="BB29" s="580"/>
      <c r="BC29" s="580"/>
      <c r="BD29" s="580"/>
      <c r="BE29" s="580"/>
    </row>
    <row r="30" spans="1:57">
      <c r="A30" s="609" t="s">
        <v>1005</v>
      </c>
      <c r="B30" s="607" t="s">
        <v>805</v>
      </c>
      <c r="C30" s="607" t="s">
        <v>1006</v>
      </c>
      <c r="D30" s="607"/>
      <c r="E30" s="611"/>
      <c r="F30" s="612">
        <f>SUM(F23:F28)</f>
        <v>504471.42857142858</v>
      </c>
      <c r="G30" s="612">
        <f>SUM(G23:G28)</f>
        <v>504471.42857142858</v>
      </c>
      <c r="H30" s="612">
        <f>SUM(H23:H28)</f>
        <v>504471.42857142858</v>
      </c>
      <c r="I30" s="612">
        <f>SUM(I23:I28)</f>
        <v>514861.42857142858</v>
      </c>
      <c r="J30" s="612">
        <f>SUM(J23:J28)</f>
        <v>863260.57142857136</v>
      </c>
      <c r="K30" s="612">
        <f>SUM(K23:K28)</f>
        <v>441380.57142857142</v>
      </c>
      <c r="L30" s="612">
        <f>SUM(L23:L28)</f>
        <v>441380.57142857142</v>
      </c>
      <c r="M30" s="612">
        <f>SUM(M23:M28)</f>
        <v>981660.57142857136</v>
      </c>
      <c r="N30" s="605">
        <f>SUM(N23:N28)</f>
        <v>2305802.2857142854</v>
      </c>
      <c r="O30" s="605">
        <f>SUM(O23:O28)</f>
        <v>1786302.2857142857</v>
      </c>
      <c r="P30" s="605">
        <f>SUM(P23:P28)</f>
        <v>1786302.2857142857</v>
      </c>
      <c r="Q30" s="605">
        <f>SUM(Q23:Q28)</f>
        <v>1786302.2857142857</v>
      </c>
      <c r="R30" s="605"/>
      <c r="S30" s="581"/>
      <c r="T30" s="580"/>
      <c r="U30" s="580"/>
      <c r="V30" s="580"/>
      <c r="W30" s="580"/>
      <c r="X30" s="580"/>
      <c r="Y30" s="580"/>
      <c r="Z30" s="580"/>
      <c r="AA30" s="580"/>
      <c r="AB30" s="580"/>
      <c r="AC30" s="582"/>
      <c r="AD30" s="580"/>
      <c r="AE30" s="580"/>
      <c r="AF30" s="580"/>
      <c r="AG30" s="580"/>
      <c r="AH30" s="580"/>
      <c r="AI30" s="580"/>
      <c r="AJ30" s="580"/>
      <c r="AK30" s="580"/>
      <c r="AL30" s="580"/>
      <c r="AM30" s="580"/>
      <c r="AN30" s="580"/>
      <c r="AO30" s="580"/>
      <c r="AP30" s="580"/>
      <c r="AQ30" s="580"/>
      <c r="AR30" s="580"/>
      <c r="AS30" s="580"/>
      <c r="AT30" s="580"/>
      <c r="AU30" s="580"/>
      <c r="AV30" s="580"/>
      <c r="AW30" s="580"/>
      <c r="AX30" s="580"/>
      <c r="AY30" s="580"/>
      <c r="AZ30" s="580"/>
      <c r="BA30" s="580"/>
      <c r="BB30" s="580"/>
      <c r="BC30" s="580"/>
      <c r="BD30" s="580"/>
      <c r="BE30" s="580"/>
    </row>
    <row r="31" spans="1:57">
      <c r="A31" s="609" t="s">
        <v>1007</v>
      </c>
      <c r="B31" s="607" t="s">
        <v>805</v>
      </c>
      <c r="C31" s="607" t="s">
        <v>1008</v>
      </c>
      <c r="D31" s="607"/>
      <c r="E31" s="611"/>
      <c r="F31" s="613">
        <f>SUMPRODUCT('.c12_alloc'!$H$7:$H$12,F23:F28)</f>
        <v>0</v>
      </c>
      <c r="G31" s="613">
        <f>SUMPRODUCT('.c12_alloc'!$H$7:$H$12,G23:G28)</f>
        <v>0</v>
      </c>
      <c r="H31" s="613">
        <f>SUMPRODUCT('.c12_alloc'!$H$7:$H$12,H23:H28)</f>
        <v>0</v>
      </c>
      <c r="I31" s="613">
        <f>SUMPRODUCT('.c12_alloc'!$H$7:$H$12,I23:I28)</f>
        <v>0</v>
      </c>
      <c r="J31" s="613">
        <f>SUMPRODUCT('.c12_alloc'!$H$7:$H$12,J23:J28)</f>
        <v>0</v>
      </c>
      <c r="K31" s="613">
        <f>SUMPRODUCT('.c12_alloc'!$H$7:$H$12,K23:K28)</f>
        <v>0</v>
      </c>
      <c r="L31" s="613">
        <f>SUMPRODUCT('.c12_alloc'!$H$7:$H$12,L23:L28)</f>
        <v>0</v>
      </c>
      <c r="M31" s="613">
        <f>SUMPRODUCT('.c12_alloc'!$H$7:$H$12,M23:M28)</f>
        <v>0</v>
      </c>
      <c r="N31" s="611">
        <f>SUMPRODUCT('.c12_alloc'!$H$7:$H$12,N23:N28)</f>
        <v>0</v>
      </c>
      <c r="O31" s="611">
        <f>SUMPRODUCT('.c12_alloc'!$H$7:$H$12,O23:O28)</f>
        <v>0</v>
      </c>
      <c r="P31" s="611">
        <f>SUMPRODUCT('.c12_alloc'!$H$7:$H$12,P23:P28)</f>
        <v>0</v>
      </c>
      <c r="Q31" s="611">
        <f>SUMPRODUCT('.c12_alloc'!$H$7:$H$12,Q23:Q28)</f>
        <v>0</v>
      </c>
      <c r="R31" s="580"/>
      <c r="S31" s="580"/>
      <c r="T31" s="580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  <c r="AJ31" s="580"/>
      <c r="AK31" s="580"/>
      <c r="AL31" s="580"/>
      <c r="AM31" s="580"/>
      <c r="AN31" s="580"/>
      <c r="AO31" s="580"/>
      <c r="AP31" s="580"/>
      <c r="AQ31" s="580"/>
      <c r="AR31" s="580"/>
      <c r="AS31" s="580"/>
      <c r="AT31" s="580"/>
      <c r="AU31" s="580"/>
      <c r="AV31" s="580"/>
      <c r="AW31" s="580"/>
      <c r="AX31" s="580"/>
      <c r="AY31" s="580"/>
      <c r="AZ31" s="580"/>
      <c r="BA31" s="580"/>
      <c r="BB31" s="580"/>
      <c r="BC31" s="580"/>
      <c r="BD31" s="580"/>
      <c r="BE31" s="580"/>
    </row>
    <row r="32" spans="1:57">
      <c r="A32" s="609" t="s">
        <v>1009</v>
      </c>
      <c r="B32" s="607" t="s">
        <v>805</v>
      </c>
      <c r="C32" s="607" t="s">
        <v>1010</v>
      </c>
      <c r="D32" s="607"/>
      <c r="E32" s="611"/>
      <c r="F32" s="613">
        <f>SUMPRODUCT('.c12_alloc'!$G$7:$G$12,F23:F28)</f>
        <v>472542.85714285716</v>
      </c>
      <c r="G32" s="613">
        <f>SUMPRODUCT('.c12_alloc'!$G$7:$G$12,G23:G28)</f>
        <v>472542.85714285716</v>
      </c>
      <c r="H32" s="613">
        <f>SUMPRODUCT('.c12_alloc'!$G$7:$G$12,H23:H28)</f>
        <v>472542.85714285716</v>
      </c>
      <c r="I32" s="613">
        <f>SUMPRODUCT('.c12_alloc'!$G$7:$G$12,I23:I28)</f>
        <v>472542.85714285716</v>
      </c>
      <c r="J32" s="613">
        <f>SUMPRODUCT('.c12_alloc'!$G$7:$G$12,J23:J28)</f>
        <v>805022.85714285716</v>
      </c>
      <c r="K32" s="613">
        <f>SUMPRODUCT('.c12_alloc'!$G$7:$G$12,K23:K28)</f>
        <v>383142.85714285716</v>
      </c>
      <c r="L32" s="613">
        <f>SUMPRODUCT('.c12_alloc'!$G$7:$G$12,L23:L28)</f>
        <v>383142.85714285716</v>
      </c>
      <c r="M32" s="613">
        <f>SUMPRODUCT('.c12_alloc'!$G$7:$G$12,M23:M28)</f>
        <v>902642.85714285704</v>
      </c>
      <c r="N32" s="611">
        <f>SUMPRODUCT('.c12_alloc'!$G$7:$G$12,N23:N28)</f>
        <v>2052071.4285714286</v>
      </c>
      <c r="O32" s="611">
        <f>SUMPRODUCT('.c12_alloc'!$G$7:$G$12,O23:O28)</f>
        <v>1532571.4285714286</v>
      </c>
      <c r="P32" s="611">
        <f>SUMPRODUCT('.c12_alloc'!$G$7:$G$12,P23:P28)</f>
        <v>1532571.4285714286</v>
      </c>
      <c r="Q32" s="611">
        <f>SUMPRODUCT('.c12_alloc'!$G$7:$G$12,Q23:Q28)</f>
        <v>1532571.4285714286</v>
      </c>
      <c r="R32" s="580"/>
      <c r="S32" s="580"/>
      <c r="T32" s="580"/>
      <c r="U32" s="580"/>
      <c r="V32" s="580"/>
      <c r="W32" s="580"/>
      <c r="X32" s="580"/>
      <c r="Y32" s="580"/>
      <c r="Z32" s="580"/>
      <c r="AA32" s="580"/>
      <c r="AB32" s="580"/>
      <c r="AC32" s="580"/>
      <c r="AD32" s="580"/>
      <c r="AE32" s="580"/>
      <c r="AF32" s="580"/>
      <c r="AG32" s="580"/>
      <c r="AH32" s="580"/>
      <c r="AI32" s="580"/>
      <c r="AJ32" s="580"/>
      <c r="AK32" s="580"/>
      <c r="AL32" s="580"/>
      <c r="AM32" s="580"/>
      <c r="AN32" s="580"/>
      <c r="AO32" s="580"/>
      <c r="AP32" s="580"/>
      <c r="AQ32" s="580"/>
      <c r="AR32" s="580"/>
      <c r="AS32" s="580"/>
      <c r="AT32" s="580"/>
      <c r="AU32" s="580"/>
      <c r="AV32" s="580"/>
      <c r="AW32" s="580"/>
      <c r="AX32" s="580"/>
      <c r="AY32" s="580"/>
      <c r="AZ32" s="580"/>
      <c r="BA32" s="580"/>
      <c r="BB32" s="580"/>
      <c r="BC32" s="580"/>
      <c r="BD32" s="580"/>
      <c r="BE32" s="580"/>
    </row>
    <row r="33" spans="1:57">
      <c r="A33" s="609" t="s">
        <v>1011</v>
      </c>
      <c r="B33" s="607" t="s">
        <v>805</v>
      </c>
      <c r="C33" s="607" t="s">
        <v>1012</v>
      </c>
      <c r="D33" s="607"/>
      <c r="E33" s="611"/>
      <c r="F33" s="613">
        <f>SUMPRODUCT('.c12_alloc'!$E$7:$E$12,F23:F28)</f>
        <v>31928.571428571431</v>
      </c>
      <c r="G33" s="613">
        <f>SUMPRODUCT('.c12_alloc'!$E$7:$E$12,G23:G28)</f>
        <v>31928.571428571431</v>
      </c>
      <c r="H33" s="613">
        <f>SUMPRODUCT('.c12_alloc'!$E$7:$E$12,H23:H28)</f>
        <v>31928.571428571431</v>
      </c>
      <c r="I33" s="613">
        <f>SUMPRODUCT('.c12_alloc'!$E$7:$E$12,I23:I28)</f>
        <v>42318.571428571435</v>
      </c>
      <c r="J33" s="613">
        <f>SUMPRODUCT('.c12_alloc'!$E$7:$E$12,J23:J28)</f>
        <v>58237.71428571429</v>
      </c>
      <c r="K33" s="613">
        <f>SUMPRODUCT('.c12_alloc'!$E$7:$E$12,K23:K28)</f>
        <v>58237.71428571429</v>
      </c>
      <c r="L33" s="613">
        <f>SUMPRODUCT('.c12_alloc'!$E$7:$E$12,L23:L28)</f>
        <v>58237.71428571429</v>
      </c>
      <c r="M33" s="613">
        <f>SUMPRODUCT('.c12_alloc'!$E$7:$E$12,M23:M28)</f>
        <v>79017.71428571429</v>
      </c>
      <c r="N33" s="611">
        <f>SUMPRODUCT('.c12_alloc'!$E$7:$E$12,N23:N28)</f>
        <v>253730.85714285716</v>
      </c>
      <c r="O33" s="611">
        <f>SUMPRODUCT('.c12_alloc'!$E$7:$E$12,O23:O28)</f>
        <v>253730.85714285716</v>
      </c>
      <c r="P33" s="611">
        <f>SUMPRODUCT('.c12_alloc'!$E$7:$E$12,P23:P28)</f>
        <v>253730.85714285716</v>
      </c>
      <c r="Q33" s="611">
        <f>SUMPRODUCT('.c12_alloc'!$E$7:$E$12,Q23:Q28)</f>
        <v>253730.85714285716</v>
      </c>
      <c r="R33" s="580"/>
      <c r="S33" s="580"/>
      <c r="T33" s="580"/>
      <c r="U33" s="580"/>
      <c r="V33" s="580"/>
      <c r="W33" s="580"/>
      <c r="X33" s="580"/>
      <c r="Y33" s="580"/>
      <c r="Z33" s="580"/>
      <c r="AA33" s="580"/>
      <c r="AB33" s="580"/>
      <c r="AC33" s="580"/>
      <c r="AD33" s="580"/>
      <c r="AE33" s="580"/>
      <c r="AF33" s="580"/>
      <c r="AG33" s="580"/>
      <c r="AH33" s="580"/>
      <c r="AI33" s="580"/>
      <c r="AJ33" s="580"/>
      <c r="AK33" s="580"/>
      <c r="AL33" s="580"/>
      <c r="AM33" s="580"/>
      <c r="AN33" s="580"/>
      <c r="AO33" s="580"/>
      <c r="AP33" s="580"/>
      <c r="AQ33" s="580"/>
      <c r="AR33" s="580"/>
      <c r="AS33" s="580"/>
      <c r="AT33" s="580"/>
      <c r="AU33" s="580"/>
      <c r="AV33" s="580"/>
      <c r="AW33" s="580"/>
      <c r="AX33" s="580"/>
      <c r="AY33" s="580"/>
      <c r="AZ33" s="580"/>
      <c r="BA33" s="580"/>
      <c r="BB33" s="580"/>
      <c r="BC33" s="580"/>
      <c r="BD33" s="580"/>
      <c r="BE33" s="580"/>
    </row>
    <row r="34" spans="1:57">
      <c r="A34" s="580"/>
      <c r="B34" s="580"/>
      <c r="C34" s="580"/>
      <c r="D34" s="580"/>
      <c r="E34" s="580"/>
      <c r="F34" s="580"/>
      <c r="G34" s="580"/>
      <c r="H34" s="580"/>
      <c r="I34" s="580"/>
      <c r="J34" s="580"/>
      <c r="K34" s="580"/>
      <c r="L34" s="580"/>
      <c r="M34" s="580"/>
      <c r="N34" s="580"/>
      <c r="O34" s="580"/>
      <c r="P34" s="580"/>
      <c r="Q34" s="580"/>
      <c r="R34" s="580"/>
      <c r="S34" s="581"/>
      <c r="T34" s="580"/>
      <c r="U34" s="580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580"/>
      <c r="AJ34" s="580"/>
      <c r="AK34" s="614"/>
      <c r="AL34" s="580"/>
      <c r="AM34" s="580"/>
      <c r="AN34" s="614"/>
      <c r="AO34" s="614"/>
      <c r="AP34" s="580"/>
      <c r="AQ34" s="580"/>
      <c r="AR34" s="580"/>
      <c r="AS34" s="580"/>
      <c r="AT34" s="580"/>
      <c r="AU34" s="580"/>
      <c r="AV34" s="580"/>
      <c r="AW34" s="580"/>
      <c r="AX34" s="580"/>
      <c r="AY34" s="580"/>
      <c r="AZ34" s="580"/>
      <c r="BA34" s="580"/>
      <c r="BB34" s="580"/>
      <c r="BC34" s="580"/>
      <c r="BD34" s="580"/>
      <c r="BE34" s="580"/>
    </row>
    <row r="35" spans="1:57">
      <c r="A35" s="580"/>
      <c r="B35" s="580"/>
      <c r="C35" s="580"/>
      <c r="D35" s="580"/>
      <c r="E35" s="580"/>
      <c r="F35" s="580"/>
      <c r="G35" s="580"/>
      <c r="H35" s="580"/>
      <c r="I35" s="580"/>
      <c r="J35" s="580"/>
      <c r="K35" s="580"/>
      <c r="L35" s="580"/>
      <c r="M35" s="580"/>
      <c r="N35" s="580"/>
      <c r="O35" s="580"/>
      <c r="P35" s="580"/>
      <c r="Q35" s="580"/>
      <c r="R35" s="580"/>
      <c r="S35" s="580"/>
      <c r="T35" s="580"/>
      <c r="U35" s="580"/>
      <c r="V35" s="580"/>
      <c r="W35" s="581"/>
      <c r="X35" s="580"/>
      <c r="Y35" s="580"/>
      <c r="Z35" s="580"/>
      <c r="AA35" s="580"/>
      <c r="AB35" s="580"/>
      <c r="AC35" s="580"/>
      <c r="AD35" s="580"/>
      <c r="AE35" s="580"/>
      <c r="AF35" s="580"/>
      <c r="AG35" s="580"/>
      <c r="AH35" s="580"/>
      <c r="AI35" s="580"/>
      <c r="AJ35" s="580"/>
      <c r="AK35" s="580"/>
      <c r="AL35" s="580"/>
      <c r="AM35" s="580"/>
      <c r="AN35" s="580"/>
      <c r="AO35" s="580"/>
      <c r="AP35" s="580"/>
      <c r="AQ35" s="580"/>
      <c r="AR35" s="580"/>
      <c r="AS35" s="580"/>
      <c r="AT35" s="580"/>
      <c r="AU35" s="580"/>
      <c r="AV35" s="580"/>
      <c r="AW35" s="580"/>
      <c r="AX35" s="580"/>
      <c r="AY35" s="580"/>
      <c r="AZ35" s="580"/>
      <c r="BA35" s="580"/>
      <c r="BB35" s="580"/>
      <c r="BC35" s="580"/>
      <c r="BD35" s="580"/>
      <c r="BE35" s="580"/>
    </row>
    <row r="36" spans="1:57">
      <c r="A36" s="580"/>
      <c r="B36" s="580"/>
      <c r="C36" s="580"/>
      <c r="D36" s="580"/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0"/>
      <c r="Q36" s="580"/>
      <c r="R36" s="580"/>
      <c r="S36" s="580"/>
      <c r="T36" s="580"/>
      <c r="U36" s="580"/>
      <c r="V36" s="580"/>
      <c r="W36" s="580"/>
      <c r="X36" s="580"/>
      <c r="Y36" s="580"/>
      <c r="Z36" s="580"/>
      <c r="AA36" s="580"/>
      <c r="AB36" s="580"/>
      <c r="AC36" s="580"/>
      <c r="AD36" s="580"/>
      <c r="AE36" s="580"/>
      <c r="AF36" s="580"/>
      <c r="AG36" s="580"/>
      <c r="AH36" s="580"/>
      <c r="AI36" s="580"/>
      <c r="AJ36" s="580"/>
      <c r="AK36" s="580"/>
      <c r="AL36" s="580"/>
      <c r="AM36" s="580"/>
      <c r="AN36" s="580"/>
      <c r="AO36" s="580"/>
      <c r="AP36" s="580"/>
      <c r="AQ36" s="580"/>
      <c r="AR36" s="580"/>
      <c r="AS36" s="580"/>
      <c r="AT36" s="580"/>
      <c r="AU36" s="580"/>
      <c r="AV36" s="580"/>
      <c r="AW36" s="580"/>
      <c r="AX36" s="580"/>
      <c r="AY36" s="580"/>
      <c r="AZ36" s="580"/>
      <c r="BA36" s="580"/>
      <c r="BB36" s="580"/>
      <c r="BC36" s="580"/>
      <c r="BD36" s="580"/>
      <c r="BE36" s="580"/>
    </row>
    <row r="37" spans="1:57">
      <c r="A37" s="580"/>
      <c r="B37" s="580"/>
      <c r="C37" s="580"/>
      <c r="D37" s="580"/>
      <c r="E37" s="580"/>
      <c r="F37" s="580"/>
      <c r="G37" s="580"/>
      <c r="H37" s="580"/>
      <c r="I37" s="580"/>
      <c r="J37" s="580"/>
      <c r="K37" s="580"/>
      <c r="L37" s="580"/>
      <c r="M37" s="580"/>
      <c r="N37" s="580"/>
      <c r="O37" s="580"/>
      <c r="P37" s="580"/>
      <c r="Q37" s="580"/>
      <c r="R37" s="580"/>
      <c r="S37" s="580"/>
      <c r="T37" s="580"/>
      <c r="U37" s="580"/>
      <c r="V37" s="580"/>
      <c r="W37" s="580"/>
      <c r="X37" s="580"/>
      <c r="Y37" s="580"/>
      <c r="Z37" s="580"/>
      <c r="AA37" s="580"/>
      <c r="AB37" s="580"/>
      <c r="AC37" s="580"/>
      <c r="AD37" s="580"/>
      <c r="AE37" s="580"/>
      <c r="AF37" s="580"/>
      <c r="AG37" s="580"/>
      <c r="AH37" s="580"/>
      <c r="AI37" s="580"/>
      <c r="AJ37" s="580"/>
      <c r="AK37" s="580"/>
      <c r="AL37" s="580"/>
      <c r="AM37" s="580"/>
      <c r="AN37" s="580"/>
      <c r="AO37" s="580"/>
      <c r="AP37" s="580"/>
      <c r="AQ37" s="580"/>
      <c r="AR37" s="580"/>
      <c r="AS37" s="580"/>
      <c r="AT37" s="580"/>
      <c r="AU37" s="580"/>
      <c r="AV37" s="580"/>
      <c r="AW37" s="580"/>
      <c r="AX37" s="580"/>
      <c r="AY37" s="580"/>
      <c r="AZ37" s="580"/>
      <c r="BA37" s="580"/>
      <c r="BB37" s="580"/>
      <c r="BC37" s="580"/>
      <c r="BD37" s="580"/>
      <c r="BE37" s="580"/>
    </row>
    <row r="38" spans="1:57">
      <c r="A38" s="580"/>
      <c r="B38" s="580"/>
      <c r="C38" s="580"/>
      <c r="D38" s="580"/>
      <c r="E38" s="580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0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0"/>
      <c r="AD38" s="580"/>
      <c r="AE38" s="580"/>
      <c r="AF38" s="580"/>
      <c r="AG38" s="580"/>
      <c r="AH38" s="580"/>
      <c r="AI38" s="580"/>
      <c r="AJ38" s="580"/>
      <c r="AK38" s="580"/>
      <c r="AL38" s="580"/>
      <c r="AM38" s="580"/>
      <c r="AN38" s="580"/>
      <c r="AO38" s="580"/>
      <c r="AP38" s="580"/>
      <c r="AQ38" s="580"/>
      <c r="AR38" s="580"/>
      <c r="AS38" s="580"/>
      <c r="AT38" s="580"/>
      <c r="AU38" s="580"/>
      <c r="AV38" s="580"/>
      <c r="AW38" s="580"/>
      <c r="AX38" s="580"/>
      <c r="AY38" s="580"/>
      <c r="AZ38" s="580"/>
      <c r="BA38" s="580"/>
      <c r="BB38" s="580"/>
      <c r="BC38" s="580"/>
      <c r="BD38" s="580"/>
      <c r="BE38" s="580"/>
    </row>
    <row r="39" spans="1:57">
      <c r="A39" s="580"/>
      <c r="B39" s="580"/>
      <c r="C39" s="580"/>
      <c r="D39" s="580"/>
      <c r="E39" s="580"/>
      <c r="F39" s="580"/>
      <c r="G39" s="580"/>
      <c r="H39" s="580"/>
      <c r="I39" s="580"/>
      <c r="J39" s="580"/>
      <c r="K39" s="580"/>
      <c r="L39" s="580"/>
      <c r="M39" s="580"/>
      <c r="N39" s="580"/>
      <c r="O39" s="580"/>
      <c r="P39" s="580"/>
      <c r="Q39" s="580"/>
      <c r="R39" s="580"/>
      <c r="S39" s="580"/>
      <c r="T39" s="580"/>
      <c r="U39" s="580"/>
      <c r="V39" s="580"/>
      <c r="W39" s="580"/>
      <c r="X39" s="580"/>
      <c r="Y39" s="580"/>
      <c r="Z39" s="580"/>
      <c r="AA39" s="580"/>
      <c r="AB39" s="580"/>
      <c r="AC39" s="580"/>
      <c r="AD39" s="580"/>
      <c r="AE39" s="580"/>
      <c r="AF39" s="580"/>
      <c r="AG39" s="580"/>
      <c r="AH39" s="580"/>
      <c r="AI39" s="580"/>
      <c r="AJ39" s="580"/>
      <c r="AK39" s="580"/>
      <c r="AL39" s="580"/>
      <c r="AM39" s="580"/>
      <c r="AN39" s="580"/>
      <c r="AO39" s="580"/>
      <c r="AP39" s="580"/>
      <c r="AQ39" s="580"/>
      <c r="AR39" s="580"/>
      <c r="AS39" s="580"/>
      <c r="AT39" s="580"/>
      <c r="AU39" s="580"/>
      <c r="AV39" s="580"/>
      <c r="AW39" s="580"/>
      <c r="AX39" s="580"/>
      <c r="AY39" s="580"/>
      <c r="AZ39" s="580"/>
      <c r="BA39" s="580"/>
      <c r="BB39" s="580"/>
      <c r="BC39" s="580"/>
      <c r="BD39" s="580"/>
      <c r="BE39" s="580"/>
    </row>
    <row r="40" spans="1:57">
      <c r="A40" s="580"/>
      <c r="B40" s="580"/>
      <c r="C40" s="580"/>
      <c r="D40" s="580"/>
      <c r="E40" s="580"/>
      <c r="F40" s="580"/>
      <c r="G40" s="580"/>
      <c r="H40" s="580"/>
      <c r="I40" s="580"/>
      <c r="J40" s="580"/>
      <c r="K40" s="580"/>
      <c r="L40" s="580"/>
      <c r="M40" s="580"/>
      <c r="N40" s="580"/>
      <c r="O40" s="580"/>
      <c r="P40" s="580"/>
      <c r="Q40" s="580"/>
      <c r="R40" s="580"/>
      <c r="S40" s="580"/>
      <c r="T40" s="580"/>
      <c r="U40" s="580"/>
      <c r="V40" s="580"/>
      <c r="W40" s="580"/>
      <c r="X40" s="580"/>
      <c r="Y40" s="580"/>
      <c r="Z40" s="580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  <c r="AK40" s="580"/>
      <c r="AL40" s="580"/>
      <c r="AM40" s="580"/>
      <c r="AN40" s="580"/>
      <c r="AO40" s="580"/>
      <c r="AP40" s="580"/>
      <c r="AQ40" s="580"/>
      <c r="AR40" s="580"/>
      <c r="AS40" s="580"/>
      <c r="AT40" s="580"/>
      <c r="AU40" s="580"/>
      <c r="AV40" s="580"/>
      <c r="AW40" s="580"/>
      <c r="AX40" s="580"/>
      <c r="AY40" s="580"/>
      <c r="AZ40" s="580"/>
      <c r="BA40" s="580"/>
      <c r="BB40" s="580"/>
      <c r="BC40" s="580"/>
      <c r="BD40" s="580"/>
      <c r="BE40" s="580"/>
    </row>
    <row r="41" spans="1:57">
      <c r="A41" s="580"/>
      <c r="B41" s="580"/>
      <c r="C41" s="580"/>
      <c r="D41" s="580"/>
      <c r="E41" s="580"/>
      <c r="F41" s="580"/>
      <c r="G41" s="580"/>
      <c r="H41" s="580"/>
      <c r="I41" s="580"/>
      <c r="J41" s="580"/>
      <c r="K41" s="580"/>
      <c r="L41" s="580"/>
      <c r="M41" s="580"/>
      <c r="N41" s="580"/>
      <c r="O41" s="580"/>
      <c r="P41" s="580"/>
      <c r="Q41" s="580"/>
      <c r="R41" s="580"/>
      <c r="S41" s="580"/>
      <c r="T41" s="580"/>
      <c r="U41" s="580"/>
      <c r="V41" s="580"/>
      <c r="W41" s="580"/>
      <c r="X41" s="580"/>
      <c r="Y41" s="580"/>
      <c r="Z41" s="580"/>
      <c r="AA41" s="580"/>
      <c r="AB41" s="580"/>
      <c r="AC41" s="580"/>
      <c r="AD41" s="580"/>
      <c r="AE41" s="580"/>
      <c r="AF41" s="580"/>
      <c r="AG41" s="580"/>
      <c r="AH41" s="580"/>
      <c r="AI41" s="580"/>
      <c r="AJ41" s="580"/>
      <c r="AK41" s="580"/>
      <c r="AL41" s="580"/>
      <c r="AM41" s="580"/>
      <c r="AN41" s="580"/>
      <c r="AO41" s="580"/>
      <c r="AP41" s="580"/>
      <c r="AQ41" s="580"/>
      <c r="AR41" s="580"/>
      <c r="AS41" s="580"/>
      <c r="AT41" s="580"/>
      <c r="AU41" s="580"/>
      <c r="AV41" s="580"/>
      <c r="AW41" s="580"/>
      <c r="AX41" s="580"/>
      <c r="AY41" s="580"/>
      <c r="AZ41" s="580"/>
      <c r="BA41" s="580"/>
      <c r="BB41" s="580"/>
      <c r="BC41" s="580"/>
      <c r="BD41" s="580"/>
      <c r="BE41" s="580"/>
    </row>
    <row r="42" spans="1:57">
      <c r="A42" s="580"/>
      <c r="B42" s="580"/>
      <c r="C42" s="580"/>
      <c r="D42" s="580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580"/>
      <c r="R42" s="580"/>
      <c r="S42" s="580"/>
      <c r="T42" s="580"/>
      <c r="U42" s="580"/>
      <c r="V42" s="580"/>
      <c r="W42" s="580"/>
      <c r="X42" s="580"/>
      <c r="Y42" s="580"/>
      <c r="Z42" s="580"/>
      <c r="AA42" s="580"/>
      <c r="AB42" s="580"/>
      <c r="AC42" s="580"/>
      <c r="AD42" s="580"/>
      <c r="AE42" s="580"/>
      <c r="AF42" s="580"/>
      <c r="AG42" s="580"/>
      <c r="AH42" s="580"/>
      <c r="AI42" s="580"/>
      <c r="AJ42" s="580"/>
      <c r="AK42" s="580"/>
      <c r="AL42" s="580"/>
      <c r="AM42" s="580"/>
      <c r="AN42" s="580"/>
      <c r="AO42" s="580"/>
      <c r="AP42" s="580"/>
      <c r="AQ42" s="580"/>
      <c r="AR42" s="580"/>
      <c r="AS42" s="580"/>
      <c r="AT42" s="580"/>
      <c r="AU42" s="580"/>
      <c r="AV42" s="580"/>
      <c r="AW42" s="580"/>
      <c r="AX42" s="580"/>
      <c r="AY42" s="580"/>
      <c r="AZ42" s="580"/>
      <c r="BA42" s="580"/>
      <c r="BB42" s="580"/>
      <c r="BC42" s="580"/>
      <c r="BD42" s="580"/>
      <c r="BE42" s="580"/>
    </row>
    <row r="43" spans="1:57">
      <c r="A43" s="580"/>
      <c r="B43" s="580"/>
      <c r="C43" s="580"/>
      <c r="D43" s="580"/>
      <c r="E43" s="580"/>
      <c r="F43" s="580"/>
      <c r="G43" s="580"/>
      <c r="H43" s="580"/>
      <c r="I43" s="580"/>
      <c r="J43" s="580"/>
      <c r="K43" s="580"/>
      <c r="L43" s="580"/>
      <c r="M43" s="580"/>
      <c r="N43" s="580"/>
      <c r="O43" s="580"/>
      <c r="P43" s="580"/>
      <c r="Q43" s="580"/>
      <c r="R43" s="580"/>
      <c r="S43" s="580"/>
      <c r="T43" s="580"/>
      <c r="U43" s="580"/>
      <c r="V43" s="580"/>
      <c r="W43" s="580"/>
      <c r="X43" s="580"/>
      <c r="Y43" s="580"/>
      <c r="Z43" s="580"/>
      <c r="AA43" s="580"/>
      <c r="AB43" s="580"/>
      <c r="AC43" s="580"/>
      <c r="AD43" s="580"/>
      <c r="AE43" s="580"/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  <c r="AT43" s="580"/>
      <c r="AU43" s="580"/>
      <c r="AV43" s="580"/>
      <c r="AW43" s="580"/>
      <c r="AX43" s="580"/>
      <c r="AY43" s="580"/>
      <c r="AZ43" s="580"/>
      <c r="BA43" s="580"/>
      <c r="BB43" s="580"/>
      <c r="BC43" s="580"/>
      <c r="BD43" s="580"/>
      <c r="BE43" s="580"/>
    </row>
    <row r="44" spans="1:57">
      <c r="A44" s="580"/>
      <c r="B44" s="580"/>
      <c r="C44" s="580"/>
      <c r="D44" s="580"/>
      <c r="E44" s="580"/>
      <c r="F44" s="580"/>
      <c r="G44" s="580"/>
      <c r="H44" s="580"/>
      <c r="I44" s="580"/>
      <c r="J44" s="580"/>
      <c r="K44" s="580"/>
      <c r="L44" s="580"/>
      <c r="M44" s="580"/>
      <c r="N44" s="580"/>
      <c r="O44" s="580"/>
      <c r="P44" s="580"/>
      <c r="Q44" s="580"/>
      <c r="R44" s="580"/>
      <c r="S44" s="580"/>
      <c r="T44" s="580"/>
      <c r="U44" s="580"/>
      <c r="V44" s="580"/>
      <c r="W44" s="580"/>
      <c r="X44" s="580"/>
      <c r="Y44" s="580"/>
      <c r="Z44" s="580"/>
      <c r="AA44" s="580"/>
      <c r="AB44" s="580"/>
      <c r="AC44" s="580"/>
      <c r="AD44" s="580"/>
      <c r="AE44" s="580"/>
      <c r="AF44" s="580"/>
      <c r="AG44" s="580"/>
      <c r="AH44" s="580"/>
      <c r="AI44" s="580"/>
      <c r="AJ44" s="580"/>
      <c r="AK44" s="580"/>
      <c r="AL44" s="580"/>
      <c r="AM44" s="580"/>
      <c r="AN44" s="580"/>
      <c r="AO44" s="580"/>
      <c r="AP44" s="580"/>
      <c r="AQ44" s="580"/>
      <c r="AR44" s="580"/>
      <c r="AS44" s="580"/>
      <c r="AT44" s="580"/>
      <c r="AU44" s="580"/>
      <c r="AV44" s="580"/>
      <c r="AW44" s="580"/>
      <c r="AX44" s="580"/>
      <c r="AY44" s="580"/>
      <c r="AZ44" s="580"/>
      <c r="BA44" s="580"/>
      <c r="BB44" s="580"/>
      <c r="BC44" s="580"/>
      <c r="BD44" s="580"/>
      <c r="BE44" s="580"/>
    </row>
    <row r="45" spans="1:57">
      <c r="A45" s="580"/>
      <c r="B45" s="580"/>
      <c r="C45" s="580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580"/>
      <c r="O45" s="580"/>
      <c r="P45" s="580"/>
      <c r="Q45" s="580"/>
      <c r="R45" s="580"/>
      <c r="S45" s="580"/>
      <c r="T45" s="580"/>
      <c r="U45" s="580"/>
      <c r="V45" s="580"/>
      <c r="W45" s="580"/>
      <c r="X45" s="580"/>
      <c r="Y45" s="580"/>
      <c r="Z45" s="580"/>
      <c r="AA45" s="580"/>
      <c r="AB45" s="580"/>
      <c r="AC45" s="580"/>
      <c r="AD45" s="580"/>
      <c r="AE45" s="580"/>
      <c r="AF45" s="580"/>
      <c r="AG45" s="580"/>
      <c r="AH45" s="580"/>
      <c r="AI45" s="580"/>
      <c r="AJ45" s="580"/>
      <c r="AK45" s="580"/>
      <c r="AL45" s="580"/>
      <c r="AM45" s="580"/>
      <c r="AN45" s="580"/>
      <c r="AO45" s="580"/>
      <c r="AP45" s="580"/>
      <c r="AQ45" s="580"/>
      <c r="AR45" s="580"/>
      <c r="AS45" s="580"/>
      <c r="AT45" s="580"/>
      <c r="AU45" s="580"/>
      <c r="AV45" s="580"/>
      <c r="AW45" s="580"/>
      <c r="AX45" s="580"/>
      <c r="AY45" s="580"/>
      <c r="AZ45" s="580"/>
      <c r="BA45" s="580"/>
      <c r="BB45" s="580"/>
      <c r="BC45" s="580"/>
      <c r="BD45" s="580"/>
      <c r="BE45" s="580"/>
    </row>
    <row r="46" spans="1:57">
      <c r="A46" s="580"/>
      <c r="B46" s="580"/>
      <c r="C46" s="580"/>
      <c r="D46" s="580"/>
      <c r="E46" s="580"/>
      <c r="F46" s="580"/>
      <c r="G46" s="580"/>
      <c r="H46" s="580"/>
      <c r="I46" s="580"/>
      <c r="J46" s="580"/>
      <c r="K46" s="580"/>
      <c r="L46" s="580"/>
      <c r="M46" s="580"/>
      <c r="N46" s="580"/>
      <c r="O46" s="580"/>
      <c r="P46" s="580"/>
      <c r="Q46" s="580"/>
      <c r="R46" s="580"/>
      <c r="S46" s="580"/>
      <c r="T46" s="580"/>
      <c r="U46" s="580"/>
      <c r="V46" s="580"/>
      <c r="W46" s="580"/>
      <c r="X46" s="580"/>
      <c r="Y46" s="580"/>
      <c r="Z46" s="580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  <c r="AT46" s="580"/>
      <c r="AU46" s="580"/>
      <c r="AV46" s="580"/>
      <c r="AW46" s="580"/>
      <c r="AX46" s="580"/>
      <c r="AY46" s="580"/>
      <c r="AZ46" s="580"/>
      <c r="BA46" s="580"/>
      <c r="BB46" s="580"/>
      <c r="BC46" s="580"/>
      <c r="BD46" s="580"/>
      <c r="BE46" s="580"/>
    </row>
    <row r="47" spans="1:57">
      <c r="A47" s="615"/>
      <c r="B47" s="580"/>
      <c r="C47" s="580"/>
      <c r="D47" s="580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15"/>
      <c r="P47" s="615"/>
      <c r="Q47" s="580"/>
      <c r="R47" s="580"/>
      <c r="S47" s="580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  <c r="AT47" s="580"/>
      <c r="AU47" s="580"/>
      <c r="AV47" s="580"/>
      <c r="AW47" s="580"/>
      <c r="AX47" s="580"/>
      <c r="AY47" s="580"/>
      <c r="AZ47" s="580"/>
      <c r="BA47" s="580"/>
      <c r="BB47" s="580"/>
      <c r="BC47" s="580"/>
      <c r="BD47" s="580"/>
      <c r="BE47" s="580"/>
    </row>
    <row r="48" spans="1:57">
      <c r="A48" s="580"/>
      <c r="B48" s="580"/>
      <c r="C48" s="580"/>
      <c r="D48" s="580"/>
      <c r="E48" s="580"/>
      <c r="F48" s="580"/>
      <c r="G48" s="580"/>
      <c r="H48" s="580"/>
      <c r="I48" s="580"/>
      <c r="J48" s="580"/>
      <c r="K48" s="580"/>
      <c r="L48" s="580"/>
      <c r="M48" s="580"/>
      <c r="N48" s="580"/>
      <c r="O48" s="580"/>
      <c r="P48" s="580"/>
      <c r="Q48" s="580"/>
      <c r="R48" s="580"/>
      <c r="S48" s="580"/>
      <c r="T48" s="580"/>
      <c r="U48" s="580"/>
      <c r="V48" s="580"/>
      <c r="W48" s="580"/>
      <c r="X48" s="580"/>
      <c r="Y48" s="580"/>
      <c r="Z48" s="580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  <c r="AT48" s="580"/>
      <c r="AU48" s="580"/>
      <c r="AV48" s="580"/>
      <c r="AW48" s="580"/>
      <c r="AX48" s="580"/>
      <c r="AY48" s="580"/>
      <c r="AZ48" s="580"/>
      <c r="BA48" s="580"/>
      <c r="BB48" s="580"/>
      <c r="BC48" s="580"/>
      <c r="BD48" s="580"/>
      <c r="BE48" s="580"/>
    </row>
    <row r="49" spans="1:57">
      <c r="A49" s="580"/>
      <c r="B49" s="580"/>
      <c r="C49" s="580"/>
      <c r="D49" s="580"/>
      <c r="E49" s="580"/>
      <c r="F49" s="580"/>
      <c r="G49" s="580"/>
      <c r="H49" s="580"/>
      <c r="I49" s="580"/>
      <c r="J49" s="580"/>
      <c r="K49" s="580"/>
      <c r="L49" s="580"/>
      <c r="M49" s="580"/>
      <c r="N49" s="580"/>
      <c r="O49" s="580"/>
      <c r="P49" s="580"/>
      <c r="Q49" s="580"/>
      <c r="R49" s="580"/>
      <c r="S49" s="580"/>
      <c r="T49" s="580"/>
      <c r="U49" s="580"/>
      <c r="V49" s="580"/>
      <c r="W49" s="580"/>
      <c r="X49" s="580"/>
      <c r="Y49" s="580"/>
      <c r="Z49" s="580"/>
      <c r="AA49" s="580"/>
      <c r="AB49" s="580"/>
      <c r="AC49" s="580"/>
      <c r="AD49" s="580"/>
      <c r="AE49" s="580"/>
      <c r="AF49" s="580"/>
      <c r="AG49" s="580"/>
      <c r="AH49" s="580"/>
      <c r="AI49" s="580"/>
      <c r="AJ49" s="580"/>
      <c r="AK49" s="580"/>
      <c r="AL49" s="580"/>
      <c r="AM49" s="580"/>
      <c r="AN49" s="580"/>
      <c r="AO49" s="580"/>
      <c r="AP49" s="580"/>
      <c r="AQ49" s="580"/>
      <c r="AR49" s="580"/>
      <c r="AS49" s="580"/>
      <c r="AT49" s="580"/>
      <c r="AU49" s="580"/>
      <c r="AV49" s="580"/>
      <c r="AW49" s="580"/>
      <c r="AX49" s="580"/>
      <c r="AY49" s="580"/>
      <c r="AZ49" s="580"/>
      <c r="BA49" s="580"/>
      <c r="BB49" s="580"/>
      <c r="BC49" s="580"/>
      <c r="BD49" s="580"/>
      <c r="BE49" s="580"/>
    </row>
    <row r="50" spans="1:57">
      <c r="A50" s="580"/>
      <c r="B50" s="580"/>
      <c r="C50" s="580"/>
      <c r="D50" s="580"/>
      <c r="E50" s="580"/>
      <c r="F50" s="580"/>
      <c r="G50" s="580"/>
      <c r="H50" s="580"/>
      <c r="I50" s="580"/>
      <c r="J50" s="580"/>
      <c r="K50" s="580"/>
      <c r="L50" s="580"/>
      <c r="M50" s="580"/>
      <c r="N50" s="580"/>
      <c r="O50" s="580"/>
      <c r="P50" s="580"/>
      <c r="Q50" s="580"/>
      <c r="R50" s="580"/>
      <c r="S50" s="580"/>
      <c r="T50" s="580"/>
      <c r="U50" s="580"/>
      <c r="V50" s="580"/>
      <c r="W50" s="580"/>
      <c r="X50" s="580"/>
      <c r="Y50" s="580"/>
      <c r="Z50" s="580"/>
      <c r="AA50" s="580"/>
      <c r="AB50" s="580"/>
      <c r="AC50" s="580"/>
      <c r="AD50" s="580"/>
      <c r="AE50" s="580"/>
      <c r="AF50" s="580"/>
      <c r="AG50" s="580"/>
      <c r="AH50" s="580"/>
      <c r="AI50" s="580"/>
      <c r="AJ50" s="580"/>
      <c r="AK50" s="580"/>
      <c r="AL50" s="580"/>
      <c r="AM50" s="580"/>
      <c r="AN50" s="580"/>
      <c r="AO50" s="580"/>
      <c r="AP50" s="580"/>
      <c r="AQ50" s="580"/>
      <c r="AR50" s="580"/>
      <c r="AS50" s="580"/>
      <c r="AT50" s="580"/>
      <c r="AU50" s="580"/>
      <c r="AV50" s="580"/>
      <c r="AW50" s="580"/>
      <c r="AX50" s="580"/>
      <c r="AY50" s="580"/>
      <c r="AZ50" s="580"/>
      <c r="BA50" s="580"/>
      <c r="BB50" s="580"/>
      <c r="BC50" s="580"/>
      <c r="BD50" s="580"/>
      <c r="BE50" s="580"/>
    </row>
    <row r="51" spans="1:57">
      <c r="A51" s="580"/>
      <c r="B51" s="580"/>
      <c r="C51" s="580"/>
      <c r="D51" s="580"/>
      <c r="E51" s="580"/>
      <c r="F51" s="580"/>
      <c r="G51" s="580"/>
      <c r="H51" s="580"/>
      <c r="I51" s="580"/>
      <c r="J51" s="580"/>
      <c r="K51" s="580"/>
      <c r="L51" s="580"/>
      <c r="M51" s="580"/>
      <c r="N51" s="580"/>
      <c r="O51" s="580"/>
      <c r="P51" s="580"/>
      <c r="Q51" s="580"/>
      <c r="R51" s="580"/>
      <c r="S51" s="580"/>
      <c r="T51" s="580"/>
      <c r="U51" s="580"/>
      <c r="V51" s="580"/>
      <c r="W51" s="580"/>
      <c r="X51" s="580"/>
      <c r="Y51" s="580"/>
      <c r="Z51" s="580"/>
      <c r="AA51" s="580"/>
      <c r="AB51" s="580"/>
      <c r="AC51" s="580"/>
      <c r="AD51" s="580"/>
      <c r="AE51" s="580"/>
      <c r="AF51" s="580"/>
      <c r="AG51" s="580"/>
      <c r="AH51" s="580"/>
      <c r="AI51" s="580"/>
      <c r="AJ51" s="580"/>
      <c r="AK51" s="580"/>
      <c r="AL51" s="580"/>
      <c r="AM51" s="580"/>
      <c r="AN51" s="580"/>
      <c r="AO51" s="580"/>
      <c r="AP51" s="580"/>
      <c r="AQ51" s="580"/>
      <c r="AR51" s="580"/>
      <c r="AS51" s="580"/>
      <c r="AT51" s="580"/>
      <c r="AU51" s="580"/>
      <c r="AV51" s="580"/>
      <c r="AW51" s="580"/>
      <c r="AX51" s="580"/>
      <c r="AY51" s="580"/>
      <c r="AZ51" s="580"/>
      <c r="BA51" s="580"/>
      <c r="BB51" s="580"/>
      <c r="BC51" s="580"/>
      <c r="BD51" s="580"/>
      <c r="BE51" s="580"/>
    </row>
    <row r="52" spans="1:57">
      <c r="A52" s="580"/>
      <c r="B52" s="580"/>
      <c r="C52" s="580"/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580"/>
      <c r="AQ52" s="580"/>
      <c r="AR52" s="580"/>
      <c r="AS52" s="580"/>
      <c r="AT52" s="580"/>
      <c r="AU52" s="580"/>
      <c r="AV52" s="580"/>
      <c r="AW52" s="580"/>
      <c r="AX52" s="580"/>
      <c r="AY52" s="580"/>
      <c r="AZ52" s="580"/>
      <c r="BA52" s="580"/>
      <c r="BB52" s="580"/>
      <c r="BC52" s="580"/>
      <c r="BD52" s="580"/>
      <c r="BE52" s="580"/>
    </row>
    <row r="53" spans="1:57">
      <c r="A53" s="580"/>
      <c r="B53" s="580"/>
      <c r="C53" s="580"/>
      <c r="D53" s="580"/>
      <c r="E53" s="580"/>
      <c r="F53" s="580"/>
      <c r="G53" s="580"/>
      <c r="H53" s="580"/>
      <c r="I53" s="580"/>
      <c r="J53" s="580"/>
      <c r="K53" s="580"/>
      <c r="L53" s="580"/>
      <c r="M53" s="580"/>
      <c r="N53" s="580"/>
      <c r="O53" s="580"/>
      <c r="P53" s="580"/>
      <c r="Q53" s="580"/>
      <c r="R53" s="580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580"/>
      <c r="AQ53" s="580"/>
      <c r="AR53" s="580"/>
      <c r="AS53" s="580"/>
      <c r="AT53" s="580"/>
      <c r="AU53" s="580"/>
      <c r="AV53" s="580"/>
      <c r="AW53" s="580"/>
      <c r="AX53" s="580"/>
      <c r="AY53" s="580"/>
      <c r="AZ53" s="580"/>
      <c r="BA53" s="580"/>
      <c r="BB53" s="580"/>
      <c r="BC53" s="580"/>
      <c r="BD53" s="580"/>
      <c r="BE53" s="580"/>
    </row>
    <row r="54" spans="1:57">
      <c r="A54" s="580"/>
      <c r="B54" s="580"/>
      <c r="C54" s="580"/>
      <c r="D54" s="580"/>
      <c r="E54" s="580"/>
      <c r="F54" s="580"/>
      <c r="G54" s="580"/>
      <c r="H54" s="580"/>
      <c r="I54" s="580"/>
      <c r="J54" s="580"/>
      <c r="K54" s="580"/>
      <c r="L54" s="580"/>
      <c r="M54" s="580"/>
      <c r="N54" s="580"/>
      <c r="O54" s="580"/>
      <c r="P54" s="580"/>
      <c r="Q54" s="580"/>
      <c r="R54" s="580"/>
      <c r="S54" s="580"/>
      <c r="T54" s="580"/>
      <c r="U54" s="580"/>
      <c r="V54" s="580"/>
      <c r="W54" s="580"/>
      <c r="X54" s="580"/>
      <c r="Y54" s="580"/>
      <c r="Z54" s="580"/>
      <c r="AA54" s="580"/>
      <c r="AB54" s="580"/>
      <c r="AC54" s="580"/>
      <c r="AD54" s="580"/>
      <c r="AE54" s="580"/>
      <c r="AF54" s="580"/>
      <c r="AG54" s="580"/>
      <c r="AH54" s="580"/>
      <c r="AI54" s="580"/>
      <c r="AJ54" s="580"/>
      <c r="AK54" s="580"/>
      <c r="AL54" s="580"/>
      <c r="AM54" s="580"/>
      <c r="AN54" s="580"/>
      <c r="AO54" s="580"/>
      <c r="AP54" s="580"/>
      <c r="AQ54" s="580"/>
      <c r="AR54" s="580"/>
      <c r="AS54" s="580"/>
      <c r="AT54" s="580"/>
      <c r="AU54" s="580"/>
      <c r="AV54" s="580"/>
      <c r="AW54" s="580"/>
      <c r="AX54" s="580"/>
      <c r="AY54" s="580"/>
      <c r="AZ54" s="580"/>
      <c r="BA54" s="580"/>
      <c r="BB54" s="580"/>
      <c r="BC54" s="580"/>
      <c r="BD54" s="580"/>
      <c r="BE54" s="580"/>
    </row>
    <row r="55" spans="1:57">
      <c r="A55" s="580"/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580"/>
      <c r="N55" s="580"/>
      <c r="O55" s="580"/>
      <c r="P55" s="580"/>
      <c r="Q55" s="580"/>
      <c r="R55" s="580"/>
      <c r="S55" s="580"/>
      <c r="T55" s="580"/>
      <c r="U55" s="580"/>
      <c r="V55" s="580"/>
      <c r="W55" s="580"/>
      <c r="X55" s="580"/>
      <c r="Y55" s="580"/>
      <c r="Z55" s="580"/>
      <c r="AA55" s="580"/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/>
      <c r="AO55" s="580"/>
      <c r="AP55" s="580"/>
      <c r="AQ55" s="580"/>
      <c r="AR55" s="580"/>
      <c r="AS55" s="580"/>
      <c r="AT55" s="580"/>
      <c r="AU55" s="580"/>
      <c r="AV55" s="580"/>
      <c r="AW55" s="580"/>
      <c r="AX55" s="580"/>
      <c r="AY55" s="580"/>
      <c r="AZ55" s="580"/>
      <c r="BA55" s="580"/>
      <c r="BB55" s="580"/>
      <c r="BC55" s="580"/>
      <c r="BD55" s="580"/>
      <c r="BE55" s="580"/>
    </row>
    <row r="56" spans="1:57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580"/>
      <c r="P56" s="580"/>
      <c r="Q56" s="580"/>
      <c r="R56" s="580"/>
      <c r="S56" s="580"/>
      <c r="T56" s="580"/>
      <c r="U56" s="580"/>
      <c r="V56" s="580"/>
      <c r="W56" s="580"/>
      <c r="X56" s="580"/>
      <c r="Y56" s="580"/>
      <c r="Z56" s="580"/>
      <c r="AA56" s="580"/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/>
      <c r="AO56" s="580"/>
      <c r="AP56" s="580"/>
      <c r="AQ56" s="580"/>
      <c r="AR56" s="580"/>
      <c r="AS56" s="580"/>
      <c r="AT56" s="580"/>
      <c r="AU56" s="580"/>
      <c r="AV56" s="580"/>
      <c r="AW56" s="580"/>
      <c r="AX56" s="580"/>
      <c r="AY56" s="580"/>
      <c r="AZ56" s="580"/>
      <c r="BA56" s="580"/>
      <c r="BB56" s="580"/>
      <c r="BC56" s="580"/>
      <c r="BD56" s="580"/>
      <c r="BE56" s="580"/>
    </row>
    <row r="57" spans="1:57">
      <c r="A57" s="580"/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  <c r="M57" s="580"/>
      <c r="N57" s="580"/>
      <c r="O57" s="580"/>
      <c r="P57" s="580"/>
      <c r="Q57" s="580"/>
      <c r="R57" s="580"/>
      <c r="S57" s="580"/>
      <c r="T57" s="580"/>
      <c r="U57" s="580"/>
      <c r="V57" s="580"/>
      <c r="W57" s="580"/>
      <c r="X57" s="580"/>
      <c r="Y57" s="580"/>
      <c r="Z57" s="580"/>
      <c r="AA57" s="580"/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/>
      <c r="AO57" s="580"/>
      <c r="AP57" s="580"/>
      <c r="AQ57" s="580"/>
      <c r="AR57" s="580"/>
      <c r="AS57" s="580"/>
      <c r="AT57" s="580"/>
      <c r="AU57" s="580"/>
      <c r="AV57" s="580"/>
      <c r="AW57" s="580"/>
      <c r="AX57" s="580"/>
      <c r="AY57" s="580"/>
      <c r="AZ57" s="580"/>
      <c r="BA57" s="580"/>
      <c r="BB57" s="580"/>
      <c r="BC57" s="580"/>
      <c r="BD57" s="580"/>
      <c r="BE57" s="580"/>
    </row>
    <row r="58" spans="1:57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  <c r="M58" s="580"/>
      <c r="N58" s="580"/>
      <c r="O58" s="580"/>
      <c r="P58" s="580"/>
      <c r="Q58" s="580"/>
      <c r="R58" s="580"/>
      <c r="S58" s="580"/>
      <c r="T58" s="580"/>
      <c r="U58" s="580"/>
      <c r="V58" s="580"/>
      <c r="W58" s="580"/>
      <c r="X58" s="580"/>
      <c r="Y58" s="580"/>
      <c r="Z58" s="580"/>
      <c r="AA58" s="580"/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/>
      <c r="AO58" s="580"/>
      <c r="AP58" s="580"/>
      <c r="AQ58" s="580"/>
      <c r="AR58" s="580"/>
      <c r="AS58" s="580"/>
      <c r="AT58" s="580"/>
      <c r="AU58" s="580"/>
      <c r="AV58" s="580"/>
      <c r="AW58" s="580"/>
      <c r="AX58" s="580"/>
      <c r="AY58" s="580"/>
      <c r="AZ58" s="580"/>
      <c r="BA58" s="580"/>
      <c r="BB58" s="580"/>
      <c r="BC58" s="580"/>
      <c r="BD58" s="580"/>
      <c r="BE58" s="580"/>
    </row>
    <row r="59" spans="1:57">
      <c r="A59" s="580"/>
      <c r="B59" s="580"/>
      <c r="C59" s="580"/>
      <c r="D59" s="580"/>
      <c r="E59" s="580"/>
      <c r="F59" s="580"/>
      <c r="G59" s="580"/>
      <c r="H59" s="580"/>
      <c r="I59" s="580"/>
      <c r="J59" s="580"/>
      <c r="K59" s="580"/>
      <c r="L59" s="580"/>
      <c r="M59" s="580"/>
      <c r="N59" s="580"/>
      <c r="O59" s="580"/>
      <c r="P59" s="580"/>
      <c r="Q59" s="580"/>
      <c r="R59" s="580"/>
      <c r="S59" s="580"/>
      <c r="T59" s="580"/>
      <c r="U59" s="580"/>
      <c r="V59" s="580"/>
      <c r="W59" s="580"/>
      <c r="X59" s="580"/>
      <c r="Y59" s="580"/>
      <c r="Z59" s="580"/>
      <c r="AA59" s="580"/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/>
      <c r="AO59" s="580"/>
      <c r="AP59" s="580"/>
      <c r="AQ59" s="580"/>
      <c r="AR59" s="580"/>
      <c r="AS59" s="580"/>
      <c r="AT59" s="580"/>
      <c r="AU59" s="580"/>
      <c r="AV59" s="580"/>
      <c r="AW59" s="580"/>
      <c r="AX59" s="580"/>
      <c r="AY59" s="580"/>
      <c r="AZ59" s="580"/>
      <c r="BA59" s="580"/>
      <c r="BB59" s="580"/>
      <c r="BC59" s="580"/>
      <c r="BD59" s="580"/>
      <c r="BE59" s="580"/>
    </row>
    <row r="60" spans="1:57">
      <c r="A60" s="580"/>
      <c r="B60" s="580"/>
      <c r="C60" s="580"/>
      <c r="D60" s="580"/>
      <c r="E60" s="580"/>
      <c r="F60" s="580"/>
      <c r="G60" s="580"/>
      <c r="H60" s="580"/>
      <c r="I60" s="580"/>
      <c r="J60" s="580"/>
      <c r="K60" s="580"/>
      <c r="L60" s="580"/>
      <c r="M60" s="580"/>
      <c r="N60" s="580"/>
      <c r="O60" s="580"/>
      <c r="P60" s="580"/>
      <c r="Q60" s="580"/>
      <c r="R60" s="580"/>
      <c r="S60" s="580"/>
      <c r="T60" s="580"/>
      <c r="U60" s="580"/>
      <c r="V60" s="580"/>
      <c r="W60" s="580"/>
      <c r="X60" s="580"/>
      <c r="Y60" s="580"/>
      <c r="Z60" s="580"/>
      <c r="AA60" s="580"/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/>
      <c r="AO60" s="580"/>
      <c r="AP60" s="580"/>
      <c r="AQ60" s="580"/>
      <c r="AR60" s="580"/>
      <c r="AS60" s="580"/>
      <c r="AT60" s="580"/>
      <c r="AU60" s="580"/>
      <c r="AV60" s="580"/>
      <c r="AW60" s="580"/>
      <c r="AX60" s="580"/>
      <c r="AY60" s="580"/>
      <c r="AZ60" s="580"/>
      <c r="BA60" s="580"/>
      <c r="BB60" s="580"/>
      <c r="BC60" s="580"/>
      <c r="BD60" s="580"/>
      <c r="BE60" s="580"/>
    </row>
    <row r="61" spans="1:57">
      <c r="A61" s="580"/>
      <c r="B61" s="580"/>
      <c r="C61" s="580"/>
      <c r="D61" s="580"/>
      <c r="E61" s="580"/>
      <c r="F61" s="580"/>
      <c r="G61" s="580"/>
      <c r="H61" s="580"/>
      <c r="I61" s="580"/>
      <c r="J61" s="580"/>
      <c r="K61" s="580"/>
      <c r="L61" s="580"/>
      <c r="M61" s="580"/>
      <c r="N61" s="580"/>
      <c r="O61" s="580"/>
      <c r="P61" s="580"/>
      <c r="Q61" s="580"/>
      <c r="R61" s="580"/>
      <c r="S61" s="580"/>
      <c r="T61" s="580"/>
      <c r="U61" s="580"/>
      <c r="V61" s="580"/>
      <c r="W61" s="580"/>
      <c r="X61" s="580"/>
      <c r="Y61" s="580"/>
      <c r="Z61" s="580"/>
      <c r="AA61" s="580"/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/>
      <c r="AO61" s="580"/>
      <c r="AP61" s="580"/>
      <c r="AQ61" s="580"/>
      <c r="AR61" s="580"/>
      <c r="AS61" s="580"/>
      <c r="AT61" s="580"/>
      <c r="AU61" s="580"/>
      <c r="AV61" s="580"/>
      <c r="AW61" s="580"/>
      <c r="AX61" s="580"/>
      <c r="AY61" s="580"/>
      <c r="AZ61" s="580"/>
      <c r="BA61" s="580"/>
      <c r="BB61" s="580"/>
      <c r="BC61" s="580"/>
      <c r="BD61" s="580"/>
      <c r="BE61" s="580"/>
    </row>
    <row r="62" spans="1:57">
      <c r="A62" s="580"/>
      <c r="B62" s="580"/>
      <c r="C62" s="580"/>
      <c r="D62" s="580"/>
      <c r="E62" s="580"/>
      <c r="F62" s="580"/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580"/>
      <c r="R62" s="580"/>
      <c r="S62" s="580"/>
      <c r="T62" s="580"/>
      <c r="U62" s="580"/>
      <c r="V62" s="580"/>
      <c r="W62" s="580"/>
      <c r="X62" s="580"/>
      <c r="Y62" s="580"/>
      <c r="Z62" s="580"/>
      <c r="AA62" s="580"/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/>
      <c r="AO62" s="580"/>
      <c r="AP62" s="580"/>
      <c r="AQ62" s="580"/>
      <c r="AR62" s="580"/>
      <c r="AS62" s="580"/>
      <c r="AT62" s="580"/>
      <c r="AU62" s="580"/>
      <c r="AV62" s="580"/>
      <c r="AW62" s="580"/>
      <c r="AX62" s="580"/>
      <c r="AY62" s="580"/>
      <c r="AZ62" s="580"/>
      <c r="BA62" s="580"/>
      <c r="BB62" s="580"/>
      <c r="BC62" s="580"/>
      <c r="BD62" s="580"/>
      <c r="BE62" s="580"/>
    </row>
    <row r="63" spans="1:57">
      <c r="A63" s="580"/>
      <c r="B63" s="580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0"/>
      <c r="AO63" s="580"/>
      <c r="AP63" s="580"/>
      <c r="AQ63" s="580"/>
      <c r="AR63" s="580"/>
      <c r="AS63" s="580"/>
      <c r="AT63" s="580"/>
      <c r="AU63" s="580"/>
      <c r="AV63" s="580"/>
      <c r="AW63" s="580"/>
      <c r="AX63" s="580"/>
      <c r="AY63" s="580"/>
      <c r="AZ63" s="580"/>
      <c r="BA63" s="580"/>
      <c r="BB63" s="580"/>
      <c r="BC63" s="580"/>
      <c r="BD63" s="580"/>
      <c r="BE63" s="580"/>
    </row>
    <row r="64" spans="1:57">
      <c r="A64" s="580"/>
      <c r="B64" s="580"/>
      <c r="C64" s="580"/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/>
      <c r="AO64" s="580"/>
      <c r="AP64" s="580"/>
      <c r="AQ64" s="580"/>
      <c r="AR64" s="580"/>
      <c r="AS64" s="580"/>
      <c r="AT64" s="580"/>
      <c r="AU64" s="580"/>
      <c r="AV64" s="580"/>
      <c r="AW64" s="580"/>
      <c r="AX64" s="580"/>
      <c r="AY64" s="580"/>
      <c r="AZ64" s="580"/>
      <c r="BA64" s="580"/>
      <c r="BB64" s="580"/>
      <c r="BC64" s="580"/>
      <c r="BD64" s="580"/>
      <c r="BE64" s="580"/>
    </row>
    <row r="65" spans="1:57">
      <c r="A65" s="580"/>
      <c r="B65" s="580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  <c r="X65" s="580"/>
      <c r="Y65" s="580"/>
      <c r="Z65" s="580"/>
      <c r="AA65" s="580"/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0"/>
      <c r="AO65" s="580"/>
      <c r="AP65" s="580"/>
      <c r="AQ65" s="580"/>
      <c r="AR65" s="580"/>
      <c r="AS65" s="580"/>
      <c r="AT65" s="580"/>
      <c r="AU65" s="580"/>
      <c r="AV65" s="580"/>
      <c r="AW65" s="580"/>
      <c r="AX65" s="580"/>
      <c r="AY65" s="580"/>
      <c r="AZ65" s="580"/>
      <c r="BA65" s="580"/>
      <c r="BB65" s="580"/>
      <c r="BC65" s="580"/>
      <c r="BD65" s="580"/>
      <c r="BE65" s="580"/>
    </row>
    <row r="66" spans="1:57">
      <c r="A66" s="580"/>
      <c r="B66" s="580"/>
      <c r="C66" s="580"/>
      <c r="D66" s="580"/>
      <c r="E66" s="580"/>
      <c r="F66" s="580"/>
      <c r="G66" s="580"/>
      <c r="H66" s="580"/>
      <c r="I66" s="580"/>
      <c r="J66" s="580"/>
      <c r="K66" s="580"/>
      <c r="L66" s="580"/>
      <c r="M66" s="580"/>
      <c r="N66" s="580"/>
      <c r="O66" s="580"/>
      <c r="P66" s="580"/>
      <c r="Q66" s="580"/>
      <c r="R66" s="580"/>
      <c r="S66" s="580"/>
      <c r="T66" s="580"/>
      <c r="U66" s="580"/>
      <c r="V66" s="580"/>
      <c r="W66" s="580"/>
      <c r="X66" s="580"/>
      <c r="Y66" s="580"/>
      <c r="Z66" s="580"/>
      <c r="AA66" s="580"/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/>
      <c r="AO66" s="580"/>
      <c r="AP66" s="580"/>
      <c r="AQ66" s="580"/>
      <c r="AR66" s="580"/>
      <c r="AS66" s="580"/>
      <c r="AT66" s="580"/>
      <c r="AU66" s="580"/>
      <c r="AV66" s="580"/>
      <c r="AW66" s="580"/>
      <c r="AX66" s="580"/>
      <c r="AY66" s="580"/>
      <c r="AZ66" s="580"/>
      <c r="BA66" s="580"/>
      <c r="BB66" s="580"/>
      <c r="BC66" s="580"/>
      <c r="BD66" s="580"/>
      <c r="BE66" s="580"/>
    </row>
    <row r="67" spans="1:57">
      <c r="A67" s="580"/>
      <c r="B67" s="580"/>
      <c r="C67" s="580"/>
      <c r="D67" s="580"/>
      <c r="E67" s="580"/>
      <c r="F67" s="580"/>
      <c r="G67" s="580"/>
      <c r="H67" s="580"/>
      <c r="I67" s="580"/>
      <c r="J67" s="580"/>
      <c r="K67" s="580"/>
      <c r="L67" s="580"/>
      <c r="M67" s="580"/>
      <c r="N67" s="580"/>
      <c r="O67" s="580"/>
      <c r="P67" s="580"/>
      <c r="Q67" s="580"/>
      <c r="R67" s="580"/>
      <c r="S67" s="580"/>
      <c r="T67" s="580"/>
      <c r="U67" s="580"/>
      <c r="V67" s="580"/>
      <c r="W67" s="580"/>
      <c r="X67" s="580"/>
      <c r="Y67" s="580"/>
      <c r="Z67" s="580"/>
      <c r="AA67" s="580"/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/>
      <c r="AO67" s="580"/>
      <c r="AP67" s="580"/>
      <c r="AQ67" s="580"/>
      <c r="AR67" s="580"/>
      <c r="AS67" s="580"/>
      <c r="AT67" s="580"/>
      <c r="AU67" s="580"/>
      <c r="AV67" s="580"/>
      <c r="AW67" s="580"/>
      <c r="AX67" s="580"/>
      <c r="AY67" s="580"/>
      <c r="AZ67" s="580"/>
      <c r="BA67" s="580"/>
      <c r="BB67" s="580"/>
      <c r="BC67" s="580"/>
      <c r="BD67" s="580"/>
      <c r="BE67" s="580"/>
    </row>
    <row r="68" spans="1:57">
      <c r="A68" s="580"/>
      <c r="B68" s="580"/>
      <c r="C68" s="580"/>
      <c r="D68" s="580"/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0"/>
      <c r="Q68" s="580"/>
      <c r="R68" s="580"/>
      <c r="S68" s="580"/>
      <c r="T68" s="580"/>
      <c r="U68" s="580"/>
      <c r="V68" s="580"/>
      <c r="W68" s="580"/>
      <c r="X68" s="580"/>
      <c r="Y68" s="580"/>
      <c r="Z68" s="580"/>
      <c r="AA68" s="580"/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/>
      <c r="AO68" s="580"/>
      <c r="AP68" s="580"/>
      <c r="AQ68" s="580"/>
      <c r="AR68" s="580"/>
      <c r="AS68" s="580"/>
      <c r="AT68" s="580"/>
      <c r="AU68" s="580"/>
      <c r="AV68" s="580"/>
      <c r="AW68" s="580"/>
      <c r="AX68" s="580"/>
      <c r="AY68" s="580"/>
      <c r="AZ68" s="580"/>
      <c r="BA68" s="580"/>
      <c r="BB68" s="580"/>
      <c r="BC68" s="580"/>
      <c r="BD68" s="580"/>
      <c r="BE68" s="580"/>
    </row>
    <row r="69" spans="1:57">
      <c r="A69" s="580"/>
      <c r="B69" s="580"/>
      <c r="C69" s="580"/>
      <c r="D69" s="580"/>
      <c r="E69" s="580"/>
      <c r="F69" s="580"/>
      <c r="G69" s="580"/>
      <c r="H69" s="580"/>
      <c r="I69" s="580"/>
      <c r="J69" s="580"/>
      <c r="K69" s="580"/>
      <c r="L69" s="580"/>
      <c r="M69" s="580"/>
      <c r="N69" s="580"/>
      <c r="O69" s="580"/>
      <c r="P69" s="580"/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/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/>
      <c r="AO69" s="580"/>
      <c r="AP69" s="580"/>
      <c r="AQ69" s="580"/>
      <c r="AR69" s="580"/>
      <c r="AS69" s="580"/>
      <c r="AT69" s="580"/>
      <c r="AU69" s="580"/>
      <c r="AV69" s="580"/>
      <c r="AW69" s="580"/>
      <c r="AX69" s="580"/>
      <c r="AY69" s="580"/>
      <c r="AZ69" s="580"/>
      <c r="BA69" s="580"/>
      <c r="BB69" s="580"/>
      <c r="BC69" s="580"/>
      <c r="BD69" s="580"/>
      <c r="BE69" s="580"/>
    </row>
    <row r="70" spans="1:57">
      <c r="A70" s="580"/>
      <c r="B70" s="580"/>
      <c r="C70" s="580"/>
      <c r="D70" s="580"/>
      <c r="E70" s="580"/>
      <c r="F70" s="580"/>
      <c r="G70" s="580"/>
      <c r="H70" s="580"/>
      <c r="I70" s="580"/>
      <c r="J70" s="580"/>
      <c r="K70" s="580"/>
      <c r="L70" s="580"/>
      <c r="M70" s="580"/>
      <c r="N70" s="580"/>
      <c r="O70" s="580"/>
      <c r="P70" s="580"/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/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/>
      <c r="AO70" s="580"/>
      <c r="AP70" s="580"/>
      <c r="AQ70" s="580"/>
      <c r="AR70" s="580"/>
      <c r="AS70" s="580"/>
      <c r="AT70" s="580"/>
      <c r="AU70" s="580"/>
      <c r="AV70" s="580"/>
      <c r="AW70" s="580"/>
      <c r="AX70" s="580"/>
      <c r="AY70" s="580"/>
      <c r="AZ70" s="580"/>
      <c r="BA70" s="580"/>
      <c r="BB70" s="580"/>
      <c r="BC70" s="580"/>
      <c r="BD70" s="580"/>
      <c r="BE70" s="580"/>
    </row>
    <row r="71" spans="1:57">
      <c r="A71" s="580"/>
      <c r="B71" s="580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580"/>
      <c r="AQ71" s="580"/>
      <c r="AR71" s="580"/>
      <c r="AS71" s="580"/>
      <c r="AT71" s="580"/>
      <c r="AU71" s="580"/>
      <c r="AV71" s="580"/>
      <c r="AW71" s="580"/>
      <c r="AX71" s="580"/>
      <c r="AY71" s="580"/>
      <c r="AZ71" s="580"/>
      <c r="BA71" s="580"/>
      <c r="BB71" s="580"/>
      <c r="BC71" s="580"/>
      <c r="BD71" s="580"/>
      <c r="BE71" s="580"/>
    </row>
    <row r="72" spans="1:57">
      <c r="A72" s="580"/>
      <c r="B72" s="580"/>
      <c r="C72" s="580"/>
      <c r="D72" s="580"/>
      <c r="E72" s="580"/>
      <c r="F72" s="580"/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  <c r="AT72" s="580"/>
      <c r="AU72" s="580"/>
      <c r="AV72" s="580"/>
      <c r="AW72" s="580"/>
      <c r="AX72" s="580"/>
      <c r="AY72" s="580"/>
      <c r="AZ72" s="580"/>
      <c r="BA72" s="580"/>
      <c r="BB72" s="580"/>
      <c r="BC72" s="580"/>
      <c r="BD72" s="580"/>
      <c r="BE72" s="580"/>
    </row>
    <row r="73" spans="1:57">
      <c r="A73" s="580"/>
      <c r="B73" s="580"/>
      <c r="C73" s="580"/>
      <c r="D73" s="580"/>
      <c r="E73" s="580"/>
      <c r="F73" s="580"/>
      <c r="G73" s="580"/>
      <c r="H73" s="580"/>
      <c r="I73" s="580"/>
      <c r="J73" s="580"/>
      <c r="K73" s="580"/>
      <c r="L73" s="580"/>
      <c r="M73" s="580"/>
      <c r="N73" s="580"/>
      <c r="O73" s="580"/>
      <c r="P73" s="580"/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  <c r="AT73" s="580"/>
      <c r="AU73" s="580"/>
      <c r="AV73" s="580"/>
      <c r="AW73" s="580"/>
      <c r="AX73" s="580"/>
      <c r="AY73" s="580"/>
      <c r="AZ73" s="580"/>
      <c r="BA73" s="580"/>
      <c r="BB73" s="580"/>
      <c r="BC73" s="580"/>
      <c r="BD73" s="580"/>
      <c r="BE73" s="580"/>
    </row>
    <row r="74" spans="1:57">
      <c r="A74" s="580"/>
      <c r="B74" s="580"/>
      <c r="C74" s="580"/>
      <c r="D74" s="580"/>
      <c r="E74" s="580"/>
      <c r="F74" s="580"/>
      <c r="G74" s="580"/>
      <c r="H74" s="580"/>
      <c r="I74" s="580"/>
      <c r="J74" s="580"/>
      <c r="K74" s="580"/>
      <c r="L74" s="580"/>
      <c r="M74" s="580"/>
      <c r="N74" s="580"/>
      <c r="O74" s="580"/>
      <c r="P74" s="580"/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0"/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  <c r="AT74" s="580"/>
      <c r="AU74" s="580"/>
      <c r="AV74" s="580"/>
      <c r="AW74" s="580"/>
      <c r="AX74" s="580"/>
      <c r="AY74" s="580"/>
      <c r="AZ74" s="580"/>
      <c r="BA74" s="580"/>
      <c r="BB74" s="580"/>
      <c r="BC74" s="580"/>
      <c r="BD74" s="580"/>
      <c r="BE74" s="580"/>
    </row>
    <row r="75" spans="1:57">
      <c r="A75" s="580"/>
      <c r="B75" s="580"/>
      <c r="C75" s="580"/>
      <c r="D75" s="580"/>
      <c r="E75" s="580"/>
      <c r="F75" s="580"/>
      <c r="G75" s="580"/>
      <c r="H75" s="580"/>
      <c r="I75" s="580"/>
      <c r="J75" s="580"/>
      <c r="K75" s="580"/>
      <c r="L75" s="580"/>
      <c r="M75" s="580"/>
      <c r="N75" s="580"/>
      <c r="O75" s="580"/>
      <c r="P75" s="580"/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/>
      <c r="AB75" s="580"/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  <c r="AT75" s="580"/>
      <c r="AU75" s="580"/>
      <c r="AV75" s="580"/>
      <c r="AW75" s="580"/>
      <c r="AX75" s="580"/>
      <c r="AY75" s="580"/>
      <c r="AZ75" s="580"/>
      <c r="BA75" s="580"/>
      <c r="BB75" s="580"/>
      <c r="BC75" s="580"/>
      <c r="BD75" s="580"/>
      <c r="BE75" s="580"/>
    </row>
    <row r="76" spans="1:57">
      <c r="A76" s="580"/>
      <c r="B76" s="580"/>
      <c r="C76" s="580"/>
      <c r="D76" s="580"/>
      <c r="E76" s="580"/>
      <c r="F76" s="580"/>
      <c r="G76" s="580"/>
      <c r="H76" s="580"/>
      <c r="I76" s="580"/>
      <c r="J76" s="580"/>
      <c r="K76" s="580"/>
      <c r="L76" s="580"/>
      <c r="M76" s="580"/>
      <c r="N76" s="580"/>
      <c r="O76" s="580"/>
      <c r="P76" s="580"/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/>
      <c r="AB76" s="580"/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  <c r="AT76" s="580"/>
      <c r="AU76" s="580"/>
      <c r="AV76" s="580"/>
      <c r="AW76" s="580"/>
      <c r="AX76" s="580"/>
      <c r="AY76" s="580"/>
      <c r="AZ76" s="580"/>
      <c r="BA76" s="580"/>
      <c r="BB76" s="580"/>
      <c r="BC76" s="580"/>
      <c r="BD76" s="580"/>
      <c r="BE76" s="580"/>
    </row>
    <row r="77" spans="1:57">
      <c r="A77" s="580"/>
      <c r="B77" s="580"/>
      <c r="C77" s="580"/>
      <c r="D77" s="580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  <c r="AT77" s="580"/>
      <c r="AU77" s="580"/>
      <c r="AV77" s="580"/>
      <c r="AW77" s="580"/>
      <c r="AX77" s="580"/>
      <c r="AY77" s="580"/>
      <c r="AZ77" s="580"/>
      <c r="BA77" s="580"/>
      <c r="BB77" s="580"/>
      <c r="BC77" s="580"/>
      <c r="BD77" s="580"/>
      <c r="BE77" s="580"/>
    </row>
    <row r="78" spans="1:57">
      <c r="A78" s="580"/>
      <c r="B78" s="580"/>
      <c r="C78" s="580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580"/>
      <c r="O78" s="580"/>
      <c r="P78" s="580"/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  <c r="AT78" s="580"/>
      <c r="AU78" s="580"/>
      <c r="AV78" s="580"/>
      <c r="AW78" s="580"/>
      <c r="AX78" s="580"/>
      <c r="AY78" s="580"/>
      <c r="AZ78" s="580"/>
      <c r="BA78" s="580"/>
      <c r="BB78" s="580"/>
      <c r="BC78" s="580"/>
      <c r="BD78" s="580"/>
      <c r="BE78" s="580"/>
    </row>
    <row r="79" spans="1:57">
      <c r="A79" s="580"/>
      <c r="B79" s="580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/>
      <c r="AB79" s="580"/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  <c r="AT79" s="580"/>
      <c r="AU79" s="580"/>
      <c r="AV79" s="580"/>
      <c r="AW79" s="580"/>
      <c r="AX79" s="580"/>
      <c r="AY79" s="580"/>
      <c r="AZ79" s="580"/>
      <c r="BA79" s="580"/>
      <c r="BB79" s="580"/>
      <c r="BC79" s="580"/>
      <c r="BD79" s="580"/>
      <c r="BE79" s="580"/>
    </row>
    <row r="80" spans="1:57">
      <c r="A80" s="580"/>
      <c r="B80" s="580"/>
      <c r="C80" s="580"/>
      <c r="D80" s="580"/>
      <c r="E80" s="580"/>
      <c r="F80" s="580"/>
      <c r="G80" s="580"/>
      <c r="H80" s="580"/>
      <c r="I80" s="580"/>
      <c r="J80" s="580"/>
      <c r="K80" s="580"/>
      <c r="L80" s="580"/>
      <c r="M80" s="580"/>
      <c r="N80" s="580"/>
      <c r="O80" s="580"/>
      <c r="P80" s="580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/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  <c r="AT80" s="580"/>
      <c r="AU80" s="580"/>
      <c r="AV80" s="580"/>
      <c r="AW80" s="580"/>
      <c r="AX80" s="580"/>
      <c r="AY80" s="580"/>
      <c r="AZ80" s="580"/>
      <c r="BA80" s="580"/>
      <c r="BB80" s="580"/>
      <c r="BC80" s="580"/>
      <c r="BD80" s="580"/>
      <c r="BE80" s="580"/>
    </row>
    <row r="81" spans="1:57">
      <c r="A81" s="580"/>
      <c r="B81" s="580"/>
      <c r="C81" s="580"/>
      <c r="D81" s="580"/>
      <c r="E81" s="580"/>
      <c r="F81" s="580"/>
      <c r="G81" s="580"/>
      <c r="H81" s="580"/>
      <c r="I81" s="580"/>
      <c r="J81" s="580"/>
      <c r="K81" s="580"/>
      <c r="L81" s="580"/>
      <c r="M81" s="580"/>
      <c r="N81" s="580"/>
      <c r="O81" s="580"/>
      <c r="P81" s="580"/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/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  <c r="AT81" s="580"/>
      <c r="AU81" s="580"/>
      <c r="AV81" s="580"/>
      <c r="AW81" s="580"/>
      <c r="AX81" s="580"/>
      <c r="AY81" s="580"/>
      <c r="AZ81" s="580"/>
      <c r="BA81" s="580"/>
      <c r="BB81" s="580"/>
      <c r="BC81" s="580"/>
      <c r="BD81" s="580"/>
      <c r="BE81" s="580"/>
    </row>
    <row r="82" spans="1:57">
      <c r="A82" s="580"/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  <c r="W82" s="580"/>
      <c r="X82" s="580"/>
      <c r="Y82" s="580"/>
      <c r="Z82" s="580"/>
      <c r="AA82" s="580"/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  <c r="AT82" s="580"/>
      <c r="AU82" s="580"/>
      <c r="AV82" s="580"/>
      <c r="AW82" s="580"/>
      <c r="AX82" s="580"/>
      <c r="AY82" s="580"/>
      <c r="AZ82" s="580"/>
      <c r="BA82" s="580"/>
      <c r="BB82" s="580"/>
      <c r="BC82" s="580"/>
      <c r="BD82" s="580"/>
      <c r="BE82" s="580"/>
    </row>
    <row r="83" spans="1:57">
      <c r="A83" s="580"/>
      <c r="B83" s="580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580"/>
      <c r="O83" s="580"/>
      <c r="P83" s="580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/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  <c r="AT83" s="580"/>
      <c r="AU83" s="580"/>
      <c r="AV83" s="580"/>
      <c r="AW83" s="580"/>
      <c r="AX83" s="580"/>
      <c r="AY83" s="580"/>
      <c r="AZ83" s="580"/>
      <c r="BA83" s="580"/>
      <c r="BB83" s="580"/>
      <c r="BC83" s="580"/>
      <c r="BD83" s="580"/>
      <c r="BE83" s="580"/>
    </row>
    <row r="84" spans="1:57">
      <c r="A84" s="580"/>
      <c r="B84" s="580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580"/>
      <c r="O84" s="580"/>
      <c r="P84" s="580"/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/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  <c r="AT84" s="580"/>
      <c r="AU84" s="580"/>
      <c r="AV84" s="580"/>
      <c r="AW84" s="580"/>
      <c r="AX84" s="580"/>
      <c r="AY84" s="580"/>
      <c r="AZ84" s="580"/>
      <c r="BA84" s="580"/>
      <c r="BB84" s="580"/>
      <c r="BC84" s="580"/>
      <c r="BD84" s="580"/>
      <c r="BE84" s="580"/>
    </row>
    <row r="85" spans="1:57">
      <c r="A85" s="580"/>
      <c r="B85" s="580"/>
      <c r="C85" s="580"/>
      <c r="D85" s="580"/>
      <c r="E85" s="580"/>
      <c r="F85" s="580"/>
      <c r="G85" s="580"/>
      <c r="H85" s="580"/>
      <c r="I85" s="580"/>
      <c r="J85" s="580"/>
      <c r="K85" s="580"/>
      <c r="L85" s="580"/>
      <c r="M85" s="580"/>
      <c r="N85" s="580"/>
      <c r="O85" s="580"/>
      <c r="P85" s="580"/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/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  <c r="AT85" s="580"/>
      <c r="AU85" s="580"/>
      <c r="AV85" s="580"/>
      <c r="AW85" s="580"/>
      <c r="AX85" s="580"/>
      <c r="AY85" s="580"/>
      <c r="AZ85" s="580"/>
      <c r="BA85" s="580"/>
      <c r="BB85" s="580"/>
      <c r="BC85" s="580"/>
      <c r="BD85" s="580"/>
      <c r="BE85" s="580"/>
    </row>
    <row r="86" spans="1:57">
      <c r="A86" s="580"/>
      <c r="B86" s="580"/>
      <c r="C86" s="580"/>
      <c r="D86" s="580"/>
      <c r="E86" s="580"/>
      <c r="F86" s="580"/>
      <c r="G86" s="580"/>
      <c r="H86" s="580"/>
      <c r="I86" s="580"/>
      <c r="J86" s="580"/>
      <c r="K86" s="580"/>
      <c r="L86" s="580"/>
      <c r="M86" s="580"/>
      <c r="N86" s="580"/>
      <c r="O86" s="580"/>
      <c r="P86" s="580"/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/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  <c r="AT86" s="580"/>
      <c r="AU86" s="580"/>
      <c r="AV86" s="580"/>
      <c r="AW86" s="580"/>
      <c r="AX86" s="580"/>
      <c r="AY86" s="580"/>
      <c r="AZ86" s="580"/>
      <c r="BA86" s="580"/>
      <c r="BB86" s="580"/>
      <c r="BC86" s="580"/>
      <c r="BD86" s="580"/>
      <c r="BE86" s="580"/>
    </row>
    <row r="87" spans="1:57">
      <c r="A87" s="580"/>
      <c r="B87" s="580"/>
      <c r="C87" s="580"/>
      <c r="D87" s="580"/>
      <c r="E87" s="580"/>
      <c r="F87" s="580"/>
      <c r="G87" s="580"/>
      <c r="H87" s="580"/>
      <c r="I87" s="580"/>
      <c r="J87" s="580"/>
      <c r="K87" s="580"/>
      <c r="L87" s="580"/>
      <c r="M87" s="580"/>
      <c r="N87" s="580"/>
      <c r="O87" s="580"/>
      <c r="P87" s="580"/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/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  <c r="AT87" s="580"/>
      <c r="AU87" s="580"/>
      <c r="AV87" s="580"/>
      <c r="AW87" s="580"/>
      <c r="AX87" s="580"/>
      <c r="AY87" s="580"/>
      <c r="AZ87" s="580"/>
      <c r="BA87" s="580"/>
      <c r="BB87" s="580"/>
      <c r="BC87" s="580"/>
      <c r="BD87" s="580"/>
      <c r="BE87" s="580"/>
    </row>
    <row r="88" spans="1:57">
      <c r="A88" s="580"/>
      <c r="B88" s="580"/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/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  <c r="AT88" s="580"/>
      <c r="AU88" s="580"/>
      <c r="AV88" s="580"/>
      <c r="AW88" s="580"/>
      <c r="AX88" s="580"/>
      <c r="AY88" s="580"/>
      <c r="AZ88" s="580"/>
      <c r="BA88" s="580"/>
      <c r="BB88" s="580"/>
      <c r="BC88" s="580"/>
      <c r="BD88" s="580"/>
      <c r="BE88" s="580"/>
    </row>
    <row r="89" spans="1:57">
      <c r="A89" s="580"/>
      <c r="B89" s="580"/>
      <c r="C89" s="580"/>
      <c r="D89" s="580"/>
      <c r="E89" s="580"/>
      <c r="F89" s="580"/>
      <c r="G89" s="580"/>
      <c r="H89" s="580"/>
      <c r="I89" s="580"/>
      <c r="J89" s="580"/>
      <c r="K89" s="580"/>
      <c r="L89" s="580"/>
      <c r="M89" s="580"/>
      <c r="N89" s="580"/>
      <c r="O89" s="580"/>
      <c r="P89" s="580"/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/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580"/>
      <c r="AQ89" s="580"/>
      <c r="AR89" s="580"/>
      <c r="AS89" s="580"/>
      <c r="AT89" s="580"/>
      <c r="AU89" s="580"/>
      <c r="AV89" s="580"/>
      <c r="AW89" s="580"/>
      <c r="AX89" s="580"/>
      <c r="AY89" s="580"/>
      <c r="AZ89" s="580"/>
      <c r="BA89" s="580"/>
      <c r="BB89" s="580"/>
      <c r="BC89" s="580"/>
      <c r="BD89" s="580"/>
      <c r="BE89" s="580"/>
    </row>
    <row r="90" spans="1:57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/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580"/>
      <c r="AQ90" s="580"/>
      <c r="AR90" s="580"/>
      <c r="AS90" s="580"/>
      <c r="AT90" s="580"/>
      <c r="AU90" s="580"/>
      <c r="AV90" s="580"/>
      <c r="AW90" s="580"/>
      <c r="AX90" s="580"/>
      <c r="AY90" s="580"/>
      <c r="AZ90" s="580"/>
      <c r="BA90" s="580"/>
      <c r="BB90" s="580"/>
      <c r="BC90" s="580"/>
      <c r="BD90" s="580"/>
      <c r="BE90" s="580"/>
    </row>
    <row r="91" spans="1:57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/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580"/>
      <c r="AQ91" s="580"/>
      <c r="AR91" s="580"/>
      <c r="AS91" s="580"/>
      <c r="AT91" s="580"/>
      <c r="AU91" s="580"/>
      <c r="AV91" s="580"/>
      <c r="AW91" s="580"/>
      <c r="AX91" s="580"/>
      <c r="AY91" s="580"/>
      <c r="AZ91" s="580"/>
      <c r="BA91" s="580"/>
      <c r="BB91" s="580"/>
      <c r="BC91" s="580"/>
      <c r="BD91" s="580"/>
      <c r="BE91" s="580"/>
    </row>
    <row r="92" spans="1:57">
      <c r="A92" s="580"/>
      <c r="B92" s="580"/>
      <c r="C92" s="580"/>
      <c r="D92" s="580"/>
      <c r="E92" s="580"/>
      <c r="F92" s="580"/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/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580"/>
      <c r="AQ92" s="580"/>
      <c r="AR92" s="580"/>
      <c r="AS92" s="580"/>
      <c r="AT92" s="580"/>
      <c r="AU92" s="580"/>
      <c r="AV92" s="580"/>
      <c r="AW92" s="580"/>
      <c r="AX92" s="580"/>
      <c r="AY92" s="580"/>
      <c r="AZ92" s="580"/>
      <c r="BA92" s="580"/>
      <c r="BB92" s="580"/>
      <c r="BC92" s="580"/>
      <c r="BD92" s="580"/>
      <c r="BE92" s="580"/>
    </row>
    <row r="93" spans="1:57">
      <c r="A93" s="580"/>
      <c r="B93" s="580"/>
      <c r="C93" s="580"/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/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580"/>
      <c r="AQ93" s="580"/>
      <c r="AR93" s="580"/>
      <c r="AS93" s="580"/>
      <c r="AT93" s="580"/>
      <c r="AU93" s="580"/>
      <c r="AV93" s="580"/>
      <c r="AW93" s="580"/>
      <c r="AX93" s="580"/>
      <c r="AY93" s="580"/>
      <c r="AZ93" s="580"/>
      <c r="BA93" s="580"/>
      <c r="BB93" s="580"/>
      <c r="BC93" s="580"/>
      <c r="BD93" s="580"/>
      <c r="BE93" s="580"/>
    </row>
    <row r="94" spans="1:57">
      <c r="A94" s="580"/>
      <c r="B94" s="580"/>
      <c r="C94" s="580"/>
      <c r="D94" s="580"/>
      <c r="E94" s="580"/>
      <c r="F94" s="580"/>
      <c r="G94" s="580"/>
      <c r="H94" s="580"/>
      <c r="I94" s="580"/>
      <c r="J94" s="580"/>
      <c r="K94" s="580"/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/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580"/>
      <c r="AQ94" s="580"/>
      <c r="AR94" s="580"/>
      <c r="AS94" s="580"/>
      <c r="AT94" s="580"/>
      <c r="AU94" s="580"/>
      <c r="AV94" s="580"/>
      <c r="AW94" s="580"/>
      <c r="AX94" s="580"/>
      <c r="AY94" s="580"/>
      <c r="AZ94" s="580"/>
      <c r="BA94" s="580"/>
      <c r="BB94" s="580"/>
      <c r="BC94" s="580"/>
      <c r="BD94" s="580"/>
      <c r="BE94" s="580"/>
    </row>
    <row r="95" spans="1:57">
      <c r="A95" s="580"/>
      <c r="B95" s="580"/>
      <c r="C95" s="580"/>
      <c r="D95" s="580"/>
      <c r="E95" s="580"/>
      <c r="F95" s="580"/>
      <c r="G95" s="580"/>
      <c r="H95" s="580"/>
      <c r="I95" s="580"/>
      <c r="J95" s="580"/>
      <c r="K95" s="580"/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580"/>
      <c r="AQ95" s="580"/>
      <c r="AR95" s="580"/>
      <c r="AS95" s="580"/>
      <c r="AT95" s="580"/>
      <c r="AU95" s="580"/>
      <c r="AV95" s="580"/>
      <c r="AW95" s="580"/>
      <c r="AX95" s="580"/>
      <c r="AY95" s="580"/>
      <c r="AZ95" s="580"/>
      <c r="BA95" s="580"/>
      <c r="BB95" s="580"/>
      <c r="BC95" s="580"/>
      <c r="BD95" s="580"/>
      <c r="BE95" s="580"/>
    </row>
    <row r="96" spans="1:57">
      <c r="A96" s="580"/>
      <c r="B96" s="580"/>
      <c r="C96" s="580"/>
      <c r="D96" s="580"/>
      <c r="E96" s="580"/>
      <c r="F96" s="580"/>
      <c r="G96" s="580"/>
      <c r="H96" s="580"/>
      <c r="I96" s="580"/>
      <c r="J96" s="580"/>
      <c r="K96" s="580"/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/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580"/>
      <c r="AQ96" s="580"/>
      <c r="AR96" s="580"/>
      <c r="AS96" s="580"/>
      <c r="AT96" s="580"/>
      <c r="AU96" s="580"/>
      <c r="AV96" s="580"/>
      <c r="AW96" s="580"/>
      <c r="AX96" s="580"/>
      <c r="AY96" s="580"/>
      <c r="AZ96" s="580"/>
      <c r="BA96" s="580"/>
      <c r="BB96" s="580"/>
      <c r="BC96" s="580"/>
      <c r="BD96" s="580"/>
      <c r="BE96" s="580"/>
    </row>
    <row r="97" spans="1:57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/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/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580"/>
      <c r="AQ97" s="580"/>
      <c r="AR97" s="580"/>
      <c r="AS97" s="580"/>
      <c r="AT97" s="580"/>
      <c r="AU97" s="580"/>
      <c r="AV97" s="580"/>
      <c r="AW97" s="580"/>
      <c r="AX97" s="580"/>
      <c r="AY97" s="580"/>
      <c r="AZ97" s="580"/>
      <c r="BA97" s="580"/>
      <c r="BB97" s="580"/>
      <c r="BC97" s="580"/>
      <c r="BD97" s="580"/>
      <c r="BE97" s="580"/>
    </row>
    <row r="98" spans="1:57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/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580"/>
      <c r="AQ98" s="580"/>
      <c r="AR98" s="580"/>
      <c r="AS98" s="580"/>
      <c r="AT98" s="580"/>
      <c r="AU98" s="580"/>
      <c r="AV98" s="580"/>
      <c r="AW98" s="580"/>
      <c r="AX98" s="580"/>
      <c r="AY98" s="580"/>
      <c r="AZ98" s="580"/>
      <c r="BA98" s="580"/>
      <c r="BB98" s="580"/>
      <c r="BC98" s="580"/>
      <c r="BD98" s="580"/>
      <c r="BE98" s="580"/>
    </row>
    <row r="99" spans="1:57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580"/>
      <c r="AQ99" s="580"/>
      <c r="AR99" s="580"/>
      <c r="AS99" s="580"/>
      <c r="AT99" s="580"/>
      <c r="AU99" s="580"/>
      <c r="AV99" s="580"/>
      <c r="AW99" s="580"/>
      <c r="AX99" s="580"/>
      <c r="AY99" s="580"/>
      <c r="AZ99" s="580"/>
      <c r="BA99" s="580"/>
      <c r="BB99" s="580"/>
      <c r="BC99" s="580"/>
      <c r="BD99" s="580"/>
      <c r="BE99" s="580"/>
    </row>
    <row r="100" spans="1:57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/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580"/>
      <c r="AQ100" s="580"/>
      <c r="AR100" s="580"/>
      <c r="AS100" s="580"/>
      <c r="AT100" s="580"/>
      <c r="AU100" s="580"/>
      <c r="AV100" s="580"/>
      <c r="AW100" s="580"/>
      <c r="AX100" s="580"/>
      <c r="AY100" s="580"/>
      <c r="AZ100" s="580"/>
      <c r="BA100" s="580"/>
      <c r="BB100" s="580"/>
      <c r="BC100" s="580"/>
      <c r="BD100" s="580"/>
      <c r="BE100" s="580"/>
    </row>
    <row r="101" spans="1:57">
      <c r="A101" s="580"/>
      <c r="B101" s="580"/>
      <c r="C101" s="580"/>
      <c r="D101" s="580"/>
      <c r="E101" s="580"/>
      <c r="F101" s="580"/>
      <c r="G101" s="580"/>
      <c r="H101" s="580"/>
      <c r="I101" s="580"/>
      <c r="J101" s="580"/>
      <c r="K101" s="580"/>
      <c r="L101" s="580"/>
      <c r="M101" s="580"/>
      <c r="N101" s="580"/>
      <c r="O101" s="580"/>
      <c r="P101" s="580"/>
      <c r="Q101" s="580"/>
      <c r="R101" s="580"/>
      <c r="S101" s="580"/>
      <c r="T101" s="580"/>
      <c r="U101" s="580"/>
      <c r="V101" s="580"/>
      <c r="W101" s="580"/>
      <c r="X101" s="580"/>
      <c r="Y101" s="580"/>
      <c r="Z101" s="580"/>
      <c r="AA101" s="580"/>
      <c r="AB101" s="580"/>
      <c r="AC101" s="580"/>
      <c r="AD101" s="580"/>
      <c r="AE101" s="580"/>
      <c r="AF101" s="580"/>
      <c r="AG101" s="580"/>
      <c r="AH101" s="580"/>
      <c r="AI101" s="580"/>
      <c r="AJ101" s="580"/>
      <c r="AK101" s="580"/>
      <c r="AL101" s="580"/>
      <c r="AM101" s="580"/>
      <c r="AN101" s="580"/>
      <c r="AO101" s="580"/>
      <c r="AP101" s="580"/>
      <c r="AQ101" s="580"/>
      <c r="AR101" s="580"/>
      <c r="AS101" s="580"/>
      <c r="AT101" s="580"/>
      <c r="AU101" s="580"/>
      <c r="AV101" s="580"/>
      <c r="AW101" s="580"/>
      <c r="AX101" s="580"/>
      <c r="AY101" s="580"/>
      <c r="AZ101" s="580"/>
      <c r="BA101" s="580"/>
      <c r="BB101" s="580"/>
      <c r="BC101" s="580"/>
      <c r="BD101" s="580"/>
      <c r="BE101" s="580"/>
    </row>
    <row r="102" spans="1:57">
      <c r="A102" s="580"/>
      <c r="B102" s="580"/>
      <c r="C102" s="580"/>
      <c r="D102" s="580"/>
      <c r="E102" s="580"/>
      <c r="F102" s="580"/>
      <c r="G102" s="580"/>
      <c r="H102" s="580"/>
      <c r="I102" s="580"/>
      <c r="J102" s="580"/>
      <c r="K102" s="580"/>
      <c r="L102" s="580"/>
      <c r="M102" s="580"/>
      <c r="N102" s="580"/>
      <c r="O102" s="580"/>
      <c r="P102" s="580"/>
      <c r="Q102" s="580"/>
      <c r="R102" s="580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0"/>
      <c r="AD102" s="580"/>
      <c r="AE102" s="580"/>
      <c r="AF102" s="580"/>
      <c r="AG102" s="580"/>
      <c r="AH102" s="580"/>
      <c r="AI102" s="580"/>
      <c r="AJ102" s="580"/>
      <c r="AK102" s="580"/>
      <c r="AL102" s="580"/>
      <c r="AM102" s="580"/>
      <c r="AN102" s="580"/>
      <c r="AO102" s="580"/>
      <c r="AP102" s="580"/>
      <c r="AQ102" s="580"/>
      <c r="AR102" s="580"/>
      <c r="AS102" s="580"/>
      <c r="AT102" s="580"/>
      <c r="AU102" s="580"/>
      <c r="AV102" s="580"/>
      <c r="AW102" s="580"/>
      <c r="AX102" s="580"/>
      <c r="AY102" s="580"/>
      <c r="AZ102" s="580"/>
      <c r="BA102" s="580"/>
      <c r="BB102" s="580"/>
      <c r="BC102" s="580"/>
      <c r="BD102" s="580"/>
      <c r="BE102" s="580"/>
    </row>
    <row r="103" spans="1:57">
      <c r="A103" s="580"/>
      <c r="B103" s="580"/>
      <c r="C103" s="580"/>
      <c r="D103" s="580"/>
      <c r="E103" s="580"/>
      <c r="F103" s="580"/>
      <c r="G103" s="580"/>
      <c r="H103" s="580"/>
      <c r="I103" s="580"/>
      <c r="J103" s="580"/>
      <c r="K103" s="580"/>
      <c r="L103" s="580"/>
      <c r="M103" s="580"/>
      <c r="N103" s="580"/>
      <c r="O103" s="580"/>
      <c r="P103" s="580"/>
      <c r="Q103" s="580"/>
      <c r="R103" s="580"/>
      <c r="S103" s="580"/>
      <c r="T103" s="580"/>
      <c r="U103" s="580"/>
      <c r="V103" s="580"/>
      <c r="W103" s="580"/>
      <c r="X103" s="580"/>
      <c r="Y103" s="580"/>
      <c r="Z103" s="580"/>
      <c r="AA103" s="580"/>
      <c r="AB103" s="580"/>
      <c r="AC103" s="580"/>
      <c r="AD103" s="580"/>
      <c r="AE103" s="580"/>
      <c r="AF103" s="580"/>
      <c r="AG103" s="580"/>
      <c r="AH103" s="580"/>
      <c r="AI103" s="580"/>
      <c r="AJ103" s="580"/>
      <c r="AK103" s="580"/>
      <c r="AL103" s="580"/>
      <c r="AM103" s="580"/>
      <c r="AN103" s="580"/>
      <c r="AO103" s="580"/>
      <c r="AP103" s="580"/>
      <c r="AQ103" s="580"/>
      <c r="AR103" s="580"/>
      <c r="AS103" s="580"/>
      <c r="AT103" s="580"/>
      <c r="AU103" s="580"/>
      <c r="AV103" s="580"/>
      <c r="AW103" s="580"/>
      <c r="AX103" s="580"/>
      <c r="AY103" s="580"/>
      <c r="AZ103" s="580"/>
      <c r="BA103" s="580"/>
      <c r="BB103" s="580"/>
      <c r="BC103" s="580"/>
      <c r="BD103" s="580"/>
      <c r="BE103" s="580"/>
    </row>
    <row r="104" spans="1:57">
      <c r="A104" s="580"/>
      <c r="B104" s="580"/>
      <c r="C104" s="580"/>
      <c r="D104" s="580"/>
      <c r="E104" s="580"/>
      <c r="F104" s="580"/>
      <c r="G104" s="580"/>
      <c r="H104" s="580"/>
      <c r="I104" s="580"/>
      <c r="J104" s="580"/>
      <c r="K104" s="580"/>
      <c r="L104" s="580"/>
      <c r="M104" s="580"/>
      <c r="N104" s="580"/>
      <c r="O104" s="580"/>
      <c r="P104" s="580"/>
      <c r="Q104" s="580"/>
      <c r="R104" s="580"/>
      <c r="S104" s="580"/>
      <c r="T104" s="580"/>
      <c r="U104" s="580"/>
      <c r="V104" s="580"/>
      <c r="W104" s="580"/>
      <c r="X104" s="580"/>
      <c r="Y104" s="580"/>
      <c r="Z104" s="580"/>
      <c r="AA104" s="580"/>
      <c r="AB104" s="580"/>
      <c r="AC104" s="580"/>
      <c r="AD104" s="580"/>
      <c r="AE104" s="580"/>
      <c r="AF104" s="580"/>
      <c r="AG104" s="580"/>
      <c r="AH104" s="580"/>
      <c r="AI104" s="580"/>
      <c r="AJ104" s="580"/>
      <c r="AK104" s="580"/>
      <c r="AL104" s="580"/>
      <c r="AM104" s="580"/>
      <c r="AN104" s="580"/>
      <c r="AO104" s="580"/>
      <c r="AP104" s="580"/>
      <c r="AQ104" s="580"/>
      <c r="AR104" s="580"/>
      <c r="AS104" s="580"/>
      <c r="AT104" s="580"/>
      <c r="AU104" s="580"/>
      <c r="AV104" s="580"/>
      <c r="AW104" s="580"/>
      <c r="AX104" s="580"/>
      <c r="AY104" s="580"/>
      <c r="AZ104" s="580"/>
      <c r="BA104" s="580"/>
      <c r="BB104" s="580"/>
      <c r="BC104" s="580"/>
      <c r="BD104" s="580"/>
      <c r="BE104" s="580"/>
    </row>
    <row r="105" spans="1:57">
      <c r="A105" s="580"/>
      <c r="B105" s="580"/>
      <c r="C105" s="580"/>
      <c r="D105" s="580"/>
      <c r="E105" s="580"/>
      <c r="F105" s="580"/>
      <c r="G105" s="580"/>
      <c r="H105" s="580"/>
      <c r="I105" s="580"/>
      <c r="J105" s="580"/>
      <c r="K105" s="580"/>
      <c r="L105" s="580"/>
      <c r="M105" s="580"/>
      <c r="N105" s="580"/>
      <c r="O105" s="580"/>
      <c r="P105" s="580"/>
      <c r="Q105" s="580"/>
      <c r="R105" s="580"/>
      <c r="S105" s="580"/>
      <c r="T105" s="580"/>
      <c r="U105" s="580"/>
      <c r="V105" s="580"/>
      <c r="W105" s="580"/>
      <c r="X105" s="580"/>
      <c r="Y105" s="580"/>
      <c r="Z105" s="580"/>
      <c r="AA105" s="580"/>
      <c r="AB105" s="580"/>
      <c r="AC105" s="580"/>
      <c r="AD105" s="580"/>
      <c r="AE105" s="580"/>
      <c r="AF105" s="580"/>
      <c r="AG105" s="580"/>
      <c r="AH105" s="580"/>
      <c r="AI105" s="580"/>
      <c r="AJ105" s="580"/>
      <c r="AK105" s="580"/>
      <c r="AL105" s="580"/>
      <c r="AM105" s="580"/>
      <c r="AN105" s="580"/>
      <c r="AO105" s="580"/>
      <c r="AP105" s="580"/>
      <c r="AQ105" s="580"/>
      <c r="AR105" s="580"/>
      <c r="AS105" s="580"/>
      <c r="AT105" s="580"/>
      <c r="AU105" s="580"/>
      <c r="AV105" s="580"/>
      <c r="AW105" s="580"/>
      <c r="AX105" s="580"/>
      <c r="AY105" s="580"/>
      <c r="AZ105" s="580"/>
      <c r="BA105" s="580"/>
      <c r="BB105" s="580"/>
      <c r="BC105" s="580"/>
      <c r="BD105" s="580"/>
      <c r="BE105" s="580"/>
    </row>
    <row r="106" spans="1:57">
      <c r="A106" s="580"/>
      <c r="B106" s="580"/>
      <c r="C106" s="580"/>
      <c r="D106" s="580"/>
      <c r="E106" s="580"/>
      <c r="F106" s="580"/>
      <c r="G106" s="580"/>
      <c r="H106" s="580"/>
      <c r="I106" s="580"/>
      <c r="J106" s="580"/>
      <c r="K106" s="580"/>
      <c r="L106" s="580"/>
      <c r="M106" s="580"/>
      <c r="N106" s="580"/>
      <c r="O106" s="580"/>
      <c r="P106" s="580"/>
      <c r="Q106" s="580"/>
      <c r="R106" s="580"/>
      <c r="S106" s="580"/>
      <c r="T106" s="580"/>
      <c r="U106" s="580"/>
      <c r="V106" s="580"/>
      <c r="W106" s="580"/>
      <c r="X106" s="580"/>
      <c r="Y106" s="580"/>
      <c r="Z106" s="580"/>
      <c r="AA106" s="580"/>
      <c r="AB106" s="580"/>
      <c r="AC106" s="580"/>
      <c r="AD106" s="580"/>
      <c r="AE106" s="580"/>
      <c r="AF106" s="580"/>
      <c r="AG106" s="580"/>
      <c r="AH106" s="580"/>
      <c r="AI106" s="580"/>
      <c r="AJ106" s="580"/>
      <c r="AK106" s="580"/>
      <c r="AL106" s="580"/>
      <c r="AM106" s="580"/>
      <c r="AN106" s="580"/>
      <c r="AO106" s="580"/>
      <c r="AP106" s="580"/>
      <c r="AQ106" s="580"/>
      <c r="AR106" s="580"/>
      <c r="AS106" s="580"/>
      <c r="AT106" s="580"/>
      <c r="AU106" s="580"/>
      <c r="AV106" s="580"/>
      <c r="AW106" s="580"/>
      <c r="AX106" s="580"/>
      <c r="AY106" s="580"/>
      <c r="AZ106" s="580"/>
      <c r="BA106" s="580"/>
      <c r="BB106" s="580"/>
      <c r="BC106" s="580"/>
      <c r="BD106" s="580"/>
      <c r="BE106" s="580"/>
    </row>
    <row r="107" spans="1:57">
      <c r="A107" s="580"/>
      <c r="B107" s="580"/>
      <c r="C107" s="580"/>
      <c r="D107" s="580"/>
      <c r="E107" s="580"/>
      <c r="F107" s="580"/>
      <c r="G107" s="580"/>
      <c r="H107" s="580"/>
      <c r="I107" s="580"/>
      <c r="J107" s="580"/>
      <c r="K107" s="580"/>
      <c r="L107" s="580"/>
      <c r="M107" s="580"/>
      <c r="N107" s="580"/>
      <c r="O107" s="580"/>
      <c r="P107" s="580"/>
      <c r="Q107" s="580"/>
      <c r="R107" s="580"/>
      <c r="S107" s="580"/>
      <c r="T107" s="580"/>
      <c r="U107" s="580"/>
      <c r="V107" s="580"/>
      <c r="W107" s="580"/>
      <c r="X107" s="580"/>
      <c r="Y107" s="580"/>
      <c r="Z107" s="580"/>
      <c r="AA107" s="580"/>
      <c r="AB107" s="580"/>
      <c r="AC107" s="580"/>
      <c r="AD107" s="580"/>
      <c r="AE107" s="580"/>
      <c r="AF107" s="580"/>
      <c r="AG107" s="580"/>
      <c r="AH107" s="580"/>
      <c r="AI107" s="580"/>
      <c r="AJ107" s="580"/>
      <c r="AK107" s="580"/>
      <c r="AL107" s="580"/>
      <c r="AM107" s="580"/>
      <c r="AN107" s="580"/>
      <c r="AO107" s="580"/>
      <c r="AP107" s="580"/>
      <c r="AQ107" s="580"/>
      <c r="AR107" s="580"/>
      <c r="AS107" s="580"/>
      <c r="AT107" s="580"/>
      <c r="AU107" s="580"/>
      <c r="AV107" s="580"/>
      <c r="AW107" s="580"/>
      <c r="AX107" s="580"/>
      <c r="AY107" s="580"/>
      <c r="AZ107" s="580"/>
      <c r="BA107" s="580"/>
      <c r="BB107" s="580"/>
      <c r="BC107" s="580"/>
      <c r="BD107" s="580"/>
      <c r="BE107" s="580"/>
    </row>
    <row r="108" spans="1:57">
      <c r="A108" s="580"/>
      <c r="B108" s="580"/>
      <c r="C108" s="580"/>
      <c r="D108" s="580"/>
      <c r="E108" s="580"/>
      <c r="F108" s="580"/>
      <c r="G108" s="580"/>
      <c r="H108" s="580"/>
      <c r="I108" s="580"/>
      <c r="J108" s="580"/>
      <c r="K108" s="580"/>
      <c r="L108" s="580"/>
      <c r="M108" s="580"/>
      <c r="N108" s="580"/>
      <c r="O108" s="580"/>
      <c r="P108" s="580"/>
      <c r="Q108" s="580"/>
      <c r="R108" s="580"/>
      <c r="S108" s="580"/>
      <c r="T108" s="580"/>
      <c r="U108" s="580"/>
      <c r="V108" s="580"/>
      <c r="W108" s="580"/>
      <c r="X108" s="580"/>
      <c r="Y108" s="580"/>
      <c r="Z108" s="580"/>
      <c r="AA108" s="580"/>
      <c r="AB108" s="580"/>
      <c r="AC108" s="580"/>
      <c r="AD108" s="580"/>
      <c r="AE108" s="580"/>
      <c r="AF108" s="580"/>
      <c r="AG108" s="580"/>
      <c r="AH108" s="580"/>
      <c r="AI108" s="580"/>
      <c r="AJ108" s="580"/>
      <c r="AK108" s="580"/>
      <c r="AL108" s="580"/>
      <c r="AM108" s="580"/>
      <c r="AN108" s="580"/>
      <c r="AO108" s="580"/>
      <c r="AP108" s="580"/>
      <c r="AQ108" s="580"/>
      <c r="AR108" s="580"/>
      <c r="AS108" s="580"/>
      <c r="AT108" s="580"/>
      <c r="AU108" s="580"/>
      <c r="AV108" s="580"/>
      <c r="AW108" s="580"/>
      <c r="AX108" s="580"/>
      <c r="AY108" s="580"/>
      <c r="AZ108" s="580"/>
      <c r="BA108" s="580"/>
      <c r="BB108" s="580"/>
      <c r="BC108" s="580"/>
      <c r="BD108" s="580"/>
      <c r="BE108" s="580"/>
    </row>
    <row r="109" spans="1:57">
      <c r="A109" s="580"/>
      <c r="B109" s="616"/>
      <c r="C109" s="580"/>
      <c r="D109" s="616"/>
      <c r="E109" s="580"/>
      <c r="F109" s="580"/>
      <c r="G109" s="580"/>
      <c r="H109" s="580"/>
      <c r="I109" s="580"/>
      <c r="J109" s="580"/>
      <c r="K109" s="580"/>
      <c r="L109" s="580"/>
      <c r="M109" s="580"/>
      <c r="N109" s="580"/>
      <c r="O109" s="580"/>
      <c r="P109" s="580"/>
      <c r="Q109" s="580"/>
      <c r="R109" s="580"/>
      <c r="S109" s="580"/>
      <c r="T109" s="580"/>
      <c r="U109" s="580"/>
      <c r="V109" s="580"/>
      <c r="W109" s="580"/>
      <c r="X109" s="580"/>
      <c r="Y109" s="580"/>
      <c r="Z109" s="580"/>
      <c r="AA109" s="580"/>
      <c r="AB109" s="580"/>
      <c r="AC109" s="580"/>
      <c r="AD109" s="580"/>
      <c r="AE109" s="580"/>
      <c r="AF109" s="580"/>
      <c r="AG109" s="580"/>
      <c r="AH109" s="580"/>
      <c r="AI109" s="580"/>
      <c r="AJ109" s="580"/>
      <c r="AK109" s="580"/>
      <c r="AL109" s="580"/>
      <c r="AM109" s="580"/>
      <c r="AN109" s="580"/>
      <c r="AO109" s="580"/>
      <c r="AP109" s="580"/>
      <c r="AQ109" s="580"/>
      <c r="AR109" s="580"/>
      <c r="AS109" s="580"/>
      <c r="AT109" s="580"/>
      <c r="AU109" s="580"/>
      <c r="AV109" s="580"/>
      <c r="AW109" s="580"/>
      <c r="AX109" s="580"/>
      <c r="AY109" s="580"/>
      <c r="AZ109" s="580"/>
      <c r="BA109" s="580"/>
      <c r="BB109" s="580"/>
      <c r="BC109" s="580"/>
      <c r="BD109" s="580"/>
      <c r="BE109" s="580"/>
    </row>
    <row r="110" spans="1:57">
      <c r="A110" s="580"/>
      <c r="B110" s="616"/>
      <c r="C110" s="580"/>
      <c r="D110" s="616"/>
      <c r="E110" s="580"/>
      <c r="F110" s="580"/>
      <c r="G110" s="580"/>
      <c r="H110" s="580"/>
      <c r="I110" s="580"/>
      <c r="J110" s="580"/>
      <c r="K110" s="580"/>
      <c r="L110" s="580"/>
      <c r="M110" s="580"/>
      <c r="N110" s="580"/>
      <c r="O110" s="580"/>
      <c r="P110" s="580"/>
      <c r="Q110" s="580"/>
      <c r="R110" s="580"/>
      <c r="S110" s="580"/>
      <c r="T110" s="580"/>
      <c r="U110" s="580"/>
      <c r="V110" s="580"/>
      <c r="W110" s="580"/>
      <c r="X110" s="580"/>
      <c r="Y110" s="580"/>
      <c r="Z110" s="580"/>
      <c r="AA110" s="580"/>
      <c r="AB110" s="580"/>
      <c r="AC110" s="580"/>
      <c r="AD110" s="580"/>
      <c r="AE110" s="580"/>
      <c r="AF110" s="580"/>
      <c r="AG110" s="580"/>
      <c r="AH110" s="580"/>
      <c r="AI110" s="580"/>
      <c r="AJ110" s="580"/>
      <c r="AK110" s="580"/>
      <c r="AL110" s="580"/>
      <c r="AM110" s="580"/>
      <c r="AN110" s="580"/>
      <c r="AO110" s="580"/>
      <c r="AP110" s="580"/>
      <c r="AQ110" s="580"/>
      <c r="AR110" s="580"/>
      <c r="AS110" s="580"/>
      <c r="AT110" s="580"/>
      <c r="AU110" s="580"/>
      <c r="AV110" s="580"/>
      <c r="AW110" s="580"/>
      <c r="AX110" s="580"/>
      <c r="AY110" s="580"/>
      <c r="AZ110" s="580"/>
      <c r="BA110" s="580"/>
      <c r="BB110" s="580"/>
      <c r="BC110" s="580"/>
      <c r="BD110" s="580"/>
      <c r="BE110" s="580"/>
    </row>
    <row r="111" spans="1:57">
      <c r="A111" s="580"/>
      <c r="B111" s="616"/>
      <c r="C111" s="580"/>
      <c r="D111" s="616"/>
      <c r="E111" s="580"/>
      <c r="F111" s="580"/>
      <c r="G111" s="580"/>
      <c r="H111" s="580"/>
      <c r="I111" s="580"/>
      <c r="J111" s="580"/>
      <c r="K111" s="580"/>
      <c r="L111" s="580"/>
      <c r="M111" s="580"/>
      <c r="N111" s="580"/>
      <c r="O111" s="580"/>
      <c r="P111" s="580"/>
      <c r="Q111" s="580"/>
      <c r="R111" s="580"/>
      <c r="S111" s="580"/>
      <c r="T111" s="580"/>
      <c r="U111" s="580"/>
      <c r="V111" s="580"/>
      <c r="W111" s="580"/>
      <c r="X111" s="580"/>
      <c r="Y111" s="580"/>
      <c r="Z111" s="580"/>
      <c r="AA111" s="580"/>
      <c r="AB111" s="580"/>
      <c r="AC111" s="580"/>
      <c r="AD111" s="580"/>
      <c r="AE111" s="580"/>
      <c r="AF111" s="580"/>
      <c r="AG111" s="580"/>
      <c r="AH111" s="580"/>
      <c r="AI111" s="580"/>
      <c r="AJ111" s="580"/>
      <c r="AK111" s="580"/>
      <c r="AL111" s="580"/>
      <c r="AM111" s="580"/>
      <c r="AN111" s="580"/>
      <c r="AO111" s="580"/>
      <c r="AP111" s="580"/>
      <c r="AQ111" s="580"/>
      <c r="AR111" s="580"/>
      <c r="AS111" s="580"/>
      <c r="AT111" s="580"/>
      <c r="AU111" s="580"/>
      <c r="AV111" s="580"/>
      <c r="AW111" s="580"/>
      <c r="AX111" s="580"/>
      <c r="AY111" s="580"/>
      <c r="AZ111" s="580"/>
      <c r="BA111" s="580"/>
      <c r="BB111" s="580"/>
      <c r="BC111" s="580"/>
      <c r="BD111" s="580"/>
      <c r="BE111" s="580"/>
    </row>
    <row r="112" spans="1:57">
      <c r="A112" s="580"/>
      <c r="B112" s="616"/>
      <c r="C112" s="580"/>
      <c r="D112" s="616"/>
      <c r="E112" s="580"/>
      <c r="F112" s="580"/>
      <c r="G112" s="580"/>
      <c r="H112" s="580"/>
      <c r="I112" s="580"/>
      <c r="J112" s="580"/>
      <c r="K112" s="580"/>
      <c r="L112" s="580"/>
      <c r="M112" s="580"/>
      <c r="N112" s="580"/>
      <c r="O112" s="580"/>
      <c r="P112" s="580"/>
      <c r="Q112" s="580"/>
      <c r="R112" s="580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0"/>
      <c r="AD112" s="580"/>
      <c r="AE112" s="580"/>
      <c r="AF112" s="580"/>
      <c r="AG112" s="580"/>
      <c r="AH112" s="580"/>
      <c r="AI112" s="580"/>
      <c r="AJ112" s="580"/>
      <c r="AK112" s="580"/>
      <c r="AL112" s="580"/>
      <c r="AM112" s="580"/>
      <c r="AN112" s="580"/>
      <c r="AO112" s="580"/>
      <c r="AP112" s="580"/>
      <c r="AQ112" s="580"/>
      <c r="AR112" s="580"/>
      <c r="AS112" s="580"/>
      <c r="AT112" s="580"/>
      <c r="AU112" s="580"/>
      <c r="AV112" s="580"/>
      <c r="AW112" s="580"/>
      <c r="AX112" s="580"/>
      <c r="AY112" s="580"/>
      <c r="AZ112" s="580"/>
      <c r="BA112" s="580"/>
      <c r="BB112" s="580"/>
      <c r="BC112" s="580"/>
      <c r="BD112" s="580"/>
      <c r="BE112" s="580"/>
    </row>
    <row r="113" spans="1:57">
      <c r="A113" s="580"/>
      <c r="B113" s="616"/>
      <c r="C113" s="580"/>
      <c r="D113" s="616"/>
      <c r="E113" s="580"/>
      <c r="F113" s="580"/>
      <c r="G113" s="580"/>
      <c r="H113" s="580"/>
      <c r="I113" s="580"/>
      <c r="J113" s="580"/>
      <c r="K113" s="580"/>
      <c r="L113" s="580"/>
      <c r="M113" s="580"/>
      <c r="N113" s="580"/>
      <c r="O113" s="580"/>
      <c r="P113" s="580"/>
      <c r="Q113" s="580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0"/>
      <c r="AD113" s="580"/>
      <c r="AE113" s="580"/>
      <c r="AF113" s="580"/>
      <c r="AG113" s="580"/>
      <c r="AH113" s="580"/>
      <c r="AI113" s="580"/>
      <c r="AJ113" s="580"/>
      <c r="AK113" s="580"/>
      <c r="AL113" s="580"/>
      <c r="AM113" s="580"/>
      <c r="AN113" s="580"/>
      <c r="AO113" s="580"/>
      <c r="AP113" s="580"/>
      <c r="AQ113" s="580"/>
      <c r="AR113" s="580"/>
      <c r="AS113" s="580"/>
      <c r="AT113" s="580"/>
      <c r="AU113" s="580"/>
      <c r="AV113" s="580"/>
      <c r="AW113" s="580"/>
      <c r="AX113" s="580"/>
      <c r="AY113" s="580"/>
      <c r="AZ113" s="580"/>
      <c r="BA113" s="580"/>
      <c r="BB113" s="580"/>
      <c r="BC113" s="580"/>
      <c r="BD113" s="580"/>
      <c r="BE113" s="580"/>
    </row>
    <row r="114" spans="1:57">
      <c r="A114" s="580"/>
      <c r="B114" s="616"/>
      <c r="C114" s="580"/>
      <c r="D114" s="616"/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580"/>
      <c r="P114" s="580"/>
      <c r="Q114" s="580"/>
      <c r="R114" s="580"/>
      <c r="S114" s="580"/>
      <c r="T114" s="580"/>
      <c r="U114" s="580"/>
      <c r="V114" s="580"/>
      <c r="W114" s="580"/>
      <c r="X114" s="580"/>
      <c r="Y114" s="580"/>
      <c r="Z114" s="580"/>
      <c r="AA114" s="580"/>
      <c r="AB114" s="580"/>
      <c r="AC114" s="580"/>
      <c r="AD114" s="580"/>
      <c r="AE114" s="580"/>
      <c r="AF114" s="580"/>
      <c r="AG114" s="580"/>
      <c r="AH114" s="580"/>
      <c r="AI114" s="580"/>
      <c r="AJ114" s="580"/>
      <c r="AK114" s="580"/>
      <c r="AL114" s="580"/>
      <c r="AM114" s="580"/>
      <c r="AN114" s="580"/>
      <c r="AO114" s="580"/>
      <c r="AP114" s="580"/>
      <c r="AQ114" s="580"/>
      <c r="AR114" s="580"/>
      <c r="AS114" s="580"/>
      <c r="AT114" s="580"/>
      <c r="AU114" s="580"/>
      <c r="AV114" s="580"/>
      <c r="AW114" s="580"/>
      <c r="AX114" s="580"/>
      <c r="AY114" s="580"/>
      <c r="AZ114" s="580"/>
      <c r="BA114" s="580"/>
      <c r="BB114" s="580"/>
      <c r="BC114" s="580"/>
      <c r="BD114" s="580"/>
      <c r="BE114" s="580"/>
    </row>
    <row r="115" spans="1:57">
      <c r="A115" s="580"/>
      <c r="B115" s="616"/>
      <c r="C115" s="580"/>
      <c r="D115" s="616"/>
      <c r="E115" s="580"/>
      <c r="F115" s="580"/>
      <c r="G115" s="580"/>
      <c r="H115" s="580"/>
      <c r="I115" s="580"/>
      <c r="J115" s="580"/>
      <c r="K115" s="580"/>
      <c r="L115" s="580"/>
      <c r="M115" s="580"/>
      <c r="N115" s="580"/>
      <c r="O115" s="580"/>
      <c r="P115" s="580"/>
      <c r="Q115" s="580"/>
      <c r="R115" s="580"/>
      <c r="S115" s="580"/>
      <c r="T115" s="580"/>
      <c r="U115" s="580"/>
      <c r="V115" s="580"/>
      <c r="W115" s="580"/>
      <c r="X115" s="580"/>
      <c r="Y115" s="580"/>
      <c r="Z115" s="580"/>
      <c r="AA115" s="580"/>
      <c r="AB115" s="580"/>
      <c r="AC115" s="580"/>
      <c r="AD115" s="580"/>
      <c r="AE115" s="580"/>
      <c r="AF115" s="580"/>
      <c r="AG115" s="580"/>
      <c r="AH115" s="580"/>
      <c r="AI115" s="580"/>
      <c r="AJ115" s="580"/>
      <c r="AK115" s="580"/>
      <c r="AL115" s="580"/>
      <c r="AM115" s="580"/>
      <c r="AN115" s="580"/>
      <c r="AO115" s="580"/>
      <c r="AP115" s="580"/>
      <c r="AQ115" s="580"/>
      <c r="AR115" s="580"/>
      <c r="AS115" s="580"/>
      <c r="AT115" s="580"/>
      <c r="AU115" s="580"/>
      <c r="AV115" s="580"/>
      <c r="AW115" s="580"/>
      <c r="AX115" s="580"/>
      <c r="AY115" s="580"/>
      <c r="AZ115" s="580"/>
      <c r="BA115" s="580"/>
      <c r="BB115" s="580"/>
      <c r="BC115" s="580"/>
      <c r="BD115" s="580"/>
      <c r="BE115" s="580"/>
    </row>
    <row r="116" spans="1:57">
      <c r="A116" s="580"/>
      <c r="B116" s="616"/>
      <c r="C116" s="580"/>
      <c r="D116" s="616"/>
      <c r="E116" s="580"/>
      <c r="F116" s="580"/>
      <c r="G116" s="580"/>
      <c r="H116" s="580"/>
      <c r="I116" s="580"/>
      <c r="J116" s="580"/>
      <c r="K116" s="580"/>
      <c r="L116" s="580"/>
      <c r="M116" s="580"/>
      <c r="N116" s="580"/>
      <c r="O116" s="580"/>
      <c r="P116" s="580"/>
      <c r="Q116" s="580"/>
      <c r="R116" s="580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0"/>
      <c r="AD116" s="580"/>
      <c r="AE116" s="580"/>
      <c r="AF116" s="580"/>
      <c r="AG116" s="580"/>
      <c r="AH116" s="580"/>
      <c r="AI116" s="580"/>
      <c r="AJ116" s="580"/>
      <c r="AK116" s="580"/>
      <c r="AL116" s="580"/>
      <c r="AM116" s="580"/>
      <c r="AN116" s="580"/>
      <c r="AO116" s="580"/>
      <c r="AP116" s="580"/>
      <c r="AQ116" s="580"/>
      <c r="AR116" s="580"/>
      <c r="AS116" s="580"/>
      <c r="AT116" s="580"/>
      <c r="AU116" s="580"/>
      <c r="AV116" s="580"/>
      <c r="AW116" s="580"/>
      <c r="AX116" s="580"/>
      <c r="AY116" s="580"/>
      <c r="AZ116" s="580"/>
      <c r="BA116" s="580"/>
      <c r="BB116" s="580"/>
      <c r="BC116" s="580"/>
      <c r="BD116" s="580"/>
      <c r="BE116" s="580"/>
    </row>
    <row r="117" spans="1:57">
      <c r="A117" s="580"/>
      <c r="B117" s="616"/>
      <c r="C117" s="580"/>
      <c r="D117" s="616"/>
      <c r="E117" s="580"/>
      <c r="F117" s="580"/>
      <c r="G117" s="580"/>
      <c r="H117" s="580"/>
      <c r="I117" s="580"/>
      <c r="J117" s="580"/>
      <c r="K117" s="580"/>
      <c r="L117" s="580"/>
      <c r="M117" s="580"/>
      <c r="N117" s="580"/>
      <c r="O117" s="580"/>
      <c r="P117" s="580"/>
      <c r="Q117" s="580"/>
      <c r="R117" s="580"/>
      <c r="S117" s="580"/>
      <c r="T117" s="580"/>
      <c r="U117" s="580"/>
      <c r="V117" s="580"/>
      <c r="W117" s="580"/>
      <c r="X117" s="580"/>
      <c r="Y117" s="580"/>
      <c r="Z117" s="580"/>
      <c r="AA117" s="580"/>
      <c r="AB117" s="580"/>
      <c r="AC117" s="580"/>
      <c r="AD117" s="580"/>
      <c r="AE117" s="580"/>
      <c r="AF117" s="580"/>
      <c r="AG117" s="580"/>
      <c r="AH117" s="580"/>
      <c r="AI117" s="580"/>
      <c r="AJ117" s="580"/>
      <c r="AK117" s="580"/>
      <c r="AL117" s="580"/>
      <c r="AM117" s="580"/>
      <c r="AN117" s="580"/>
      <c r="AO117" s="580"/>
      <c r="AP117" s="580"/>
      <c r="AQ117" s="580"/>
      <c r="AR117" s="580"/>
      <c r="AS117" s="580"/>
      <c r="AT117" s="580"/>
      <c r="AU117" s="580"/>
      <c r="AV117" s="580"/>
      <c r="AW117" s="580"/>
      <c r="AX117" s="580"/>
      <c r="AY117" s="580"/>
      <c r="AZ117" s="580"/>
      <c r="BA117" s="580"/>
      <c r="BB117" s="580"/>
      <c r="BC117" s="580"/>
      <c r="BD117" s="580"/>
      <c r="BE117" s="580"/>
    </row>
    <row r="118" spans="1:57">
      <c r="A118" s="580"/>
      <c r="B118" s="616"/>
      <c r="C118" s="580"/>
      <c r="D118" s="616"/>
      <c r="E118" s="580"/>
      <c r="F118" s="580"/>
      <c r="G118" s="580"/>
      <c r="H118" s="580"/>
      <c r="I118" s="580"/>
      <c r="J118" s="580"/>
      <c r="K118" s="580"/>
      <c r="L118" s="580"/>
      <c r="M118" s="580"/>
      <c r="N118" s="580"/>
      <c r="O118" s="580"/>
      <c r="P118" s="580"/>
      <c r="Q118" s="580"/>
      <c r="R118" s="580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0"/>
      <c r="AD118" s="580"/>
      <c r="AE118" s="580"/>
      <c r="AF118" s="580"/>
      <c r="AG118" s="580"/>
      <c r="AH118" s="580"/>
      <c r="AI118" s="580"/>
      <c r="AJ118" s="580"/>
      <c r="AK118" s="580"/>
      <c r="AL118" s="580"/>
      <c r="AM118" s="580"/>
      <c r="AN118" s="580"/>
      <c r="AO118" s="580"/>
      <c r="AP118" s="580"/>
      <c r="AQ118" s="580"/>
      <c r="AR118" s="580"/>
      <c r="AS118" s="580"/>
      <c r="AT118" s="580"/>
      <c r="AU118" s="580"/>
      <c r="AV118" s="580"/>
      <c r="AW118" s="580"/>
      <c r="AX118" s="580"/>
      <c r="AY118" s="580"/>
      <c r="AZ118" s="580"/>
      <c r="BA118" s="580"/>
      <c r="BB118" s="580"/>
      <c r="BC118" s="580"/>
      <c r="BD118" s="580"/>
      <c r="BE118" s="580"/>
    </row>
    <row r="119" spans="1:57">
      <c r="A119" s="580"/>
      <c r="B119" s="616"/>
      <c r="C119" s="580"/>
      <c r="D119" s="616"/>
      <c r="E119" s="580"/>
      <c r="F119" s="580"/>
      <c r="G119" s="580"/>
      <c r="H119" s="580"/>
      <c r="I119" s="580"/>
      <c r="J119" s="580"/>
      <c r="K119" s="580"/>
      <c r="L119" s="580"/>
      <c r="M119" s="580"/>
      <c r="N119" s="580"/>
      <c r="O119" s="580"/>
      <c r="P119" s="580"/>
      <c r="Q119" s="580"/>
      <c r="R119" s="580"/>
      <c r="S119" s="580"/>
      <c r="T119" s="580"/>
      <c r="U119" s="580"/>
      <c r="V119" s="580"/>
      <c r="W119" s="580"/>
      <c r="X119" s="580"/>
      <c r="Y119" s="580"/>
      <c r="Z119" s="580"/>
      <c r="AA119" s="580"/>
      <c r="AB119" s="580"/>
      <c r="AC119" s="580"/>
      <c r="AD119" s="580"/>
      <c r="AE119" s="580"/>
      <c r="AF119" s="580"/>
      <c r="AG119" s="580"/>
      <c r="AH119" s="580"/>
      <c r="AI119" s="580"/>
      <c r="AJ119" s="580"/>
      <c r="AK119" s="580"/>
      <c r="AL119" s="580"/>
      <c r="AM119" s="580"/>
      <c r="AN119" s="580"/>
      <c r="AO119" s="580"/>
      <c r="AP119" s="580"/>
      <c r="AQ119" s="580"/>
      <c r="AR119" s="580"/>
      <c r="AS119" s="580"/>
      <c r="AT119" s="580"/>
      <c r="AU119" s="580"/>
      <c r="AV119" s="580"/>
      <c r="AW119" s="580"/>
      <c r="AX119" s="580"/>
      <c r="AY119" s="580"/>
      <c r="AZ119" s="580"/>
      <c r="BA119" s="580"/>
      <c r="BB119" s="580"/>
      <c r="BC119" s="580"/>
      <c r="BD119" s="580"/>
      <c r="BE119" s="580"/>
    </row>
    <row r="120" spans="1:57">
      <c r="A120" s="580"/>
      <c r="B120" s="616"/>
      <c r="C120" s="580"/>
      <c r="D120" s="616"/>
      <c r="E120" s="580"/>
      <c r="F120" s="580"/>
      <c r="G120" s="580"/>
      <c r="H120" s="580"/>
      <c r="I120" s="580"/>
      <c r="J120" s="580"/>
      <c r="K120" s="580"/>
      <c r="L120" s="580"/>
      <c r="M120" s="580"/>
      <c r="N120" s="580"/>
      <c r="O120" s="580"/>
      <c r="P120" s="580"/>
      <c r="Q120" s="580"/>
      <c r="R120" s="580"/>
      <c r="S120" s="580"/>
      <c r="T120" s="580"/>
      <c r="U120" s="580"/>
      <c r="V120" s="580"/>
      <c r="W120" s="580"/>
      <c r="X120" s="580"/>
      <c r="Y120" s="580"/>
      <c r="Z120" s="580"/>
      <c r="AA120" s="580"/>
      <c r="AB120" s="580"/>
      <c r="AC120" s="580"/>
      <c r="AD120" s="580"/>
      <c r="AE120" s="580"/>
      <c r="AF120" s="580"/>
      <c r="AG120" s="580"/>
      <c r="AH120" s="580"/>
      <c r="AI120" s="580"/>
      <c r="AJ120" s="580"/>
      <c r="AK120" s="580"/>
      <c r="AL120" s="580"/>
      <c r="AM120" s="580"/>
      <c r="AN120" s="580"/>
      <c r="AO120" s="580"/>
      <c r="AP120" s="580"/>
      <c r="AQ120" s="580"/>
      <c r="AR120" s="580"/>
      <c r="AS120" s="580"/>
      <c r="AT120" s="580"/>
      <c r="AU120" s="580"/>
      <c r="AV120" s="580"/>
      <c r="AW120" s="580"/>
      <c r="AX120" s="580"/>
      <c r="AY120" s="580"/>
      <c r="AZ120" s="580"/>
      <c r="BA120" s="580"/>
      <c r="BB120" s="580"/>
      <c r="BC120" s="580"/>
      <c r="BD120" s="580"/>
      <c r="BE120" s="580"/>
    </row>
    <row r="121" spans="1:57">
      <c r="A121" s="580"/>
      <c r="B121" s="616"/>
      <c r="C121" s="580"/>
      <c r="D121" s="616"/>
      <c r="E121" s="580"/>
      <c r="F121" s="580"/>
      <c r="G121" s="580"/>
      <c r="H121" s="580"/>
      <c r="I121" s="580"/>
      <c r="J121" s="580"/>
      <c r="K121" s="580"/>
      <c r="L121" s="580"/>
      <c r="M121" s="580"/>
      <c r="N121" s="580"/>
      <c r="O121" s="580"/>
      <c r="P121" s="580"/>
      <c r="Q121" s="580"/>
      <c r="R121" s="580"/>
      <c r="S121" s="580"/>
      <c r="T121" s="580"/>
      <c r="U121" s="580"/>
      <c r="V121" s="580"/>
      <c r="W121" s="580"/>
      <c r="X121" s="580"/>
      <c r="Y121" s="580"/>
      <c r="Z121" s="580"/>
      <c r="AA121" s="580"/>
      <c r="AB121" s="580"/>
      <c r="AC121" s="580"/>
      <c r="AD121" s="580"/>
      <c r="AE121" s="580"/>
      <c r="AF121" s="580"/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  <c r="AT121" s="580"/>
      <c r="AU121" s="580"/>
      <c r="AV121" s="580"/>
      <c r="AW121" s="580"/>
      <c r="AX121" s="580"/>
      <c r="AY121" s="580"/>
      <c r="AZ121" s="580"/>
      <c r="BA121" s="580"/>
      <c r="BB121" s="580"/>
      <c r="BC121" s="580"/>
      <c r="BD121" s="580"/>
      <c r="BE121" s="580"/>
    </row>
    <row r="122" spans="1:57">
      <c r="A122" s="580"/>
      <c r="B122" s="616"/>
      <c r="C122" s="580"/>
      <c r="D122" s="616"/>
      <c r="E122" s="580"/>
      <c r="F122" s="580"/>
      <c r="G122" s="580"/>
      <c r="H122" s="580"/>
      <c r="I122" s="580"/>
      <c r="J122" s="580"/>
      <c r="K122" s="580"/>
      <c r="L122" s="580"/>
      <c r="M122" s="580"/>
      <c r="N122" s="580"/>
      <c r="O122" s="580"/>
      <c r="P122" s="580"/>
      <c r="Q122" s="580"/>
      <c r="R122" s="580"/>
      <c r="S122" s="580"/>
      <c r="T122" s="580"/>
      <c r="U122" s="580"/>
      <c r="V122" s="580"/>
      <c r="W122" s="580"/>
      <c r="X122" s="580"/>
      <c r="Y122" s="580"/>
      <c r="Z122" s="580"/>
      <c r="AA122" s="580"/>
      <c r="AB122" s="580"/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  <c r="AT122" s="580"/>
      <c r="AU122" s="580"/>
      <c r="AV122" s="580"/>
      <c r="AW122" s="580"/>
      <c r="AX122" s="580"/>
      <c r="AY122" s="580"/>
      <c r="AZ122" s="580"/>
      <c r="BA122" s="580"/>
      <c r="BB122" s="580"/>
      <c r="BC122" s="580"/>
      <c r="BD122" s="580"/>
      <c r="BE122" s="580"/>
    </row>
    <row r="123" spans="1:57">
      <c r="A123" s="580"/>
      <c r="B123" s="616"/>
      <c r="C123" s="580"/>
      <c r="D123" s="616"/>
      <c r="E123" s="580"/>
      <c r="F123" s="580"/>
      <c r="G123" s="580"/>
      <c r="H123" s="580"/>
      <c r="I123" s="580"/>
      <c r="J123" s="580"/>
      <c r="K123" s="580"/>
      <c r="L123" s="580"/>
      <c r="M123" s="580"/>
      <c r="N123" s="580"/>
      <c r="O123" s="580"/>
      <c r="P123" s="580"/>
      <c r="Q123" s="580"/>
      <c r="R123" s="580"/>
      <c r="S123" s="580"/>
      <c r="T123" s="580"/>
      <c r="U123" s="580"/>
      <c r="V123" s="580"/>
      <c r="W123" s="580"/>
      <c r="X123" s="580"/>
      <c r="Y123" s="580"/>
      <c r="Z123" s="580"/>
      <c r="AA123" s="580"/>
      <c r="AB123" s="580"/>
      <c r="AC123" s="580"/>
      <c r="AD123" s="580"/>
      <c r="AE123" s="580"/>
      <c r="AF123" s="580"/>
      <c r="AG123" s="580"/>
      <c r="AH123" s="580"/>
      <c r="AI123" s="580"/>
      <c r="AJ123" s="580"/>
      <c r="AK123" s="580"/>
      <c r="AL123" s="580"/>
      <c r="AM123" s="580"/>
      <c r="AN123" s="580"/>
      <c r="AO123" s="580"/>
      <c r="AP123" s="580"/>
      <c r="AQ123" s="580"/>
      <c r="AR123" s="580"/>
      <c r="AS123" s="580"/>
      <c r="AT123" s="580"/>
      <c r="AU123" s="580"/>
      <c r="AV123" s="580"/>
      <c r="AW123" s="580"/>
      <c r="AX123" s="580"/>
      <c r="AY123" s="580"/>
      <c r="AZ123" s="580"/>
      <c r="BA123" s="580"/>
      <c r="BB123" s="580"/>
      <c r="BC123" s="580"/>
      <c r="BD123" s="580"/>
      <c r="BE123" s="580"/>
    </row>
    <row r="124" spans="1:57">
      <c r="A124" s="580"/>
      <c r="B124" s="616"/>
      <c r="C124" s="580"/>
      <c r="D124" s="616"/>
      <c r="E124" s="580"/>
      <c r="F124" s="580"/>
      <c r="G124" s="580"/>
      <c r="H124" s="580"/>
      <c r="I124" s="580"/>
      <c r="J124" s="580"/>
      <c r="K124" s="580"/>
      <c r="L124" s="580"/>
      <c r="M124" s="580"/>
      <c r="N124" s="580"/>
      <c r="O124" s="580"/>
      <c r="P124" s="580"/>
      <c r="Q124" s="580"/>
      <c r="R124" s="580"/>
      <c r="S124" s="580"/>
      <c r="T124" s="580"/>
      <c r="U124" s="580"/>
      <c r="V124" s="580"/>
      <c r="W124" s="580"/>
      <c r="X124" s="580"/>
      <c r="Y124" s="580"/>
      <c r="Z124" s="580"/>
      <c r="AA124" s="580"/>
      <c r="AB124" s="580"/>
      <c r="AC124" s="580"/>
      <c r="AD124" s="580"/>
      <c r="AE124" s="580"/>
      <c r="AF124" s="580"/>
      <c r="AG124" s="580"/>
      <c r="AH124" s="580"/>
      <c r="AI124" s="580"/>
      <c r="AJ124" s="580"/>
      <c r="AK124" s="580"/>
      <c r="AL124" s="580"/>
      <c r="AM124" s="580"/>
      <c r="AN124" s="580"/>
      <c r="AO124" s="580"/>
      <c r="AP124" s="580"/>
      <c r="AQ124" s="580"/>
      <c r="AR124" s="580"/>
      <c r="AS124" s="580"/>
      <c r="AT124" s="580"/>
      <c r="AU124" s="580"/>
      <c r="AV124" s="580"/>
      <c r="AW124" s="580"/>
      <c r="AX124" s="580"/>
      <c r="AY124" s="580"/>
      <c r="AZ124" s="580"/>
      <c r="BA124" s="580"/>
      <c r="BB124" s="580"/>
      <c r="BC124" s="580"/>
      <c r="BD124" s="580"/>
      <c r="BE124" s="580"/>
    </row>
    <row r="125" spans="1:57">
      <c r="A125" s="580"/>
      <c r="B125" s="616"/>
      <c r="C125" s="580"/>
      <c r="D125" s="616"/>
      <c r="E125" s="580"/>
      <c r="F125" s="580"/>
      <c r="G125" s="580"/>
      <c r="H125" s="580"/>
      <c r="I125" s="580"/>
      <c r="J125" s="580"/>
      <c r="K125" s="580"/>
      <c r="L125" s="580"/>
      <c r="M125" s="580"/>
      <c r="N125" s="580"/>
      <c r="O125" s="580"/>
      <c r="P125" s="580"/>
      <c r="Q125" s="580"/>
      <c r="R125" s="580"/>
      <c r="S125" s="580"/>
      <c r="T125" s="580"/>
      <c r="U125" s="580"/>
      <c r="V125" s="580"/>
      <c r="W125" s="580"/>
      <c r="X125" s="580"/>
      <c r="Y125" s="580"/>
      <c r="Z125" s="580"/>
      <c r="AA125" s="580"/>
      <c r="AB125" s="580"/>
      <c r="AC125" s="580"/>
      <c r="AD125" s="580"/>
      <c r="AE125" s="580"/>
      <c r="AF125" s="580"/>
      <c r="AG125" s="580"/>
      <c r="AH125" s="580"/>
      <c r="AI125" s="580"/>
      <c r="AJ125" s="580"/>
      <c r="AK125" s="580"/>
      <c r="AL125" s="580"/>
      <c r="AM125" s="580"/>
      <c r="AN125" s="580"/>
      <c r="AO125" s="580"/>
      <c r="AP125" s="580"/>
      <c r="AQ125" s="580"/>
      <c r="AR125" s="580"/>
      <c r="AS125" s="580"/>
      <c r="AT125" s="580"/>
      <c r="AU125" s="580"/>
      <c r="AV125" s="580"/>
      <c r="AW125" s="580"/>
      <c r="AX125" s="580"/>
      <c r="AY125" s="580"/>
      <c r="AZ125" s="580"/>
      <c r="BA125" s="580"/>
      <c r="BB125" s="580"/>
      <c r="BC125" s="580"/>
      <c r="BD125" s="580"/>
      <c r="BE125" s="580"/>
    </row>
    <row r="126" spans="1:57">
      <c r="A126" s="580"/>
      <c r="B126" s="616"/>
      <c r="C126" s="580"/>
      <c r="D126" s="616"/>
      <c r="E126" s="580"/>
      <c r="F126" s="580"/>
      <c r="G126" s="580"/>
      <c r="H126" s="580"/>
      <c r="I126" s="580"/>
      <c r="J126" s="580"/>
      <c r="K126" s="580"/>
      <c r="L126" s="580"/>
      <c r="M126" s="580"/>
      <c r="N126" s="580"/>
      <c r="O126" s="580"/>
      <c r="P126" s="580"/>
      <c r="Q126" s="580"/>
      <c r="R126" s="580"/>
      <c r="S126" s="580"/>
      <c r="T126" s="580"/>
      <c r="U126" s="580"/>
      <c r="V126" s="580"/>
      <c r="W126" s="580"/>
      <c r="X126" s="580"/>
      <c r="Y126" s="580"/>
      <c r="Z126" s="580"/>
      <c r="AA126" s="580"/>
      <c r="AB126" s="580"/>
      <c r="AC126" s="580"/>
      <c r="AD126" s="580"/>
      <c r="AE126" s="580"/>
      <c r="AF126" s="580"/>
      <c r="AG126" s="580"/>
      <c r="AH126" s="580"/>
      <c r="AI126" s="580"/>
      <c r="AJ126" s="580"/>
      <c r="AK126" s="580"/>
      <c r="AL126" s="580"/>
      <c r="AM126" s="580"/>
      <c r="AN126" s="580"/>
      <c r="AO126" s="580"/>
      <c r="AP126" s="580"/>
      <c r="AQ126" s="580"/>
      <c r="AR126" s="580"/>
      <c r="AS126" s="580"/>
      <c r="AT126" s="580"/>
      <c r="AU126" s="580"/>
      <c r="AV126" s="580"/>
      <c r="AW126" s="580"/>
      <c r="AX126" s="580"/>
      <c r="AY126" s="580"/>
      <c r="AZ126" s="580"/>
      <c r="BA126" s="580"/>
      <c r="BB126" s="580"/>
      <c r="BC126" s="580"/>
      <c r="BD126" s="580"/>
      <c r="BE126" s="580"/>
    </row>
    <row r="127" spans="1:57">
      <c r="A127" s="580"/>
      <c r="B127" s="616"/>
      <c r="C127" s="580"/>
      <c r="D127" s="616"/>
      <c r="E127" s="580"/>
      <c r="F127" s="580"/>
      <c r="G127" s="580"/>
      <c r="H127" s="580"/>
      <c r="I127" s="580"/>
      <c r="J127" s="580"/>
      <c r="K127" s="580"/>
      <c r="L127" s="580"/>
      <c r="M127" s="580"/>
      <c r="N127" s="580"/>
      <c r="O127" s="580"/>
      <c r="P127" s="580"/>
      <c r="Q127" s="580"/>
      <c r="R127" s="580"/>
      <c r="S127" s="580"/>
      <c r="T127" s="580"/>
      <c r="U127" s="580"/>
      <c r="V127" s="580"/>
      <c r="W127" s="580"/>
      <c r="X127" s="580"/>
      <c r="Y127" s="580"/>
      <c r="Z127" s="580"/>
      <c r="AA127" s="580"/>
      <c r="AB127" s="580"/>
      <c r="AC127" s="580"/>
      <c r="AD127" s="580"/>
      <c r="AE127" s="580"/>
      <c r="AF127" s="580"/>
      <c r="AG127" s="580"/>
      <c r="AH127" s="580"/>
      <c r="AI127" s="580"/>
      <c r="AJ127" s="580"/>
      <c r="AK127" s="580"/>
      <c r="AL127" s="580"/>
      <c r="AM127" s="580"/>
      <c r="AN127" s="580"/>
      <c r="AO127" s="580"/>
      <c r="AP127" s="580"/>
      <c r="AQ127" s="580"/>
      <c r="AR127" s="580"/>
      <c r="AS127" s="580"/>
      <c r="AT127" s="580"/>
      <c r="AU127" s="580"/>
      <c r="AV127" s="580"/>
      <c r="AW127" s="580"/>
      <c r="AX127" s="580"/>
      <c r="AY127" s="580"/>
      <c r="AZ127" s="580"/>
      <c r="BA127" s="580"/>
      <c r="BB127" s="580"/>
      <c r="BC127" s="580"/>
      <c r="BD127" s="580"/>
      <c r="BE127" s="580"/>
    </row>
    <row r="128" spans="1:57">
      <c r="A128" s="580"/>
      <c r="B128" s="616"/>
      <c r="C128" s="580"/>
      <c r="D128" s="616"/>
      <c r="E128" s="580"/>
      <c r="F128" s="580"/>
      <c r="G128" s="580"/>
      <c r="H128" s="580"/>
      <c r="I128" s="580"/>
      <c r="J128" s="580"/>
      <c r="K128" s="580"/>
      <c r="L128" s="580"/>
      <c r="M128" s="580"/>
      <c r="N128" s="580"/>
      <c r="O128" s="580"/>
      <c r="P128" s="580"/>
      <c r="Q128" s="580"/>
      <c r="R128" s="580"/>
      <c r="S128" s="580"/>
      <c r="T128" s="580"/>
      <c r="U128" s="580"/>
      <c r="V128" s="580"/>
      <c r="W128" s="580"/>
      <c r="X128" s="580"/>
      <c r="Y128" s="580"/>
      <c r="Z128" s="580"/>
      <c r="AA128" s="580"/>
      <c r="AB128" s="580"/>
      <c r="AC128" s="580"/>
      <c r="AD128" s="580"/>
      <c r="AE128" s="580"/>
      <c r="AF128" s="580"/>
      <c r="AG128" s="580"/>
      <c r="AH128" s="580"/>
      <c r="AI128" s="580"/>
      <c r="AJ128" s="580"/>
      <c r="AK128" s="580"/>
      <c r="AL128" s="580"/>
      <c r="AM128" s="580"/>
      <c r="AN128" s="580"/>
      <c r="AO128" s="580"/>
      <c r="AP128" s="580"/>
      <c r="AQ128" s="580"/>
      <c r="AR128" s="580"/>
      <c r="AS128" s="580"/>
      <c r="AT128" s="580"/>
      <c r="AU128" s="580"/>
      <c r="AV128" s="580"/>
      <c r="AW128" s="580"/>
      <c r="AX128" s="580"/>
      <c r="AY128" s="580"/>
      <c r="AZ128" s="580"/>
      <c r="BA128" s="580"/>
      <c r="BB128" s="580"/>
      <c r="BC128" s="580"/>
      <c r="BD128" s="580"/>
      <c r="BE128" s="580"/>
    </row>
    <row r="129" spans="1:57">
      <c r="A129" s="580"/>
      <c r="B129" s="616"/>
      <c r="C129" s="580"/>
      <c r="D129" s="616"/>
      <c r="E129" s="580"/>
      <c r="F129" s="580"/>
      <c r="G129" s="580"/>
      <c r="H129" s="580"/>
      <c r="I129" s="580"/>
      <c r="J129" s="580"/>
      <c r="K129" s="580"/>
      <c r="L129" s="580"/>
      <c r="M129" s="580"/>
      <c r="N129" s="580"/>
      <c r="O129" s="580"/>
      <c r="P129" s="580"/>
      <c r="Q129" s="580"/>
      <c r="R129" s="580"/>
      <c r="S129" s="580"/>
      <c r="T129" s="580"/>
      <c r="U129" s="580"/>
      <c r="V129" s="580"/>
      <c r="W129" s="580"/>
      <c r="X129" s="580"/>
      <c r="Y129" s="580"/>
      <c r="Z129" s="580"/>
      <c r="AA129" s="580"/>
      <c r="AB129" s="580"/>
      <c r="AC129" s="580"/>
      <c r="AD129" s="580"/>
      <c r="AE129" s="580"/>
      <c r="AF129" s="580"/>
      <c r="AG129" s="580"/>
      <c r="AH129" s="580"/>
      <c r="AI129" s="580"/>
      <c r="AJ129" s="580"/>
      <c r="AK129" s="580"/>
      <c r="AL129" s="580"/>
      <c r="AM129" s="580"/>
      <c r="AN129" s="580"/>
      <c r="AO129" s="580"/>
      <c r="AP129" s="580"/>
      <c r="AQ129" s="580"/>
      <c r="AR129" s="580"/>
      <c r="AS129" s="580"/>
      <c r="AT129" s="580"/>
      <c r="AU129" s="580"/>
      <c r="AV129" s="580"/>
      <c r="AW129" s="580"/>
      <c r="AX129" s="580"/>
      <c r="AY129" s="580"/>
      <c r="AZ129" s="580"/>
      <c r="BA129" s="580"/>
      <c r="BB129" s="580"/>
      <c r="BC129" s="580"/>
      <c r="BD129" s="580"/>
      <c r="BE129" s="580"/>
    </row>
    <row r="130" spans="1:57">
      <c r="A130" s="580"/>
      <c r="B130" s="616"/>
      <c r="C130" s="580"/>
      <c r="D130" s="616"/>
      <c r="E130" s="580"/>
      <c r="F130" s="580"/>
      <c r="G130" s="580"/>
      <c r="H130" s="580"/>
      <c r="I130" s="580"/>
      <c r="J130" s="580"/>
      <c r="K130" s="580"/>
      <c r="L130" s="580"/>
      <c r="M130" s="580"/>
      <c r="N130" s="580"/>
      <c r="O130" s="580"/>
      <c r="P130" s="580"/>
      <c r="Q130" s="580"/>
      <c r="R130" s="580"/>
      <c r="S130" s="580"/>
      <c r="T130" s="580"/>
      <c r="U130" s="580"/>
      <c r="V130" s="580"/>
      <c r="W130" s="580"/>
      <c r="X130" s="580"/>
      <c r="Y130" s="580"/>
      <c r="Z130" s="580"/>
      <c r="AA130" s="580"/>
      <c r="AB130" s="580"/>
      <c r="AC130" s="580"/>
      <c r="AD130" s="580"/>
      <c r="AE130" s="580"/>
      <c r="AF130" s="580"/>
      <c r="AG130" s="580"/>
      <c r="AH130" s="580"/>
      <c r="AI130" s="580"/>
      <c r="AJ130" s="580"/>
      <c r="AK130" s="580"/>
      <c r="AL130" s="580"/>
      <c r="AM130" s="580"/>
      <c r="AN130" s="580"/>
      <c r="AO130" s="580"/>
      <c r="AP130" s="580"/>
      <c r="AQ130" s="580"/>
      <c r="AR130" s="580"/>
      <c r="AS130" s="580"/>
      <c r="AT130" s="580"/>
      <c r="AU130" s="580"/>
      <c r="AV130" s="580"/>
      <c r="AW130" s="580"/>
      <c r="AX130" s="580"/>
      <c r="AY130" s="580"/>
      <c r="AZ130" s="580"/>
      <c r="BA130" s="580"/>
      <c r="BB130" s="580"/>
      <c r="BC130" s="580"/>
      <c r="BD130" s="580"/>
      <c r="BE130" s="580"/>
    </row>
    <row r="131" spans="1:57">
      <c r="A131" s="580"/>
      <c r="B131" s="616"/>
      <c r="C131" s="580"/>
      <c r="D131" s="616"/>
      <c r="E131" s="580"/>
      <c r="F131" s="580"/>
      <c r="G131" s="580"/>
      <c r="H131" s="580"/>
      <c r="I131" s="580"/>
      <c r="J131" s="580"/>
      <c r="K131" s="580"/>
      <c r="L131" s="580"/>
      <c r="M131" s="580"/>
      <c r="N131" s="580"/>
      <c r="O131" s="580"/>
      <c r="P131" s="580"/>
      <c r="Q131" s="580"/>
      <c r="R131" s="580"/>
      <c r="S131" s="580"/>
      <c r="T131" s="580"/>
      <c r="U131" s="580"/>
      <c r="V131" s="580"/>
      <c r="W131" s="580"/>
      <c r="X131" s="580"/>
      <c r="Y131" s="580"/>
      <c r="Z131" s="580"/>
      <c r="AA131" s="580"/>
      <c r="AB131" s="580"/>
      <c r="AC131" s="580"/>
      <c r="AD131" s="580"/>
      <c r="AE131" s="580"/>
      <c r="AF131" s="580"/>
      <c r="AG131" s="580"/>
      <c r="AH131" s="580"/>
      <c r="AI131" s="580"/>
      <c r="AJ131" s="580"/>
      <c r="AK131" s="580"/>
      <c r="AL131" s="580"/>
      <c r="AM131" s="580"/>
      <c r="AN131" s="580"/>
      <c r="AO131" s="580"/>
      <c r="AP131" s="580"/>
      <c r="AQ131" s="580"/>
      <c r="AR131" s="580"/>
      <c r="AS131" s="580"/>
      <c r="AT131" s="580"/>
      <c r="AU131" s="580"/>
      <c r="AV131" s="580"/>
      <c r="AW131" s="580"/>
      <c r="AX131" s="580"/>
      <c r="AY131" s="580"/>
      <c r="AZ131" s="580"/>
      <c r="BA131" s="580"/>
      <c r="BB131" s="580"/>
      <c r="BC131" s="580"/>
      <c r="BD131" s="580"/>
      <c r="BE131" s="580"/>
    </row>
    <row r="132" spans="1:57">
      <c r="A132" s="580"/>
      <c r="B132" s="616"/>
      <c r="C132" s="580"/>
      <c r="D132" s="616"/>
      <c r="E132" s="580"/>
      <c r="F132" s="580"/>
      <c r="G132" s="580"/>
      <c r="H132" s="580"/>
      <c r="I132" s="580"/>
      <c r="J132" s="580"/>
      <c r="K132" s="580"/>
      <c r="L132" s="580"/>
      <c r="M132" s="580"/>
      <c r="N132" s="580"/>
      <c r="O132" s="580"/>
      <c r="P132" s="580"/>
      <c r="Q132" s="580"/>
      <c r="R132" s="580"/>
      <c r="S132" s="580"/>
      <c r="T132" s="580"/>
      <c r="U132" s="580"/>
      <c r="V132" s="580"/>
      <c r="W132" s="580"/>
      <c r="X132" s="580"/>
      <c r="Y132" s="580"/>
      <c r="Z132" s="580"/>
      <c r="AA132" s="580"/>
      <c r="AB132" s="580"/>
      <c r="AC132" s="580"/>
      <c r="AD132" s="580"/>
      <c r="AE132" s="580"/>
      <c r="AF132" s="580"/>
      <c r="AG132" s="580"/>
      <c r="AH132" s="580"/>
      <c r="AI132" s="580"/>
      <c r="AJ132" s="580"/>
      <c r="AK132" s="580"/>
      <c r="AL132" s="580"/>
      <c r="AM132" s="580"/>
      <c r="AN132" s="580"/>
      <c r="AO132" s="580"/>
      <c r="AP132" s="580"/>
      <c r="AQ132" s="580"/>
      <c r="AR132" s="580"/>
      <c r="AS132" s="580"/>
      <c r="AT132" s="580"/>
      <c r="AU132" s="580"/>
      <c r="AV132" s="580"/>
      <c r="AW132" s="580"/>
      <c r="AX132" s="580"/>
      <c r="AY132" s="580"/>
      <c r="AZ132" s="580"/>
      <c r="BA132" s="580"/>
      <c r="BB132" s="580"/>
      <c r="BC132" s="580"/>
      <c r="BD132" s="580"/>
      <c r="BE132" s="580"/>
    </row>
    <row r="133" spans="1:57">
      <c r="A133" s="580"/>
      <c r="B133" s="616"/>
      <c r="C133" s="580"/>
      <c r="D133" s="616"/>
      <c r="E133" s="580"/>
      <c r="F133" s="580"/>
      <c r="G133" s="580"/>
      <c r="H133" s="580"/>
      <c r="I133" s="580"/>
      <c r="J133" s="580"/>
      <c r="K133" s="580"/>
      <c r="L133" s="580"/>
      <c r="M133" s="580"/>
      <c r="N133" s="580"/>
      <c r="O133" s="580"/>
      <c r="P133" s="580"/>
      <c r="Q133" s="580"/>
      <c r="R133" s="580"/>
      <c r="S133" s="580"/>
      <c r="T133" s="580"/>
      <c r="U133" s="580"/>
      <c r="V133" s="580"/>
      <c r="W133" s="580"/>
      <c r="X133" s="580"/>
      <c r="Y133" s="580"/>
      <c r="Z133" s="580"/>
      <c r="AA133" s="580"/>
      <c r="AB133" s="580"/>
      <c r="AC133" s="580"/>
      <c r="AD133" s="580"/>
      <c r="AE133" s="580"/>
      <c r="AF133" s="580"/>
      <c r="AG133" s="580"/>
      <c r="AH133" s="580"/>
      <c r="AI133" s="580"/>
      <c r="AJ133" s="580"/>
      <c r="AK133" s="580"/>
      <c r="AL133" s="580"/>
      <c r="AM133" s="580"/>
      <c r="AN133" s="580"/>
      <c r="AO133" s="580"/>
      <c r="AP133" s="580"/>
      <c r="AQ133" s="580"/>
      <c r="AR133" s="580"/>
      <c r="AS133" s="580"/>
      <c r="AT133" s="580"/>
      <c r="AU133" s="580"/>
      <c r="AV133" s="580"/>
      <c r="AW133" s="580"/>
      <c r="AX133" s="580"/>
      <c r="AY133" s="580"/>
      <c r="AZ133" s="580"/>
      <c r="BA133" s="580"/>
      <c r="BB133" s="580"/>
      <c r="BC133" s="580"/>
      <c r="BD133" s="580"/>
      <c r="BE133" s="580"/>
    </row>
    <row r="134" spans="1:57">
      <c r="A134" s="580"/>
      <c r="B134" s="616"/>
      <c r="C134" s="580"/>
      <c r="D134" s="616"/>
      <c r="E134" s="580"/>
      <c r="F134" s="580"/>
      <c r="G134" s="580"/>
      <c r="H134" s="580"/>
      <c r="I134" s="580"/>
      <c r="J134" s="580"/>
      <c r="K134" s="580"/>
      <c r="L134" s="580"/>
      <c r="M134" s="580"/>
      <c r="N134" s="580"/>
      <c r="O134" s="580"/>
      <c r="P134" s="580"/>
      <c r="Q134" s="580"/>
      <c r="R134" s="580"/>
      <c r="S134" s="580"/>
      <c r="T134" s="580"/>
      <c r="U134" s="580"/>
      <c r="V134" s="580"/>
      <c r="W134" s="580"/>
      <c r="X134" s="580"/>
      <c r="Y134" s="580"/>
      <c r="Z134" s="580"/>
      <c r="AA134" s="580"/>
      <c r="AB134" s="580"/>
      <c r="AC134" s="580"/>
      <c r="AD134" s="580"/>
      <c r="AE134" s="580"/>
      <c r="AF134" s="580"/>
      <c r="AG134" s="580"/>
      <c r="AH134" s="580"/>
      <c r="AI134" s="580"/>
      <c r="AJ134" s="580"/>
      <c r="AK134" s="580"/>
      <c r="AL134" s="580"/>
      <c r="AM134" s="580"/>
      <c r="AN134" s="580"/>
      <c r="AO134" s="580"/>
      <c r="AP134" s="580"/>
      <c r="AQ134" s="580"/>
      <c r="AR134" s="580"/>
      <c r="AS134" s="580"/>
      <c r="AT134" s="580"/>
      <c r="AU134" s="580"/>
      <c r="AV134" s="580"/>
      <c r="AW134" s="580"/>
      <c r="AX134" s="580"/>
      <c r="AY134" s="580"/>
      <c r="AZ134" s="580"/>
      <c r="BA134" s="580"/>
      <c r="BB134" s="580"/>
      <c r="BC134" s="580"/>
      <c r="BD134" s="580"/>
      <c r="BE134" s="580"/>
    </row>
    <row r="135" spans="1:57">
      <c r="A135" s="580"/>
      <c r="B135" s="616"/>
      <c r="C135" s="580"/>
      <c r="D135" s="616"/>
      <c r="E135" s="580"/>
      <c r="F135" s="580"/>
      <c r="G135" s="580"/>
      <c r="H135" s="580"/>
      <c r="I135" s="580"/>
      <c r="J135" s="580"/>
      <c r="K135" s="580"/>
      <c r="L135" s="580"/>
      <c r="M135" s="580"/>
      <c r="N135" s="580"/>
      <c r="O135" s="580"/>
      <c r="P135" s="580"/>
      <c r="Q135" s="580"/>
      <c r="R135" s="580"/>
      <c r="S135" s="580"/>
      <c r="T135" s="580"/>
      <c r="U135" s="580"/>
      <c r="V135" s="580"/>
      <c r="W135" s="580"/>
      <c r="X135" s="580"/>
      <c r="Y135" s="580"/>
      <c r="Z135" s="580"/>
      <c r="AA135" s="580"/>
      <c r="AB135" s="580"/>
      <c r="AC135" s="580"/>
      <c r="AD135" s="580"/>
      <c r="AE135" s="580"/>
      <c r="AF135" s="580"/>
      <c r="AG135" s="580"/>
      <c r="AH135" s="580"/>
      <c r="AI135" s="580"/>
      <c r="AJ135" s="580"/>
      <c r="AK135" s="580"/>
      <c r="AL135" s="580"/>
      <c r="AM135" s="580"/>
      <c r="AN135" s="580"/>
      <c r="AO135" s="580"/>
      <c r="AP135" s="580"/>
      <c r="AQ135" s="580"/>
      <c r="AR135" s="580"/>
      <c r="AS135" s="580"/>
      <c r="AT135" s="580"/>
      <c r="AU135" s="580"/>
      <c r="AV135" s="580"/>
      <c r="AW135" s="580"/>
      <c r="AX135" s="580"/>
      <c r="AY135" s="580"/>
      <c r="AZ135" s="580"/>
      <c r="BA135" s="580"/>
      <c r="BB135" s="580"/>
      <c r="BC135" s="580"/>
      <c r="BD135" s="580"/>
      <c r="BE135" s="580"/>
    </row>
    <row r="136" spans="1:57">
      <c r="A136" s="580"/>
      <c r="B136" s="616"/>
      <c r="C136" s="580"/>
      <c r="D136" s="616"/>
      <c r="E136" s="580"/>
      <c r="F136" s="580"/>
      <c r="G136" s="580"/>
      <c r="H136" s="580"/>
      <c r="I136" s="580"/>
      <c r="J136" s="580"/>
      <c r="K136" s="580"/>
      <c r="L136" s="580"/>
      <c r="M136" s="580"/>
      <c r="N136" s="580"/>
      <c r="O136" s="580"/>
      <c r="P136" s="580"/>
      <c r="Q136" s="580"/>
      <c r="R136" s="580"/>
      <c r="S136" s="580"/>
      <c r="T136" s="580"/>
      <c r="U136" s="580"/>
      <c r="V136" s="580"/>
      <c r="W136" s="580"/>
      <c r="X136" s="580"/>
      <c r="Y136" s="580"/>
      <c r="Z136" s="580"/>
      <c r="AA136" s="580"/>
      <c r="AB136" s="580"/>
      <c r="AC136" s="580"/>
      <c r="AD136" s="580"/>
      <c r="AE136" s="580"/>
      <c r="AF136" s="580"/>
      <c r="AG136" s="580"/>
      <c r="AH136" s="580"/>
      <c r="AI136" s="580"/>
      <c r="AJ136" s="580"/>
      <c r="AK136" s="580"/>
      <c r="AL136" s="580"/>
      <c r="AM136" s="580"/>
      <c r="AN136" s="580"/>
      <c r="AO136" s="580"/>
      <c r="AP136" s="580"/>
      <c r="AQ136" s="580"/>
      <c r="AR136" s="580"/>
      <c r="AS136" s="580"/>
      <c r="AT136" s="580"/>
      <c r="AU136" s="580"/>
      <c r="AV136" s="580"/>
      <c r="AW136" s="580"/>
      <c r="AX136" s="580"/>
      <c r="AY136" s="580"/>
      <c r="AZ136" s="580"/>
      <c r="BA136" s="580"/>
      <c r="BB136" s="580"/>
      <c r="BC136" s="580"/>
      <c r="BD136" s="580"/>
      <c r="BE136" s="580"/>
    </row>
    <row r="137" spans="1:57">
      <c r="A137" s="580"/>
      <c r="B137" s="616"/>
      <c r="C137" s="580"/>
      <c r="D137" s="616"/>
      <c r="E137" s="580"/>
      <c r="F137" s="580"/>
      <c r="G137" s="580"/>
      <c r="H137" s="580"/>
      <c r="I137" s="580"/>
      <c r="J137" s="580"/>
      <c r="K137" s="580"/>
      <c r="L137" s="580"/>
      <c r="M137" s="580"/>
      <c r="N137" s="580"/>
      <c r="O137" s="580"/>
      <c r="P137" s="580"/>
      <c r="Q137" s="580"/>
      <c r="R137" s="580"/>
      <c r="S137" s="580"/>
      <c r="T137" s="580"/>
      <c r="U137" s="580"/>
      <c r="V137" s="580"/>
      <c r="W137" s="580"/>
      <c r="X137" s="580"/>
      <c r="Y137" s="580"/>
      <c r="Z137" s="580"/>
      <c r="AA137" s="580"/>
      <c r="AB137" s="580"/>
      <c r="AC137" s="580"/>
      <c r="AD137" s="580"/>
      <c r="AE137" s="580"/>
      <c r="AF137" s="580"/>
      <c r="AG137" s="580"/>
      <c r="AH137" s="580"/>
      <c r="AI137" s="580"/>
      <c r="AJ137" s="580"/>
      <c r="AK137" s="580"/>
      <c r="AL137" s="580"/>
      <c r="AM137" s="580"/>
      <c r="AN137" s="580"/>
      <c r="AO137" s="580"/>
      <c r="AP137" s="580"/>
      <c r="AQ137" s="580"/>
      <c r="AR137" s="580"/>
      <c r="AS137" s="580"/>
      <c r="AT137" s="580"/>
      <c r="AU137" s="580"/>
      <c r="AV137" s="580"/>
      <c r="AW137" s="580"/>
      <c r="AX137" s="580"/>
      <c r="AY137" s="580"/>
      <c r="AZ137" s="580"/>
      <c r="BA137" s="580"/>
      <c r="BB137" s="580"/>
      <c r="BC137" s="580"/>
      <c r="BD137" s="580"/>
      <c r="BE137" s="580"/>
    </row>
    <row r="138" spans="1:57">
      <c r="A138" s="580"/>
      <c r="B138" s="616"/>
      <c r="C138" s="580"/>
      <c r="D138" s="616"/>
      <c r="E138" s="580"/>
      <c r="F138" s="580"/>
      <c r="G138" s="580"/>
      <c r="H138" s="580"/>
      <c r="I138" s="580"/>
      <c r="J138" s="580"/>
      <c r="K138" s="580"/>
      <c r="L138" s="580"/>
      <c r="M138" s="580"/>
      <c r="N138" s="580"/>
      <c r="O138" s="580"/>
      <c r="P138" s="580"/>
      <c r="Q138" s="580"/>
      <c r="R138" s="580"/>
      <c r="S138" s="580"/>
      <c r="T138" s="580"/>
      <c r="U138" s="580"/>
      <c r="V138" s="580"/>
      <c r="W138" s="580"/>
      <c r="X138" s="580"/>
      <c r="Y138" s="580"/>
      <c r="Z138" s="580"/>
      <c r="AA138" s="580"/>
      <c r="AB138" s="580"/>
      <c r="AC138" s="580"/>
      <c r="AD138" s="580"/>
      <c r="AE138" s="580"/>
      <c r="AF138" s="580"/>
      <c r="AG138" s="580"/>
      <c r="AH138" s="580"/>
      <c r="AI138" s="580"/>
      <c r="AJ138" s="580"/>
      <c r="AK138" s="580"/>
      <c r="AL138" s="580"/>
      <c r="AM138" s="580"/>
      <c r="AN138" s="580"/>
      <c r="AO138" s="580"/>
      <c r="AP138" s="580"/>
      <c r="AQ138" s="580"/>
      <c r="AR138" s="580"/>
      <c r="AS138" s="580"/>
      <c r="AT138" s="580"/>
      <c r="AU138" s="580"/>
      <c r="AV138" s="580"/>
      <c r="AW138" s="580"/>
      <c r="AX138" s="580"/>
      <c r="AY138" s="580"/>
      <c r="AZ138" s="580"/>
      <c r="BA138" s="580"/>
      <c r="BB138" s="580"/>
      <c r="BC138" s="580"/>
      <c r="BD138" s="580"/>
      <c r="BE138" s="580"/>
    </row>
    <row r="139" spans="1:57">
      <c r="A139" s="580"/>
      <c r="B139" s="616"/>
      <c r="C139" s="580"/>
      <c r="D139" s="616"/>
      <c r="E139" s="580"/>
      <c r="F139" s="580"/>
      <c r="G139" s="580"/>
      <c r="H139" s="580"/>
      <c r="I139" s="580"/>
      <c r="J139" s="580"/>
      <c r="K139" s="580"/>
      <c r="L139" s="580"/>
      <c r="M139" s="580"/>
      <c r="N139" s="580"/>
      <c r="O139" s="580"/>
      <c r="P139" s="580"/>
      <c r="Q139" s="580"/>
      <c r="R139" s="580"/>
      <c r="S139" s="580"/>
      <c r="T139" s="580"/>
      <c r="U139" s="580"/>
      <c r="V139" s="580"/>
      <c r="W139" s="580"/>
      <c r="X139" s="580"/>
      <c r="Y139" s="580"/>
      <c r="Z139" s="580"/>
      <c r="AA139" s="580"/>
      <c r="AB139" s="580"/>
      <c r="AC139" s="580"/>
      <c r="AD139" s="580"/>
      <c r="AE139" s="580"/>
      <c r="AF139" s="580"/>
      <c r="AG139" s="580"/>
      <c r="AH139" s="580"/>
      <c r="AI139" s="580"/>
      <c r="AJ139" s="580"/>
      <c r="AK139" s="580"/>
      <c r="AL139" s="580"/>
      <c r="AM139" s="580"/>
      <c r="AN139" s="580"/>
      <c r="AO139" s="580"/>
      <c r="AP139" s="580"/>
      <c r="AQ139" s="580"/>
      <c r="AR139" s="580"/>
      <c r="AS139" s="580"/>
      <c r="AT139" s="580"/>
      <c r="AU139" s="580"/>
      <c r="AV139" s="580"/>
      <c r="AW139" s="580"/>
      <c r="AX139" s="580"/>
      <c r="AY139" s="580"/>
      <c r="AZ139" s="580"/>
      <c r="BA139" s="580"/>
      <c r="BB139" s="580"/>
      <c r="BC139" s="580"/>
      <c r="BD139" s="580"/>
      <c r="BE139" s="580"/>
    </row>
    <row r="140" spans="1:57">
      <c r="A140" s="580"/>
      <c r="B140" s="616"/>
      <c r="C140" s="580"/>
      <c r="D140" s="616"/>
      <c r="E140" s="580"/>
      <c r="F140" s="580"/>
      <c r="G140" s="580"/>
      <c r="H140" s="580"/>
      <c r="I140" s="580"/>
      <c r="J140" s="580"/>
      <c r="K140" s="580"/>
      <c r="L140" s="580"/>
      <c r="M140" s="580"/>
      <c r="N140" s="580"/>
      <c r="O140" s="580"/>
      <c r="P140" s="580"/>
      <c r="Q140" s="580"/>
      <c r="R140" s="580"/>
      <c r="S140" s="580"/>
      <c r="T140" s="580"/>
      <c r="U140" s="580"/>
      <c r="V140" s="580"/>
      <c r="W140" s="580"/>
      <c r="X140" s="580"/>
      <c r="Y140" s="580"/>
      <c r="Z140" s="580"/>
      <c r="AA140" s="580"/>
      <c r="AB140" s="580"/>
      <c r="AC140" s="580"/>
      <c r="AD140" s="580"/>
      <c r="AE140" s="580"/>
      <c r="AF140" s="580"/>
      <c r="AG140" s="580"/>
      <c r="AH140" s="580"/>
      <c r="AI140" s="580"/>
      <c r="AJ140" s="580"/>
      <c r="AK140" s="580"/>
      <c r="AL140" s="580"/>
      <c r="AM140" s="580"/>
      <c r="AN140" s="580"/>
      <c r="AO140" s="580"/>
      <c r="AP140" s="580"/>
      <c r="AQ140" s="580"/>
      <c r="AR140" s="580"/>
      <c r="AS140" s="580"/>
      <c r="AT140" s="580"/>
      <c r="AU140" s="580"/>
      <c r="AV140" s="580"/>
      <c r="AW140" s="580"/>
      <c r="AX140" s="580"/>
      <c r="AY140" s="580"/>
      <c r="AZ140" s="580"/>
      <c r="BA140" s="580"/>
      <c r="BB140" s="580"/>
      <c r="BC140" s="580"/>
      <c r="BD140" s="580"/>
      <c r="BE140" s="580"/>
    </row>
    <row r="141" spans="1:57">
      <c r="A141" s="580"/>
      <c r="B141" s="616"/>
      <c r="C141" s="580"/>
      <c r="D141" s="616"/>
      <c r="E141" s="580"/>
      <c r="F141" s="580"/>
      <c r="G141" s="580"/>
      <c r="H141" s="580"/>
      <c r="I141" s="580"/>
      <c r="J141" s="580"/>
      <c r="K141" s="580"/>
      <c r="L141" s="580"/>
      <c r="M141" s="580"/>
      <c r="N141" s="580"/>
      <c r="O141" s="580"/>
      <c r="P141" s="580"/>
      <c r="Q141" s="580"/>
      <c r="R141" s="580"/>
      <c r="S141" s="580"/>
      <c r="T141" s="580"/>
      <c r="U141" s="580"/>
      <c r="V141" s="580"/>
      <c r="W141" s="580"/>
      <c r="X141" s="580"/>
      <c r="Y141" s="580"/>
      <c r="Z141" s="580"/>
      <c r="AA141" s="580"/>
      <c r="AB141" s="580"/>
      <c r="AC141" s="580"/>
      <c r="AD141" s="580"/>
      <c r="AE141" s="580"/>
      <c r="AF141" s="580"/>
      <c r="AG141" s="580"/>
      <c r="AH141" s="580"/>
      <c r="AI141" s="580"/>
      <c r="AJ141" s="580"/>
      <c r="AK141" s="580"/>
      <c r="AL141" s="580"/>
      <c r="AM141" s="580"/>
      <c r="AN141" s="580"/>
      <c r="AO141" s="580"/>
      <c r="AP141" s="580"/>
      <c r="AQ141" s="580"/>
      <c r="AR141" s="580"/>
      <c r="AS141" s="580"/>
      <c r="AT141" s="580"/>
      <c r="AU141" s="580"/>
      <c r="AV141" s="580"/>
      <c r="AW141" s="580"/>
      <c r="AX141" s="580"/>
      <c r="AY141" s="580"/>
      <c r="AZ141" s="580"/>
      <c r="BA141" s="580"/>
      <c r="BB141" s="580"/>
      <c r="BC141" s="580"/>
      <c r="BD141" s="580"/>
      <c r="BE141" s="580"/>
    </row>
    <row r="142" spans="1:57">
      <c r="A142" s="580"/>
      <c r="B142" s="616"/>
      <c r="C142" s="580"/>
      <c r="D142" s="616"/>
      <c r="E142" s="580"/>
      <c r="F142" s="580"/>
      <c r="G142" s="580"/>
      <c r="H142" s="580"/>
      <c r="I142" s="580"/>
      <c r="J142" s="580"/>
      <c r="K142" s="580"/>
      <c r="L142" s="580"/>
      <c r="M142" s="580"/>
      <c r="N142" s="580"/>
      <c r="O142" s="580"/>
      <c r="P142" s="580"/>
      <c r="Q142" s="580"/>
      <c r="R142" s="580"/>
      <c r="S142" s="580"/>
      <c r="T142" s="580"/>
      <c r="U142" s="580"/>
      <c r="V142" s="580"/>
      <c r="W142" s="580"/>
      <c r="X142" s="580"/>
      <c r="Y142" s="580"/>
      <c r="Z142" s="580"/>
      <c r="AA142" s="580"/>
      <c r="AB142" s="580"/>
      <c r="AC142" s="580"/>
      <c r="AD142" s="580"/>
      <c r="AE142" s="580"/>
      <c r="AF142" s="580"/>
      <c r="AG142" s="580"/>
      <c r="AH142" s="580"/>
      <c r="AI142" s="580"/>
      <c r="AJ142" s="580"/>
      <c r="AK142" s="580"/>
      <c r="AL142" s="580"/>
      <c r="AM142" s="580"/>
      <c r="AN142" s="580"/>
      <c r="AO142" s="580"/>
      <c r="AP142" s="580"/>
      <c r="AQ142" s="580"/>
      <c r="AR142" s="580"/>
      <c r="AS142" s="580"/>
      <c r="AT142" s="580"/>
      <c r="AU142" s="580"/>
      <c r="AV142" s="580"/>
      <c r="AW142" s="580"/>
      <c r="AX142" s="580"/>
      <c r="AY142" s="580"/>
      <c r="AZ142" s="580"/>
      <c r="BA142" s="580"/>
      <c r="BB142" s="580"/>
      <c r="BC142" s="580"/>
      <c r="BD142" s="580"/>
      <c r="BE142" s="580"/>
    </row>
    <row r="143" spans="1:57">
      <c r="A143" s="580"/>
      <c r="B143" s="616"/>
      <c r="C143" s="580"/>
      <c r="D143" s="616"/>
      <c r="E143" s="580"/>
      <c r="F143" s="580"/>
      <c r="G143" s="580"/>
      <c r="H143" s="580"/>
      <c r="I143" s="580"/>
      <c r="J143" s="580"/>
      <c r="K143" s="580"/>
      <c r="L143" s="580"/>
      <c r="M143" s="580"/>
      <c r="N143" s="580"/>
      <c r="O143" s="580"/>
      <c r="P143" s="580"/>
      <c r="Q143" s="580"/>
      <c r="R143" s="580"/>
      <c r="S143" s="580"/>
      <c r="T143" s="580"/>
      <c r="U143" s="580"/>
      <c r="V143" s="580"/>
      <c r="W143" s="580"/>
      <c r="X143" s="580"/>
      <c r="Y143" s="580"/>
      <c r="Z143" s="580"/>
      <c r="AA143" s="580"/>
      <c r="AB143" s="580"/>
      <c r="AC143" s="580"/>
      <c r="AD143" s="580"/>
      <c r="AE143" s="580"/>
      <c r="AF143" s="580"/>
      <c r="AG143" s="580"/>
      <c r="AH143" s="580"/>
      <c r="AI143" s="580"/>
      <c r="AJ143" s="580"/>
      <c r="AK143" s="580"/>
      <c r="AL143" s="580"/>
      <c r="AM143" s="580"/>
      <c r="AN143" s="580"/>
      <c r="AO143" s="580"/>
      <c r="AP143" s="580"/>
      <c r="AQ143" s="580"/>
      <c r="AR143" s="580"/>
      <c r="AS143" s="580"/>
      <c r="AT143" s="580"/>
      <c r="AU143" s="580"/>
      <c r="AV143" s="580"/>
      <c r="AW143" s="580"/>
      <c r="AX143" s="580"/>
      <c r="AY143" s="580"/>
      <c r="AZ143" s="580"/>
      <c r="BA143" s="580"/>
      <c r="BB143" s="580"/>
      <c r="BC143" s="580"/>
      <c r="BD143" s="580"/>
      <c r="BE143" s="580"/>
    </row>
    <row r="144" spans="1:57">
      <c r="A144" s="580"/>
      <c r="B144" s="616"/>
      <c r="C144" s="580"/>
      <c r="D144" s="616"/>
      <c r="E144" s="580"/>
      <c r="F144" s="580"/>
      <c r="G144" s="580"/>
      <c r="H144" s="580"/>
      <c r="I144" s="580"/>
      <c r="J144" s="580"/>
      <c r="K144" s="580"/>
      <c r="L144" s="580"/>
      <c r="M144" s="580"/>
      <c r="N144" s="580"/>
      <c r="O144" s="580"/>
      <c r="P144" s="580"/>
      <c r="Q144" s="580"/>
      <c r="R144" s="580"/>
      <c r="S144" s="580"/>
      <c r="T144" s="580"/>
      <c r="U144" s="580"/>
      <c r="V144" s="580"/>
      <c r="W144" s="580"/>
      <c r="X144" s="580"/>
      <c r="Y144" s="580"/>
      <c r="Z144" s="580"/>
      <c r="AA144" s="580"/>
      <c r="AB144" s="580"/>
      <c r="AC144" s="580"/>
      <c r="AD144" s="580"/>
      <c r="AE144" s="580"/>
      <c r="AF144" s="580"/>
      <c r="AG144" s="580"/>
      <c r="AH144" s="580"/>
      <c r="AI144" s="580"/>
      <c r="AJ144" s="580"/>
      <c r="AK144" s="580"/>
      <c r="AL144" s="580"/>
      <c r="AM144" s="580"/>
      <c r="AN144" s="580"/>
      <c r="AO144" s="580"/>
      <c r="AP144" s="580"/>
      <c r="AQ144" s="580"/>
      <c r="AR144" s="580"/>
      <c r="AS144" s="580"/>
      <c r="AT144" s="580"/>
      <c r="AU144" s="580"/>
      <c r="AV144" s="580"/>
      <c r="AW144" s="580"/>
      <c r="AX144" s="580"/>
      <c r="AY144" s="580"/>
      <c r="AZ144" s="580"/>
      <c r="BA144" s="580"/>
      <c r="BB144" s="580"/>
      <c r="BC144" s="580"/>
      <c r="BD144" s="580"/>
      <c r="BE144" s="580"/>
    </row>
    <row r="145" spans="1:57">
      <c r="A145" s="580"/>
      <c r="B145" s="616"/>
      <c r="C145" s="580"/>
      <c r="D145" s="616"/>
      <c r="E145" s="580"/>
      <c r="F145" s="580"/>
      <c r="G145" s="580"/>
      <c r="H145" s="580"/>
      <c r="I145" s="580"/>
      <c r="J145" s="580"/>
      <c r="K145" s="580"/>
      <c r="L145" s="580"/>
      <c r="M145" s="580"/>
      <c r="N145" s="580"/>
      <c r="O145" s="580"/>
      <c r="P145" s="580"/>
      <c r="Q145" s="580"/>
      <c r="R145" s="580"/>
      <c r="S145" s="580"/>
      <c r="T145" s="580"/>
      <c r="U145" s="580"/>
      <c r="V145" s="580"/>
      <c r="W145" s="580"/>
      <c r="X145" s="580"/>
      <c r="Y145" s="580"/>
      <c r="Z145" s="580"/>
      <c r="AA145" s="580"/>
      <c r="AB145" s="580"/>
      <c r="AC145" s="580"/>
      <c r="AD145" s="580"/>
      <c r="AE145" s="580"/>
      <c r="AF145" s="580"/>
      <c r="AG145" s="580"/>
      <c r="AH145" s="580"/>
      <c r="AI145" s="580"/>
      <c r="AJ145" s="580"/>
      <c r="AK145" s="580"/>
      <c r="AL145" s="580"/>
      <c r="AM145" s="580"/>
      <c r="AN145" s="580"/>
      <c r="AO145" s="580"/>
      <c r="AP145" s="580"/>
      <c r="AQ145" s="580"/>
      <c r="AR145" s="580"/>
      <c r="AS145" s="580"/>
      <c r="AT145" s="580"/>
      <c r="AU145" s="580"/>
      <c r="AV145" s="580"/>
      <c r="AW145" s="580"/>
      <c r="AX145" s="580"/>
      <c r="AY145" s="580"/>
      <c r="AZ145" s="580"/>
      <c r="BA145" s="580"/>
      <c r="BB145" s="580"/>
      <c r="BC145" s="580"/>
      <c r="BD145" s="580"/>
      <c r="BE145" s="580"/>
    </row>
    <row r="146" spans="1:57">
      <c r="A146" s="580"/>
      <c r="B146" s="616"/>
      <c r="C146" s="580"/>
      <c r="D146" s="616"/>
      <c r="E146" s="580"/>
      <c r="F146" s="580"/>
      <c r="G146" s="580"/>
      <c r="H146" s="580"/>
      <c r="I146" s="580"/>
      <c r="J146" s="580"/>
      <c r="K146" s="580"/>
      <c r="L146" s="580"/>
      <c r="M146" s="580"/>
      <c r="N146" s="580"/>
      <c r="O146" s="580"/>
      <c r="P146" s="580"/>
      <c r="Q146" s="580"/>
      <c r="R146" s="580"/>
      <c r="S146" s="580"/>
      <c r="T146" s="580"/>
      <c r="U146" s="580"/>
      <c r="V146" s="580"/>
      <c r="W146" s="580"/>
      <c r="X146" s="580"/>
      <c r="Y146" s="580"/>
      <c r="Z146" s="580"/>
      <c r="AA146" s="580"/>
      <c r="AB146" s="580"/>
      <c r="AC146" s="580"/>
      <c r="AD146" s="580"/>
      <c r="AE146" s="580"/>
      <c r="AF146" s="580"/>
      <c r="AG146" s="580"/>
      <c r="AH146" s="580"/>
      <c r="AI146" s="580"/>
      <c r="AJ146" s="580"/>
      <c r="AK146" s="580"/>
      <c r="AL146" s="580"/>
      <c r="AM146" s="580"/>
      <c r="AN146" s="580"/>
      <c r="AO146" s="580"/>
      <c r="AP146" s="580"/>
      <c r="AQ146" s="580"/>
      <c r="AR146" s="580"/>
      <c r="AS146" s="580"/>
      <c r="AT146" s="580"/>
      <c r="AU146" s="580"/>
      <c r="AV146" s="580"/>
      <c r="AW146" s="580"/>
      <c r="AX146" s="580"/>
      <c r="AY146" s="580"/>
      <c r="AZ146" s="580"/>
      <c r="BA146" s="580"/>
      <c r="BB146" s="580"/>
      <c r="BC146" s="580"/>
      <c r="BD146" s="580"/>
      <c r="BE146" s="580"/>
    </row>
    <row r="147" spans="1:57">
      <c r="A147" s="580"/>
      <c r="B147" s="616"/>
      <c r="C147" s="580"/>
      <c r="D147" s="616"/>
      <c r="E147" s="580"/>
      <c r="F147" s="580"/>
      <c r="G147" s="580"/>
      <c r="H147" s="580"/>
      <c r="I147" s="580"/>
      <c r="J147" s="580"/>
      <c r="K147" s="580"/>
      <c r="L147" s="580"/>
      <c r="M147" s="580"/>
      <c r="N147" s="580"/>
      <c r="O147" s="580"/>
      <c r="P147" s="580"/>
      <c r="Q147" s="580"/>
      <c r="R147" s="580"/>
      <c r="S147" s="580"/>
      <c r="T147" s="580"/>
      <c r="U147" s="580"/>
      <c r="V147" s="580"/>
      <c r="W147" s="580"/>
      <c r="X147" s="580"/>
      <c r="Y147" s="580"/>
      <c r="Z147" s="580"/>
      <c r="AA147" s="580"/>
      <c r="AB147" s="580"/>
      <c r="AC147" s="580"/>
      <c r="AD147" s="580"/>
      <c r="AE147" s="580"/>
      <c r="AF147" s="580"/>
      <c r="AG147" s="580"/>
      <c r="AH147" s="580"/>
      <c r="AI147" s="580"/>
      <c r="AJ147" s="580"/>
      <c r="AK147" s="580"/>
      <c r="AL147" s="580"/>
      <c r="AM147" s="580"/>
      <c r="AN147" s="580"/>
      <c r="AO147" s="580"/>
      <c r="AP147" s="580"/>
      <c r="AQ147" s="580"/>
      <c r="AR147" s="580"/>
      <c r="AS147" s="580"/>
      <c r="AT147" s="580"/>
      <c r="AU147" s="580"/>
      <c r="AV147" s="580"/>
      <c r="AW147" s="580"/>
      <c r="AX147" s="580"/>
      <c r="AY147" s="580"/>
      <c r="AZ147" s="580"/>
      <c r="BA147" s="580"/>
      <c r="BB147" s="580"/>
      <c r="BC147" s="580"/>
      <c r="BD147" s="580"/>
      <c r="BE147" s="58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S144"/>
  <sheetViews>
    <sheetView zoomScale="98" workbookViewId="0">
      <selection activeCell="E24" sqref="E24"/>
    </sheetView>
  </sheetViews>
  <sheetFormatPr defaultRowHeight="14.5"/>
  <cols>
    <col min="1" max="1" width="36.7265625" bestFit="1" customWidth="1"/>
    <col min="2" max="2" width="4.453125" style="424" customWidth="1"/>
    <col min="3" max="3" width="19.90625" style="418" customWidth="1"/>
    <col min="4" max="4" width="7.6328125" style="424" customWidth="1"/>
    <col min="5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  <c r="W1" s="580"/>
      <c r="X1" s="580"/>
      <c r="Y1" s="580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</row>
    <row r="2" spans="1:45">
      <c r="A2" s="583"/>
      <c r="B2" s="584"/>
      <c r="C2" s="584"/>
      <c r="D2" s="584"/>
      <c r="E2" s="617">
        <v>45657</v>
      </c>
      <c r="F2" s="617">
        <v>45747</v>
      </c>
      <c r="G2" s="617">
        <v>45838</v>
      </c>
      <c r="H2" s="617">
        <v>45930</v>
      </c>
      <c r="I2" s="617">
        <v>46022</v>
      </c>
      <c r="J2" s="617">
        <v>46112</v>
      </c>
      <c r="K2" s="617">
        <v>46203</v>
      </c>
      <c r="L2" s="617">
        <v>46295</v>
      </c>
      <c r="M2" s="617">
        <v>46387</v>
      </c>
      <c r="N2" s="617">
        <v>46752</v>
      </c>
      <c r="O2" s="617">
        <v>47118</v>
      </c>
      <c r="P2" s="617">
        <v>47483</v>
      </c>
      <c r="Q2" s="617">
        <v>47848</v>
      </c>
      <c r="R2" s="618"/>
      <c r="S2" s="619"/>
      <c r="T2" s="619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</row>
    <row r="3" spans="1:45" ht="14.65" customHeight="1">
      <c r="A3" s="583"/>
      <c r="B3" s="584"/>
      <c r="C3" s="584"/>
      <c r="D3" s="584"/>
      <c r="E3" s="620"/>
      <c r="F3" s="620" t="s">
        <v>130</v>
      </c>
      <c r="G3" s="620" t="s">
        <v>131</v>
      </c>
      <c r="H3" s="620" t="s">
        <v>132</v>
      </c>
      <c r="I3" s="620" t="s">
        <v>129</v>
      </c>
      <c r="J3" s="620" t="s">
        <v>130</v>
      </c>
      <c r="K3" s="620" t="s">
        <v>131</v>
      </c>
      <c r="L3" s="620" t="s">
        <v>132</v>
      </c>
      <c r="M3" s="620" t="s">
        <v>129</v>
      </c>
      <c r="N3" s="620" t="s">
        <v>129</v>
      </c>
      <c r="O3" s="620" t="s">
        <v>129</v>
      </c>
      <c r="P3" s="620" t="s">
        <v>129</v>
      </c>
      <c r="Q3" s="620" t="s">
        <v>129</v>
      </c>
      <c r="R3" s="621"/>
      <c r="S3" s="619"/>
      <c r="T3" s="619"/>
      <c r="U3" s="583"/>
      <c r="V3" s="583"/>
      <c r="W3" s="583"/>
      <c r="X3" s="583"/>
      <c r="Y3" s="583"/>
      <c r="Z3" s="583"/>
      <c r="AA3" s="583"/>
      <c r="AB3" s="583"/>
      <c r="AC3" s="583"/>
      <c r="AD3" s="583"/>
      <c r="AE3" s="583"/>
      <c r="AF3" s="583"/>
      <c r="AG3" s="583"/>
      <c r="AH3" s="583"/>
      <c r="AI3" s="583"/>
      <c r="AJ3" s="583"/>
      <c r="AK3" s="583"/>
      <c r="AL3" s="583"/>
      <c r="AM3" s="583"/>
      <c r="AN3" s="583"/>
      <c r="AO3" s="583"/>
      <c r="AP3" s="583"/>
      <c r="AQ3" s="583"/>
      <c r="AR3" s="583"/>
      <c r="AS3" s="583"/>
    </row>
    <row r="4" spans="1:45" ht="18.5" customHeight="1">
      <c r="A4" s="580"/>
      <c r="B4" s="592" t="s">
        <v>0</v>
      </c>
      <c r="C4" s="593" t="s">
        <v>1</v>
      </c>
      <c r="D4" s="592" t="s">
        <v>2</v>
      </c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0"/>
      <c r="U4" s="580"/>
      <c r="V4" s="580"/>
      <c r="W4" s="580"/>
      <c r="X4" s="580"/>
      <c r="Y4" s="580"/>
      <c r="Z4" s="580"/>
      <c r="AA4" s="580"/>
      <c r="AB4" s="580"/>
      <c r="AC4" s="580"/>
      <c r="AD4" s="580"/>
      <c r="AE4" s="580"/>
      <c r="AF4" s="580"/>
      <c r="AG4" s="580"/>
      <c r="AH4" s="580"/>
      <c r="AI4" s="580"/>
      <c r="AJ4" s="580"/>
      <c r="AK4" s="580"/>
      <c r="AL4" s="580"/>
      <c r="AM4" s="580"/>
      <c r="AN4" s="580"/>
      <c r="AO4" s="580"/>
      <c r="AP4" s="580"/>
      <c r="AQ4" s="580"/>
      <c r="AR4" s="580"/>
      <c r="AS4" s="580"/>
    </row>
    <row r="5" spans="1:45">
      <c r="A5" s="622" t="s">
        <v>1068</v>
      </c>
      <c r="B5" s="584"/>
      <c r="C5" s="586"/>
      <c r="D5" s="584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619"/>
      <c r="T5" s="619"/>
      <c r="U5" s="583"/>
      <c r="V5" s="583"/>
      <c r="W5" s="583"/>
      <c r="X5" s="583"/>
      <c r="Y5" s="583"/>
      <c r="Z5" s="583"/>
      <c r="AA5" s="583"/>
      <c r="AB5" s="583"/>
      <c r="AC5" s="583"/>
      <c r="AD5" s="583"/>
      <c r="AE5" s="583"/>
      <c r="AF5" s="583"/>
      <c r="AG5" s="583"/>
      <c r="AH5" s="583"/>
      <c r="AI5" s="583"/>
      <c r="AJ5" s="583"/>
      <c r="AK5" s="583"/>
      <c r="AL5" s="583"/>
      <c r="AM5" s="583"/>
      <c r="AN5" s="583"/>
      <c r="AO5" s="583"/>
      <c r="AP5" s="583"/>
      <c r="AQ5" s="583"/>
      <c r="AR5" s="583"/>
      <c r="AS5" s="583"/>
    </row>
    <row r="6" spans="1:45">
      <c r="A6" s="597" t="s">
        <v>1069</v>
      </c>
      <c r="B6" s="598" t="s">
        <v>17</v>
      </c>
      <c r="C6" s="599" t="s">
        <v>1053</v>
      </c>
      <c r="D6" s="600" t="s">
        <v>1070</v>
      </c>
      <c r="E6" s="580"/>
      <c r="F6" s="604">
        <v>125000</v>
      </c>
      <c r="G6" s="604">
        <v>125000</v>
      </c>
      <c r="H6" s="604">
        <v>125000</v>
      </c>
      <c r="I6" s="604">
        <v>125000</v>
      </c>
      <c r="J6" s="623">
        <v>125000</v>
      </c>
      <c r="K6" s="604">
        <v>125000</v>
      </c>
      <c r="L6" s="604">
        <v>125000</v>
      </c>
      <c r="M6" s="604">
        <v>125000</v>
      </c>
      <c r="N6" s="601">
        <v>500000</v>
      </c>
      <c r="O6" s="601">
        <v>500000</v>
      </c>
      <c r="P6" s="601">
        <v>500000</v>
      </c>
      <c r="Q6" s="601">
        <v>500000</v>
      </c>
      <c r="R6" s="605"/>
      <c r="S6" s="624"/>
      <c r="T6" s="624"/>
      <c r="U6" s="580"/>
      <c r="V6" s="580"/>
      <c r="W6" s="580"/>
      <c r="X6" s="580"/>
      <c r="Y6" s="580"/>
      <c r="Z6" s="580"/>
      <c r="AA6" s="580"/>
      <c r="AB6" s="580"/>
      <c r="AC6" s="580"/>
      <c r="AD6" s="580"/>
      <c r="AE6" s="580"/>
      <c r="AF6" s="580"/>
      <c r="AG6" s="580"/>
      <c r="AH6" s="580"/>
      <c r="AI6" s="580"/>
      <c r="AJ6" s="580"/>
      <c r="AK6" s="580"/>
      <c r="AL6" s="580"/>
      <c r="AM6" s="580"/>
      <c r="AN6" s="580"/>
      <c r="AO6" s="580"/>
      <c r="AP6" s="580"/>
      <c r="AQ6" s="580"/>
      <c r="AR6" s="580"/>
      <c r="AS6" s="580"/>
    </row>
    <row r="7" spans="1:45">
      <c r="A7" s="597" t="s">
        <v>1071</v>
      </c>
      <c r="B7" s="598" t="s">
        <v>17</v>
      </c>
      <c r="C7" s="599" t="s">
        <v>1053</v>
      </c>
      <c r="D7" s="600" t="s">
        <v>1072</v>
      </c>
      <c r="E7" s="580"/>
      <c r="F7" s="604">
        <v>68750</v>
      </c>
      <c r="G7" s="604">
        <v>68750</v>
      </c>
      <c r="H7" s="604">
        <v>68750</v>
      </c>
      <c r="I7" s="604">
        <v>68750</v>
      </c>
      <c r="J7" s="623">
        <v>72500</v>
      </c>
      <c r="K7" s="604">
        <v>72500</v>
      </c>
      <c r="L7" s="604">
        <v>72500</v>
      </c>
      <c r="M7" s="604">
        <v>72500</v>
      </c>
      <c r="N7" s="601">
        <v>290000</v>
      </c>
      <c r="O7" s="601">
        <v>290000</v>
      </c>
      <c r="P7" s="601">
        <v>290000</v>
      </c>
      <c r="Q7" s="601">
        <v>290000</v>
      </c>
      <c r="R7" s="605"/>
      <c r="S7" s="624"/>
      <c r="T7" s="624"/>
      <c r="U7" s="580"/>
      <c r="V7" s="580"/>
      <c r="W7" s="580"/>
      <c r="X7" s="580"/>
      <c r="Y7" s="580"/>
      <c r="Z7" s="580"/>
      <c r="AA7" s="580"/>
      <c r="AB7" s="580"/>
      <c r="AC7" s="580"/>
      <c r="AD7" s="580"/>
      <c r="AE7" s="580"/>
      <c r="AF7" s="580"/>
      <c r="AG7" s="580"/>
      <c r="AH7" s="580"/>
      <c r="AI7" s="580"/>
      <c r="AJ7" s="580"/>
      <c r="AK7" s="580"/>
      <c r="AL7" s="580"/>
      <c r="AM7" s="580"/>
      <c r="AN7" s="580"/>
      <c r="AO7" s="580"/>
      <c r="AP7" s="580"/>
      <c r="AQ7" s="580"/>
      <c r="AR7" s="580"/>
      <c r="AS7" s="580"/>
    </row>
    <row r="8" spans="1:45">
      <c r="A8" s="597" t="s">
        <v>1073</v>
      </c>
      <c r="B8" s="598" t="s">
        <v>17</v>
      </c>
      <c r="C8" s="599" t="s">
        <v>1053</v>
      </c>
      <c r="D8" s="600" t="s">
        <v>1074</v>
      </c>
      <c r="E8" s="580"/>
      <c r="F8" s="604">
        <v>0</v>
      </c>
      <c r="G8" s="604">
        <v>0</v>
      </c>
      <c r="H8" s="604">
        <v>0</v>
      </c>
      <c r="I8" s="604">
        <v>0</v>
      </c>
      <c r="J8" s="623">
        <v>75000</v>
      </c>
      <c r="K8" s="604">
        <v>75000</v>
      </c>
      <c r="L8" s="604">
        <v>75000</v>
      </c>
      <c r="M8" s="604">
        <v>75000</v>
      </c>
      <c r="N8" s="601">
        <v>300000</v>
      </c>
      <c r="O8" s="601">
        <v>300000</v>
      </c>
      <c r="P8" s="601">
        <v>300000</v>
      </c>
      <c r="Q8" s="601">
        <v>300000</v>
      </c>
      <c r="R8" s="605"/>
      <c r="S8" s="624"/>
      <c r="T8" s="624"/>
      <c r="U8" s="580"/>
      <c r="V8" s="580"/>
      <c r="W8" s="580"/>
      <c r="X8" s="580"/>
      <c r="Y8" s="580"/>
      <c r="Z8" s="580"/>
      <c r="AA8" s="580"/>
      <c r="AB8" s="580"/>
      <c r="AC8" s="580"/>
      <c r="AD8" s="580"/>
      <c r="AE8" s="580"/>
      <c r="AF8" s="580"/>
      <c r="AG8" s="580"/>
      <c r="AH8" s="580"/>
      <c r="AI8" s="580"/>
      <c r="AJ8" s="580"/>
      <c r="AK8" s="580"/>
      <c r="AL8" s="580"/>
      <c r="AM8" s="580"/>
      <c r="AN8" s="580"/>
      <c r="AO8" s="580"/>
      <c r="AP8" s="580"/>
      <c r="AQ8" s="580"/>
      <c r="AR8" s="580"/>
      <c r="AS8" s="580"/>
    </row>
    <row r="9" spans="1:45">
      <c r="A9" s="597" t="s">
        <v>1075</v>
      </c>
      <c r="B9" s="607" t="s">
        <v>17</v>
      </c>
      <c r="C9" s="607" t="s">
        <v>1053</v>
      </c>
      <c r="D9" s="607" t="s">
        <v>1076</v>
      </c>
      <c r="E9" s="580"/>
      <c r="F9" s="604">
        <v>37500</v>
      </c>
      <c r="G9" s="604">
        <v>37500</v>
      </c>
      <c r="H9" s="604">
        <v>37500</v>
      </c>
      <c r="I9" s="604">
        <v>37500</v>
      </c>
      <c r="J9" s="623">
        <v>40000</v>
      </c>
      <c r="K9" s="604">
        <v>40000</v>
      </c>
      <c r="L9" s="604">
        <v>40000</v>
      </c>
      <c r="M9" s="604">
        <v>40000</v>
      </c>
      <c r="N9" s="601">
        <v>160000</v>
      </c>
      <c r="O9" s="601">
        <v>160000</v>
      </c>
      <c r="P9" s="601">
        <v>160000</v>
      </c>
      <c r="Q9" s="601">
        <v>160000</v>
      </c>
      <c r="R9" s="605"/>
      <c r="S9" s="624"/>
      <c r="T9" s="624"/>
      <c r="U9" s="580"/>
      <c r="V9" s="580"/>
      <c r="W9" s="580"/>
      <c r="X9" s="580"/>
      <c r="Y9" s="580"/>
      <c r="Z9" s="580"/>
      <c r="AA9" s="580"/>
      <c r="AB9" s="580"/>
      <c r="AC9" s="580"/>
      <c r="AD9" s="580"/>
      <c r="AE9" s="580"/>
      <c r="AF9" s="580"/>
      <c r="AG9" s="580"/>
      <c r="AH9" s="580"/>
      <c r="AI9" s="580"/>
      <c r="AJ9" s="580"/>
      <c r="AK9" s="580"/>
      <c r="AL9" s="580"/>
      <c r="AM9" s="580"/>
      <c r="AN9" s="580"/>
      <c r="AO9" s="580"/>
      <c r="AP9" s="580"/>
      <c r="AQ9" s="580"/>
      <c r="AR9" s="580"/>
      <c r="AS9" s="580"/>
    </row>
    <row r="10" spans="1:45">
      <c r="A10" s="597" t="s">
        <v>1077</v>
      </c>
      <c r="B10" s="607" t="s">
        <v>17</v>
      </c>
      <c r="C10" s="607" t="s">
        <v>1053</v>
      </c>
      <c r="D10" s="607" t="s">
        <v>1078</v>
      </c>
      <c r="E10" s="580"/>
      <c r="F10" s="604">
        <v>27500</v>
      </c>
      <c r="G10" s="604">
        <v>27500</v>
      </c>
      <c r="H10" s="604">
        <v>27500</v>
      </c>
      <c r="I10" s="604">
        <v>27500</v>
      </c>
      <c r="J10" s="623">
        <v>27500</v>
      </c>
      <c r="K10" s="604">
        <v>27500</v>
      </c>
      <c r="L10" s="604">
        <v>27500</v>
      </c>
      <c r="M10" s="604">
        <v>27500</v>
      </c>
      <c r="N10" s="601">
        <v>110000</v>
      </c>
      <c r="O10" s="601">
        <v>110000</v>
      </c>
      <c r="P10" s="601">
        <v>110000</v>
      </c>
      <c r="Q10" s="601">
        <v>110000</v>
      </c>
      <c r="R10" s="605"/>
      <c r="S10" s="624"/>
      <c r="T10" s="624"/>
      <c r="U10" s="580"/>
      <c r="V10" s="580"/>
      <c r="W10" s="580"/>
      <c r="X10" s="580"/>
      <c r="Y10" s="580"/>
      <c r="Z10" s="580"/>
      <c r="AA10" s="580"/>
      <c r="AB10" s="580"/>
      <c r="AC10" s="580"/>
      <c r="AD10" s="580"/>
      <c r="AE10" s="580"/>
      <c r="AF10" s="580"/>
      <c r="AG10" s="580"/>
      <c r="AH10" s="580"/>
      <c r="AI10" s="580"/>
      <c r="AJ10" s="580"/>
      <c r="AK10" s="580"/>
      <c r="AL10" s="580"/>
      <c r="AM10" s="580"/>
      <c r="AN10" s="580"/>
      <c r="AO10" s="580"/>
      <c r="AP10" s="580"/>
      <c r="AQ10" s="580"/>
      <c r="AR10" s="580"/>
      <c r="AS10" s="580"/>
    </row>
    <row r="11" spans="1:45" s="30" customFormat="1">
      <c r="A11" s="607" t="s">
        <v>1079</v>
      </c>
      <c r="B11" s="625" t="s">
        <v>17</v>
      </c>
      <c r="C11" s="626" t="s">
        <v>1053</v>
      </c>
      <c r="D11" s="625" t="s">
        <v>1080</v>
      </c>
      <c r="E11" s="608"/>
      <c r="F11" s="604">
        <v>0</v>
      </c>
      <c r="G11" s="604">
        <v>0</v>
      </c>
      <c r="H11" s="604">
        <v>0</v>
      </c>
      <c r="I11" s="604">
        <v>0</v>
      </c>
      <c r="J11" s="604">
        <v>0</v>
      </c>
      <c r="K11" s="604">
        <v>0</v>
      </c>
      <c r="L11" s="604">
        <v>37500</v>
      </c>
      <c r="M11" s="604">
        <v>37500</v>
      </c>
      <c r="N11" s="601">
        <v>150000</v>
      </c>
      <c r="O11" s="601">
        <v>150000</v>
      </c>
      <c r="P11" s="601">
        <v>150000</v>
      </c>
      <c r="Q11" s="601">
        <v>150000</v>
      </c>
      <c r="R11" s="605"/>
      <c r="S11" s="624"/>
      <c r="T11" s="624"/>
      <c r="U11" s="580"/>
      <c r="V11" s="580"/>
      <c r="W11" s="580"/>
      <c r="X11" s="580"/>
      <c r="Y11" s="580"/>
      <c r="Z11" s="580"/>
      <c r="AA11" s="580"/>
      <c r="AB11" s="580"/>
      <c r="AC11" s="580"/>
      <c r="AD11" s="580"/>
      <c r="AE11" s="580"/>
      <c r="AF11" s="580"/>
      <c r="AG11" s="580"/>
      <c r="AH11" s="580"/>
      <c r="AI11" s="580"/>
      <c r="AJ11" s="580"/>
      <c r="AK11" s="580"/>
      <c r="AL11" s="580"/>
      <c r="AM11" s="580"/>
      <c r="AN11" s="580"/>
      <c r="AO11" s="580"/>
      <c r="AP11" s="580"/>
      <c r="AQ11" s="580"/>
      <c r="AR11" s="580"/>
      <c r="AS11" s="580"/>
    </row>
    <row r="12" spans="1:45" ht="14.65" customHeight="1">
      <c r="A12" s="627" t="s">
        <v>259</v>
      </c>
      <c r="B12" s="580"/>
      <c r="C12" s="580"/>
      <c r="D12" s="580"/>
      <c r="E12" s="608"/>
      <c r="F12" s="605">
        <f>SUM(F6:F11)</f>
        <v>258750</v>
      </c>
      <c r="G12" s="605">
        <f>SUM(G6:G11)</f>
        <v>258750</v>
      </c>
      <c r="H12" s="605">
        <f>SUM(H6:H11)</f>
        <v>258750</v>
      </c>
      <c r="I12" s="605">
        <f>SUM(I6:I11)</f>
        <v>258750</v>
      </c>
      <c r="J12" s="605">
        <f>SUM(J6:J11)</f>
        <v>340000</v>
      </c>
      <c r="K12" s="605">
        <f>SUM(K6:K11)</f>
        <v>340000</v>
      </c>
      <c r="L12" s="605">
        <f>SUM(L6:L11)</f>
        <v>377500</v>
      </c>
      <c r="M12" s="605">
        <f>SUM(M6:M11)</f>
        <v>377500</v>
      </c>
      <c r="N12" s="605">
        <f>SUM(N6:N11)</f>
        <v>1510000</v>
      </c>
      <c r="O12" s="605">
        <f>SUM(O6:O11)</f>
        <v>1510000</v>
      </c>
      <c r="P12" s="605">
        <f>SUM(P6:P11)</f>
        <v>1510000</v>
      </c>
      <c r="Q12" s="605">
        <f>SUM(Q6:Q11)</f>
        <v>1510000</v>
      </c>
      <c r="R12" s="605"/>
      <c r="S12" s="624"/>
      <c r="T12" s="624"/>
      <c r="U12" s="580"/>
      <c r="V12" s="580"/>
      <c r="W12" s="580"/>
      <c r="X12" s="580"/>
      <c r="Y12" s="580"/>
      <c r="Z12" s="580"/>
      <c r="AA12" s="580"/>
      <c r="AB12" s="580"/>
      <c r="AC12" s="580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80"/>
      <c r="AS12" s="580"/>
    </row>
    <row r="13" spans="1:45">
      <c r="A13" s="628"/>
      <c r="B13" s="580"/>
      <c r="C13" s="580"/>
      <c r="D13" s="580"/>
      <c r="E13" s="605"/>
      <c r="F13" s="605"/>
      <c r="G13" s="605"/>
      <c r="H13" s="605"/>
      <c r="I13" s="605"/>
      <c r="J13" s="605"/>
      <c r="K13" s="605"/>
      <c r="L13" s="605"/>
      <c r="M13" s="605"/>
      <c r="N13" s="605"/>
      <c r="O13" s="605"/>
      <c r="P13" s="605"/>
      <c r="Q13" s="605"/>
      <c r="R13" s="605"/>
      <c r="S13" s="624"/>
      <c r="T13" s="624"/>
      <c r="U13" s="580"/>
      <c r="V13" s="580"/>
      <c r="W13" s="580"/>
      <c r="X13" s="580"/>
      <c r="Y13" s="580"/>
      <c r="Z13" s="580"/>
      <c r="AA13" s="580"/>
      <c r="AB13" s="580"/>
      <c r="AC13" s="580"/>
      <c r="AD13" s="580"/>
      <c r="AE13" s="580"/>
      <c r="AF13" s="580"/>
      <c r="AG13" s="580"/>
      <c r="AH13" s="580"/>
      <c r="AI13" s="580"/>
      <c r="AJ13" s="580"/>
      <c r="AK13" s="580"/>
      <c r="AL13" s="580"/>
      <c r="AM13" s="580"/>
      <c r="AN13" s="580"/>
      <c r="AO13" s="580"/>
      <c r="AP13" s="580"/>
      <c r="AQ13" s="580"/>
      <c r="AR13" s="580"/>
      <c r="AS13" s="580"/>
    </row>
    <row r="14" spans="1:45" ht="14.65" customHeight="1">
      <c r="A14" s="629" t="s">
        <v>1065</v>
      </c>
      <c r="B14" s="583"/>
      <c r="C14" s="583"/>
      <c r="D14" s="583"/>
      <c r="E14" s="583"/>
      <c r="F14" s="583"/>
      <c r="G14" s="583"/>
      <c r="H14" s="583"/>
      <c r="I14" s="583"/>
      <c r="J14" s="583"/>
      <c r="K14" s="583"/>
      <c r="L14" s="583"/>
      <c r="M14" s="583"/>
      <c r="N14" s="583"/>
      <c r="O14" s="583"/>
      <c r="P14" s="583"/>
      <c r="Q14" s="583"/>
      <c r="R14" s="583"/>
      <c r="S14" s="619"/>
      <c r="T14" s="619"/>
      <c r="U14" s="583"/>
      <c r="V14" s="583"/>
      <c r="W14" s="583"/>
      <c r="X14" s="583"/>
      <c r="Y14" s="583"/>
      <c r="Z14" s="583"/>
      <c r="AA14" s="583"/>
      <c r="AB14" s="583"/>
      <c r="AC14" s="583"/>
      <c r="AD14" s="583"/>
      <c r="AE14" s="583"/>
      <c r="AF14" s="583"/>
      <c r="AG14" s="583"/>
      <c r="AH14" s="583"/>
      <c r="AI14" s="583"/>
      <c r="AJ14" s="583"/>
      <c r="AK14" s="583"/>
      <c r="AL14" s="583"/>
      <c r="AM14" s="583"/>
      <c r="AN14" s="583"/>
      <c r="AO14" s="583"/>
      <c r="AP14" s="583"/>
      <c r="AQ14" s="583"/>
      <c r="AR14" s="583"/>
      <c r="AS14" s="583"/>
    </row>
    <row r="15" spans="1:45">
      <c r="A15" s="580" t="str">
        <f>A6</f>
        <v>ACEO Loren Hotels (CE)</v>
      </c>
      <c r="B15" s="607" t="s">
        <v>17</v>
      </c>
      <c r="C15" s="607" t="s">
        <v>1066</v>
      </c>
      <c r="D15" s="607" t="s">
        <v>1070</v>
      </c>
      <c r="E15" s="582"/>
      <c r="F15" s="604">
        <v>0</v>
      </c>
      <c r="G15" s="604">
        <v>0</v>
      </c>
      <c r="H15" s="604">
        <v>0</v>
      </c>
      <c r="I15" s="604">
        <v>250000</v>
      </c>
      <c r="J15" s="604">
        <v>0</v>
      </c>
      <c r="K15" s="604">
        <v>0</v>
      </c>
      <c r="L15" s="604">
        <v>0</v>
      </c>
      <c r="M15" s="604">
        <v>250000</v>
      </c>
      <c r="N15" s="601">
        <v>500000</v>
      </c>
      <c r="O15" s="601">
        <v>500000</v>
      </c>
      <c r="P15" s="601">
        <v>500000</v>
      </c>
      <c r="Q15" s="601">
        <v>500000</v>
      </c>
      <c r="R15" s="582"/>
      <c r="S15" s="624"/>
      <c r="T15" s="624"/>
      <c r="U15" s="580"/>
      <c r="V15" s="580"/>
      <c r="W15" s="580"/>
      <c r="X15" s="580"/>
      <c r="Y15" s="580"/>
      <c r="Z15" s="580"/>
      <c r="AA15" s="580"/>
      <c r="AB15" s="580"/>
      <c r="AC15" s="580"/>
      <c r="AD15" s="580"/>
      <c r="AE15" s="580"/>
      <c r="AF15" s="580"/>
      <c r="AG15" s="580"/>
      <c r="AH15" s="580"/>
      <c r="AI15" s="580"/>
      <c r="AJ15" s="580"/>
      <c r="AK15" s="580"/>
      <c r="AL15" s="580"/>
      <c r="AM15" s="580"/>
      <c r="AN15" s="580"/>
      <c r="AO15" s="580"/>
      <c r="AP15" s="580"/>
      <c r="AQ15" s="580"/>
      <c r="AR15" s="580"/>
      <c r="AS15" s="580"/>
    </row>
    <row r="16" spans="1:45">
      <c r="A16" s="580" t="str">
        <f>A7</f>
        <v>VP Operations (WS)</v>
      </c>
      <c r="B16" s="607" t="s">
        <v>17</v>
      </c>
      <c r="C16" s="607" t="s">
        <v>1066</v>
      </c>
      <c r="D16" s="607" t="s">
        <v>1072</v>
      </c>
      <c r="E16" s="605"/>
      <c r="F16" s="604">
        <v>0</v>
      </c>
      <c r="G16" s="604">
        <v>0</v>
      </c>
      <c r="H16" s="604">
        <v>0</v>
      </c>
      <c r="I16" s="604">
        <v>115000</v>
      </c>
      <c r="J16" s="604">
        <v>0</v>
      </c>
      <c r="K16" s="604">
        <v>0</v>
      </c>
      <c r="L16" s="604">
        <v>0</v>
      </c>
      <c r="M16" s="604">
        <v>75000</v>
      </c>
      <c r="N16" s="601">
        <v>75000</v>
      </c>
      <c r="O16" s="601">
        <v>75000</v>
      </c>
      <c r="P16" s="601">
        <v>75000</v>
      </c>
      <c r="Q16" s="601">
        <v>75000</v>
      </c>
      <c r="R16" s="605"/>
      <c r="S16" s="624"/>
      <c r="T16" s="624"/>
      <c r="U16" s="580"/>
      <c r="V16" s="580"/>
      <c r="W16" s="580"/>
      <c r="X16" s="580"/>
      <c r="Y16" s="580"/>
      <c r="Z16" s="580"/>
      <c r="AA16" s="580"/>
      <c r="AB16" s="580"/>
      <c r="AC16" s="580"/>
      <c r="AD16" s="580"/>
      <c r="AE16" s="580"/>
      <c r="AF16" s="580"/>
      <c r="AG16" s="580"/>
      <c r="AH16" s="580"/>
      <c r="AI16" s="580"/>
      <c r="AJ16" s="580"/>
      <c r="AK16" s="580"/>
      <c r="AL16" s="580"/>
      <c r="AM16" s="580"/>
      <c r="AN16" s="580"/>
      <c r="AO16" s="580"/>
      <c r="AP16" s="580"/>
      <c r="AQ16" s="580"/>
      <c r="AR16" s="580"/>
      <c r="AS16" s="580"/>
    </row>
    <row r="17" spans="1:45">
      <c r="A17" s="580" t="str">
        <f>A8</f>
        <v>seniorS&amp;Mexe (CL)</v>
      </c>
      <c r="B17" s="607" t="s">
        <v>17</v>
      </c>
      <c r="C17" s="607" t="s">
        <v>1066</v>
      </c>
      <c r="D17" s="607" t="s">
        <v>1074</v>
      </c>
      <c r="E17" s="605"/>
      <c r="F17" s="604">
        <v>0</v>
      </c>
      <c r="G17" s="604">
        <v>0</v>
      </c>
      <c r="H17" s="604">
        <v>0</v>
      </c>
      <c r="I17" s="604">
        <v>20000</v>
      </c>
      <c r="J17" s="604">
        <v>0</v>
      </c>
      <c r="K17" s="604">
        <v>0</v>
      </c>
      <c r="L17" s="604">
        <v>0</v>
      </c>
      <c r="M17" s="604">
        <v>75000</v>
      </c>
      <c r="N17" s="601">
        <v>75000</v>
      </c>
      <c r="O17" s="601">
        <v>75000</v>
      </c>
      <c r="P17" s="601">
        <v>75000</v>
      </c>
      <c r="Q17" s="601">
        <v>75000</v>
      </c>
      <c r="R17" s="605"/>
      <c r="S17" s="624"/>
      <c r="T17" s="624"/>
      <c r="U17" s="580"/>
      <c r="V17" s="580"/>
      <c r="W17" s="580"/>
      <c r="X17" s="580"/>
      <c r="Y17" s="580"/>
      <c r="Z17" s="580"/>
      <c r="AA17" s="580"/>
      <c r="AB17" s="580"/>
      <c r="AC17" s="580"/>
      <c r="AD17" s="580"/>
      <c r="AE17" s="580"/>
      <c r="AF17" s="580"/>
      <c r="AG17" s="580"/>
      <c r="AH17" s="580"/>
      <c r="AI17" s="580"/>
      <c r="AJ17" s="580"/>
      <c r="AK17" s="580"/>
      <c r="AL17" s="580"/>
      <c r="AM17" s="580"/>
      <c r="AN17" s="580"/>
      <c r="AO17" s="580"/>
      <c r="AP17" s="580"/>
      <c r="AQ17" s="580"/>
      <c r="AR17" s="580"/>
      <c r="AS17" s="580"/>
    </row>
    <row r="18" spans="1:45">
      <c r="A18" s="580" t="str">
        <f>A9</f>
        <v>Senior Associate (RF)</v>
      </c>
      <c r="B18" s="607" t="s">
        <v>17</v>
      </c>
      <c r="C18" s="607" t="s">
        <v>1066</v>
      </c>
      <c r="D18" s="607" t="s">
        <v>1076</v>
      </c>
      <c r="E18" s="605"/>
      <c r="F18" s="604">
        <v>0</v>
      </c>
      <c r="G18" s="604">
        <v>0</v>
      </c>
      <c r="H18" s="604">
        <v>0</v>
      </c>
      <c r="I18" s="604">
        <v>50000</v>
      </c>
      <c r="J18" s="604">
        <v>0</v>
      </c>
      <c r="K18" s="604">
        <v>0</v>
      </c>
      <c r="L18" s="604">
        <v>0</v>
      </c>
      <c r="M18" s="604">
        <v>50000</v>
      </c>
      <c r="N18" s="601">
        <v>50000</v>
      </c>
      <c r="O18" s="601">
        <v>50000</v>
      </c>
      <c r="P18" s="601">
        <v>50000</v>
      </c>
      <c r="Q18" s="601">
        <v>50000</v>
      </c>
      <c r="R18" s="605"/>
      <c r="S18" s="624"/>
      <c r="T18" s="624"/>
      <c r="U18" s="580"/>
      <c r="V18" s="580"/>
      <c r="W18" s="580"/>
      <c r="X18" s="580"/>
      <c r="Y18" s="580"/>
      <c r="Z18" s="580"/>
      <c r="AA18" s="580"/>
      <c r="AB18" s="580"/>
      <c r="AC18" s="580"/>
      <c r="AD18" s="580"/>
      <c r="AE18" s="580"/>
      <c r="AF18" s="580"/>
      <c r="AG18" s="580"/>
      <c r="AH18" s="580"/>
      <c r="AI18" s="580"/>
      <c r="AJ18" s="580"/>
      <c r="AK18" s="580"/>
      <c r="AL18" s="580"/>
      <c r="AM18" s="580"/>
      <c r="AN18" s="580"/>
      <c r="AO18" s="580"/>
      <c r="AP18" s="580"/>
      <c r="AQ18" s="580"/>
      <c r="AR18" s="580"/>
      <c r="AS18" s="580"/>
    </row>
    <row r="19" spans="1:45">
      <c r="A19" s="580" t="str">
        <f>A10</f>
        <v>associate (MT)</v>
      </c>
      <c r="B19" s="607" t="s">
        <v>17</v>
      </c>
      <c r="C19" s="607" t="s">
        <v>1066</v>
      </c>
      <c r="D19" s="607" t="s">
        <v>1078</v>
      </c>
      <c r="E19" s="605"/>
      <c r="F19" s="604">
        <v>0</v>
      </c>
      <c r="G19" s="604">
        <v>0</v>
      </c>
      <c r="H19" s="604">
        <v>0</v>
      </c>
      <c r="I19" s="604">
        <v>20000</v>
      </c>
      <c r="J19" s="604">
        <v>0</v>
      </c>
      <c r="K19" s="604">
        <v>0</v>
      </c>
      <c r="L19" s="604">
        <v>0</v>
      </c>
      <c r="M19" s="604">
        <v>40000</v>
      </c>
      <c r="N19" s="601">
        <v>40000</v>
      </c>
      <c r="O19" s="601">
        <v>40000</v>
      </c>
      <c r="P19" s="601">
        <v>40000</v>
      </c>
      <c r="Q19" s="601">
        <v>40000</v>
      </c>
      <c r="R19" s="605"/>
      <c r="S19" s="624"/>
      <c r="T19" s="624"/>
      <c r="U19" s="580"/>
      <c r="V19" s="580"/>
      <c r="W19" s="580"/>
      <c r="X19" s="580"/>
      <c r="Y19" s="580"/>
      <c r="Z19" s="580"/>
      <c r="AA19" s="580"/>
      <c r="AB19" s="580"/>
      <c r="AC19" s="580"/>
      <c r="AD19" s="580"/>
      <c r="AE19" s="580"/>
      <c r="AF19" s="580"/>
      <c r="AG19" s="580"/>
      <c r="AH19" s="580"/>
      <c r="AI19" s="580"/>
      <c r="AJ19" s="580"/>
      <c r="AK19" s="580"/>
      <c r="AL19" s="580"/>
      <c r="AM19" s="580"/>
      <c r="AN19" s="580"/>
      <c r="AO19" s="580"/>
      <c r="AP19" s="580"/>
      <c r="AQ19" s="580"/>
      <c r="AR19" s="580"/>
      <c r="AS19" s="580"/>
    </row>
    <row r="20" spans="1:45" ht="14.65" customHeight="1">
      <c r="A20" s="580" t="str">
        <f>A11</f>
        <v>project manager</v>
      </c>
      <c r="B20" s="607" t="s">
        <v>17</v>
      </c>
      <c r="C20" s="607" t="s">
        <v>1066</v>
      </c>
      <c r="D20" s="607" t="s">
        <v>1080</v>
      </c>
      <c r="E20" s="605"/>
      <c r="F20" s="604">
        <v>0</v>
      </c>
      <c r="G20" s="604">
        <v>0</v>
      </c>
      <c r="H20" s="604">
        <v>0</v>
      </c>
      <c r="I20" s="604">
        <v>0</v>
      </c>
      <c r="J20" s="604">
        <v>0</v>
      </c>
      <c r="K20" s="604">
        <v>0</v>
      </c>
      <c r="L20" s="604">
        <v>0</v>
      </c>
      <c r="M20" s="604">
        <v>5000</v>
      </c>
      <c r="N20" s="601">
        <v>10000</v>
      </c>
      <c r="O20" s="601">
        <v>10000</v>
      </c>
      <c r="P20" s="601">
        <v>10000</v>
      </c>
      <c r="Q20" s="601">
        <v>10000</v>
      </c>
      <c r="R20" s="605"/>
      <c r="S20" s="624"/>
      <c r="T20" s="624"/>
      <c r="U20" s="580"/>
      <c r="V20" s="580"/>
      <c r="W20" s="580"/>
      <c r="X20" s="580"/>
      <c r="Y20" s="580"/>
      <c r="Z20" s="580"/>
      <c r="AA20" s="580"/>
      <c r="AB20" s="580"/>
      <c r="AC20" s="580"/>
      <c r="AD20" s="580"/>
      <c r="AE20" s="580"/>
      <c r="AF20" s="580"/>
      <c r="AG20" s="580"/>
      <c r="AH20" s="580"/>
      <c r="AI20" s="580"/>
      <c r="AJ20" s="580"/>
      <c r="AK20" s="580"/>
      <c r="AL20" s="580"/>
      <c r="AM20" s="580"/>
      <c r="AN20" s="580"/>
      <c r="AO20" s="580"/>
      <c r="AP20" s="580"/>
      <c r="AQ20" s="580"/>
      <c r="AR20" s="580"/>
      <c r="AS20" s="580"/>
    </row>
    <row r="21" spans="1:45" ht="14.65" customHeight="1">
      <c r="A21" s="627" t="s">
        <v>259</v>
      </c>
      <c r="B21" s="580"/>
      <c r="C21" s="580"/>
      <c r="D21" s="580"/>
      <c r="E21" s="608"/>
      <c r="F21" s="601">
        <f>SUM(F15:F20)</f>
        <v>0</v>
      </c>
      <c r="G21" s="601">
        <f>SUM(G15:G20)</f>
        <v>0</v>
      </c>
      <c r="H21" s="601">
        <f>SUM(H15:H20)</f>
        <v>0</v>
      </c>
      <c r="I21" s="601">
        <f>SUM(I15:I20)</f>
        <v>455000</v>
      </c>
      <c r="J21" s="601">
        <f>SUM(J15:J20)</f>
        <v>0</v>
      </c>
      <c r="K21" s="601">
        <f>SUM(K15:K20)</f>
        <v>0</v>
      </c>
      <c r="L21" s="601">
        <f>SUM(L15:L20)</f>
        <v>0</v>
      </c>
      <c r="M21" s="601">
        <f>SUM(M15:M20)</f>
        <v>495000</v>
      </c>
      <c r="N21" s="601">
        <f>SUM(N15:N20)</f>
        <v>750000</v>
      </c>
      <c r="O21" s="601">
        <f>SUM(O15:O20)</f>
        <v>750000</v>
      </c>
      <c r="P21" s="601">
        <f>SUM(P15:P20)</f>
        <v>750000</v>
      </c>
      <c r="Q21" s="601">
        <f>SUM(Q15:Q20)</f>
        <v>750000</v>
      </c>
      <c r="R21" s="605"/>
      <c r="S21" s="624"/>
      <c r="T21" s="624"/>
      <c r="U21" s="580"/>
      <c r="V21" s="580"/>
      <c r="W21" s="580"/>
      <c r="X21" s="580"/>
      <c r="Y21" s="580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  <c r="AJ21" s="580"/>
      <c r="AK21" s="580"/>
      <c r="AL21" s="580"/>
      <c r="AM21" s="580"/>
      <c r="AN21" s="580"/>
      <c r="AO21" s="580"/>
      <c r="AP21" s="580"/>
      <c r="AQ21" s="580"/>
      <c r="AR21" s="580"/>
      <c r="AS21" s="580"/>
    </row>
    <row r="22" spans="1:45">
      <c r="A22" s="628"/>
      <c r="B22" s="580"/>
      <c r="C22" s="580"/>
      <c r="D22" s="580"/>
      <c r="E22" s="605"/>
      <c r="F22" s="605"/>
      <c r="G22" s="605"/>
      <c r="H22" s="605"/>
      <c r="I22" s="605"/>
      <c r="J22" s="605"/>
      <c r="K22" s="605"/>
      <c r="L22" s="605"/>
      <c r="M22" s="605"/>
      <c r="N22" s="605"/>
      <c r="O22" s="605"/>
      <c r="P22" s="605"/>
      <c r="Q22" s="605"/>
      <c r="R22" s="611"/>
      <c r="S22" s="624"/>
      <c r="T22" s="624"/>
      <c r="U22" s="580"/>
      <c r="V22" s="580"/>
      <c r="W22" s="580"/>
      <c r="X22" s="580"/>
      <c r="Y22" s="580"/>
      <c r="Z22" s="580"/>
      <c r="AA22" s="580"/>
      <c r="AB22" s="580"/>
      <c r="AC22" s="580"/>
      <c r="AD22" s="630"/>
      <c r="AE22" s="580"/>
      <c r="AF22" s="580"/>
      <c r="AG22" s="580"/>
      <c r="AH22" s="580"/>
      <c r="AI22" s="580"/>
      <c r="AJ22" s="580"/>
      <c r="AK22" s="580"/>
      <c r="AL22" s="580"/>
      <c r="AM22" s="580"/>
      <c r="AN22" s="580"/>
      <c r="AO22" s="580"/>
      <c r="AP22" s="580"/>
      <c r="AQ22" s="580"/>
      <c r="AR22" s="580"/>
      <c r="AS22" s="580"/>
    </row>
    <row r="23" spans="1:45" ht="14.65" customHeight="1">
      <c r="A23" s="629" t="s">
        <v>1081</v>
      </c>
      <c r="B23" s="583"/>
      <c r="C23" s="583"/>
      <c r="D23" s="583"/>
      <c r="E23" s="583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3"/>
      <c r="Q23" s="583"/>
      <c r="R23" s="583"/>
      <c r="S23" s="619"/>
      <c r="T23" s="619"/>
      <c r="U23" s="583"/>
      <c r="V23" s="583"/>
      <c r="W23" s="583"/>
      <c r="X23" s="583"/>
      <c r="Y23" s="583"/>
      <c r="Z23" s="583"/>
      <c r="AA23" s="583"/>
      <c r="AB23" s="583"/>
      <c r="AC23" s="583"/>
      <c r="AD23" s="583"/>
      <c r="AE23" s="583"/>
      <c r="AF23" s="583"/>
      <c r="AG23" s="583"/>
      <c r="AH23" s="583"/>
      <c r="AI23" s="583"/>
      <c r="AJ23" s="583"/>
      <c r="AK23" s="583"/>
      <c r="AL23" s="583"/>
      <c r="AM23" s="583"/>
      <c r="AN23" s="583"/>
      <c r="AO23" s="583"/>
      <c r="AP23" s="583"/>
      <c r="AQ23" s="583"/>
      <c r="AR23" s="583"/>
      <c r="AS23" s="583"/>
    </row>
    <row r="24" spans="1:45">
      <c r="A24" s="580" t="str">
        <f>A15</f>
        <v>ACEO Loren Hotels (CE)</v>
      </c>
      <c r="B24" s="607" t="s">
        <v>805</v>
      </c>
      <c r="C24" s="607" t="s">
        <v>1067</v>
      </c>
      <c r="D24" s="607" t="s">
        <v>1070</v>
      </c>
      <c r="E24" s="615"/>
      <c r="F24" s="631">
        <f>F6*(1+'.c12_inputs.hr'!$E$8)+(F15*(1+'.c12_inputs.hr'!$E$9))</f>
        <v>144000</v>
      </c>
      <c r="G24" s="631">
        <f>G6*(1+'.c12_inputs.hr'!$E$8)+(G15*(1+'.c12_inputs.hr'!$E$9))</f>
        <v>144000</v>
      </c>
      <c r="H24" s="631">
        <f>H6*(1+'.c12_inputs.hr'!$E$8)+(H15*(1+'.c12_inputs.hr'!$E$9))</f>
        <v>144000</v>
      </c>
      <c r="I24" s="631">
        <f>I6*(1+'.c12_inputs.hr'!$E$8)+(I15*(1+'.c12_inputs.hr'!$E$9))</f>
        <v>403750</v>
      </c>
      <c r="J24" s="631">
        <f>J6*(1+'.c12_inputs.hr'!$E$8)+(J15*(1+'.c12_inputs.hr'!$E$9))</f>
        <v>144000</v>
      </c>
      <c r="K24" s="631">
        <f>K6*(1+'.c12_inputs.hr'!$E$8)+(K15*(1+'.c12_inputs.hr'!$E$9))</f>
        <v>144000</v>
      </c>
      <c r="L24" s="631">
        <f>L6*(1+'.c12_inputs.hr'!$E$8)+(L15*(1+'.c12_inputs.hr'!$E$9))</f>
        <v>144000</v>
      </c>
      <c r="M24" s="631">
        <f>M6*(1+'.c12_inputs.hr'!$E$8)+(M15*(1+'.c12_inputs.hr'!$E$9))</f>
        <v>403750</v>
      </c>
      <c r="N24" s="632">
        <f>N6*(1+'.c12_inputs.hr'!$E$8)+(N15*(1+'.c12_inputs.hr'!$E$9))</f>
        <v>1095500</v>
      </c>
      <c r="O24" s="632">
        <f>O6*(1+'.c12_inputs.hr'!$E$8)+(O15*(1+'.c12_inputs.hr'!$E$9))</f>
        <v>1095500</v>
      </c>
      <c r="P24" s="632">
        <f>P6*(1+'.c12_inputs.hr'!$E$8)+(P15*(1+'.c12_inputs.hr'!$E$9))</f>
        <v>1095500</v>
      </c>
      <c r="Q24" s="632">
        <f>Q6*(1+'.c12_inputs.hr'!$E$8)+(Q15*(1+'.c12_inputs.hr'!$E$9))</f>
        <v>1095500</v>
      </c>
      <c r="R24" s="632"/>
      <c r="S24" s="632"/>
      <c r="T24" s="624"/>
      <c r="U24" s="580"/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  <c r="AJ24" s="580"/>
      <c r="AK24" s="580"/>
      <c r="AL24" s="580"/>
      <c r="AM24" s="580"/>
      <c r="AN24" s="580"/>
      <c r="AO24" s="580"/>
      <c r="AP24" s="580"/>
      <c r="AQ24" s="580"/>
      <c r="AR24" s="580"/>
      <c r="AS24" s="580"/>
    </row>
    <row r="25" spans="1:45">
      <c r="A25" s="580" t="str">
        <f>A16</f>
        <v>VP Operations (WS)</v>
      </c>
      <c r="B25" s="607" t="s">
        <v>805</v>
      </c>
      <c r="C25" s="607" t="s">
        <v>1067</v>
      </c>
      <c r="D25" s="607" t="s">
        <v>1072</v>
      </c>
      <c r="E25" s="615"/>
      <c r="F25" s="631">
        <f>F7*(1+'.c12_inputs.hr'!$E$8)+(F16*(1+'.c12_inputs.hr'!$E$9))</f>
        <v>79200</v>
      </c>
      <c r="G25" s="631">
        <f>G7*(1+'.c12_inputs.hr'!$E$8)+(G16*(1+'.c12_inputs.hr'!$E$9))</f>
        <v>79200</v>
      </c>
      <c r="H25" s="631">
        <f>H7*(1+'.c12_inputs.hr'!$E$8)+(H16*(1+'.c12_inputs.hr'!$E$9))</f>
        <v>79200</v>
      </c>
      <c r="I25" s="631">
        <f>I7*(1+'.c12_inputs.hr'!$E$8)+(I16*(1+'.c12_inputs.hr'!$E$9))</f>
        <v>198685</v>
      </c>
      <c r="J25" s="631">
        <f>J7*(1+'.c12_inputs.hr'!$E$8)+(J16*(1+'.c12_inputs.hr'!$E$9))</f>
        <v>83520</v>
      </c>
      <c r="K25" s="631">
        <f>K7*(1+'.c12_inputs.hr'!$E$8)+(K16*(1+'.c12_inputs.hr'!$E$9))</f>
        <v>83520</v>
      </c>
      <c r="L25" s="631">
        <f>L7*(1+'.c12_inputs.hr'!$E$8)+(L16*(1+'.c12_inputs.hr'!$E$9))</f>
        <v>83520</v>
      </c>
      <c r="M25" s="631">
        <f>M7*(1+'.c12_inputs.hr'!$E$8)+(M16*(1+'.c12_inputs.hr'!$E$9))</f>
        <v>161445</v>
      </c>
      <c r="N25" s="632">
        <f>N7*(1+'.c12_inputs.hr'!$E$8)+(N16*(1+'.c12_inputs.hr'!$E$9))</f>
        <v>412005</v>
      </c>
      <c r="O25" s="632">
        <f>O7*(1+'.c12_inputs.hr'!$E$8)+(O16*(1+'.c12_inputs.hr'!$E$9))</f>
        <v>412005</v>
      </c>
      <c r="P25" s="632">
        <f>P7*(1+'.c12_inputs.hr'!$E$8)+(P16*(1+'.c12_inputs.hr'!$E$9))</f>
        <v>412005</v>
      </c>
      <c r="Q25" s="632">
        <f>Q7*(1+'.c12_inputs.hr'!$E$8)+(Q16*(1+'.c12_inputs.hr'!$E$9))</f>
        <v>412005</v>
      </c>
      <c r="R25" s="632"/>
      <c r="S25" s="632"/>
      <c r="T25" s="624"/>
      <c r="U25" s="580"/>
      <c r="V25" s="580"/>
      <c r="W25" s="580"/>
      <c r="X25" s="580"/>
      <c r="Y25" s="580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  <c r="AJ25" s="580"/>
      <c r="AK25" s="580"/>
      <c r="AL25" s="580"/>
      <c r="AM25" s="580"/>
      <c r="AN25" s="580"/>
      <c r="AO25" s="580"/>
      <c r="AP25" s="580"/>
      <c r="AQ25" s="580"/>
      <c r="AR25" s="580"/>
      <c r="AS25" s="580"/>
    </row>
    <row r="26" spans="1:45">
      <c r="A26" s="580" t="str">
        <f>A17</f>
        <v>seniorS&amp;Mexe (CL)</v>
      </c>
      <c r="B26" s="607" t="s">
        <v>805</v>
      </c>
      <c r="C26" s="607" t="s">
        <v>1067</v>
      </c>
      <c r="D26" s="607" t="s">
        <v>1074</v>
      </c>
      <c r="E26" s="615"/>
      <c r="F26" s="631">
        <f>F8*(1+'.c12_inputs.hr'!$E$8)+(F17*(1+'.c12_inputs.hr'!$E$9))</f>
        <v>0</v>
      </c>
      <c r="G26" s="631">
        <f>G8*(1+'.c12_inputs.hr'!$E$8)+(G17*(1+'.c12_inputs.hr'!$E$9))</f>
        <v>0</v>
      </c>
      <c r="H26" s="631">
        <f>H8*(1+'.c12_inputs.hr'!$E$8)+(H17*(1+'.c12_inputs.hr'!$E$9))</f>
        <v>0</v>
      </c>
      <c r="I26" s="631">
        <f>I8*(1+'.c12_inputs.hr'!$E$8)+(I17*(1+'.c12_inputs.hr'!$E$9))</f>
        <v>20780</v>
      </c>
      <c r="J26" s="631">
        <f>J8*(1+'.c12_inputs.hr'!$E$8)+(J17*(1+'.c12_inputs.hr'!$E$9))</f>
        <v>86400</v>
      </c>
      <c r="K26" s="631">
        <f>K8*(1+'.c12_inputs.hr'!$E$8)+(K17*(1+'.c12_inputs.hr'!$E$9))</f>
        <v>86400</v>
      </c>
      <c r="L26" s="631">
        <f>L8*(1+'.c12_inputs.hr'!$E$8)+(L17*(1+'.c12_inputs.hr'!$E$9))</f>
        <v>86400</v>
      </c>
      <c r="M26" s="631">
        <f>M8*(1+'.c12_inputs.hr'!$E$8)+(M17*(1+'.c12_inputs.hr'!$E$9))</f>
        <v>164325</v>
      </c>
      <c r="N26" s="632">
        <f>N8*(1+'.c12_inputs.hr'!$E$8)+(N17*(1+'.c12_inputs.hr'!$E$9))</f>
        <v>423525</v>
      </c>
      <c r="O26" s="632">
        <f>O8*(1+'.c12_inputs.hr'!$E$8)+(O17*(1+'.c12_inputs.hr'!$E$9))</f>
        <v>423525</v>
      </c>
      <c r="P26" s="632">
        <f>P8*(1+'.c12_inputs.hr'!$E$8)+(P17*(1+'.c12_inputs.hr'!$E$9))</f>
        <v>423525</v>
      </c>
      <c r="Q26" s="632">
        <f>Q8*(1+'.c12_inputs.hr'!$E$8)+(Q17*(1+'.c12_inputs.hr'!$E$9))</f>
        <v>423525</v>
      </c>
      <c r="R26" s="632"/>
      <c r="S26" s="632"/>
      <c r="T26" s="624"/>
      <c r="U26" s="580"/>
      <c r="V26" s="580"/>
      <c r="W26" s="580"/>
      <c r="X26" s="580"/>
      <c r="Y26" s="580"/>
      <c r="Z26" s="580"/>
      <c r="AA26" s="580"/>
      <c r="AB26" s="580"/>
      <c r="AC26" s="580"/>
      <c r="AD26" s="580"/>
      <c r="AE26" s="580"/>
      <c r="AF26" s="580"/>
      <c r="AG26" s="580"/>
      <c r="AH26" s="580"/>
      <c r="AI26" s="580"/>
      <c r="AJ26" s="580"/>
      <c r="AK26" s="580"/>
      <c r="AL26" s="580"/>
      <c r="AM26" s="580"/>
      <c r="AN26" s="580"/>
      <c r="AO26" s="580"/>
      <c r="AP26" s="580"/>
      <c r="AQ26" s="580"/>
      <c r="AR26" s="580"/>
      <c r="AS26" s="580"/>
    </row>
    <row r="27" spans="1:45">
      <c r="A27" s="580" t="str">
        <f>A18</f>
        <v>Senior Associate (RF)</v>
      </c>
      <c r="B27" s="607" t="s">
        <v>805</v>
      </c>
      <c r="C27" s="607" t="s">
        <v>1067</v>
      </c>
      <c r="D27" s="607" t="s">
        <v>1076</v>
      </c>
      <c r="E27" s="615"/>
      <c r="F27" s="631">
        <f>F9*(1+'.c12_inputs.hr'!$E$8)+(F18*(1+'.c12_inputs.hr'!$E$9))</f>
        <v>43200</v>
      </c>
      <c r="G27" s="631">
        <f>G9*(1+'.c12_inputs.hr'!$E$8)+(G18*(1+'.c12_inputs.hr'!$E$9))</f>
        <v>43200</v>
      </c>
      <c r="H27" s="631">
        <f>H9*(1+'.c12_inputs.hr'!$E$8)+(H18*(1+'.c12_inputs.hr'!$E$9))</f>
        <v>43200</v>
      </c>
      <c r="I27" s="631">
        <f>I9*(1+'.c12_inputs.hr'!$E$8)+(I18*(1+'.c12_inputs.hr'!$E$9))</f>
        <v>95150</v>
      </c>
      <c r="J27" s="631">
        <f>J9*(1+'.c12_inputs.hr'!$E$8)+(J18*(1+'.c12_inputs.hr'!$E$9))</f>
        <v>46080</v>
      </c>
      <c r="K27" s="631">
        <f>K9*(1+'.c12_inputs.hr'!$E$8)+(K18*(1+'.c12_inputs.hr'!$E$9))</f>
        <v>46080</v>
      </c>
      <c r="L27" s="631">
        <f>L9*(1+'.c12_inputs.hr'!$E$8)+(L18*(1+'.c12_inputs.hr'!$E$9))</f>
        <v>46080</v>
      </c>
      <c r="M27" s="631">
        <f>M9*(1+'.c12_inputs.hr'!$E$8)+(M18*(1+'.c12_inputs.hr'!$E$9))</f>
        <v>98030</v>
      </c>
      <c r="N27" s="632">
        <f>N9*(1+'.c12_inputs.hr'!$E$8)+(N18*(1+'.c12_inputs.hr'!$E$9))</f>
        <v>236270</v>
      </c>
      <c r="O27" s="632">
        <f>O9*(1+'.c12_inputs.hr'!$E$8)+(O18*(1+'.c12_inputs.hr'!$E$9))</f>
        <v>236270</v>
      </c>
      <c r="P27" s="632">
        <f>P9*(1+'.c12_inputs.hr'!$E$8)+(P18*(1+'.c12_inputs.hr'!$E$9))</f>
        <v>236270</v>
      </c>
      <c r="Q27" s="632">
        <f>Q9*(1+'.c12_inputs.hr'!$E$8)+(Q18*(1+'.c12_inputs.hr'!$E$9))</f>
        <v>236270</v>
      </c>
      <c r="R27" s="632"/>
      <c r="S27" s="632"/>
      <c r="T27" s="624"/>
      <c r="U27" s="580"/>
      <c r="V27" s="580"/>
      <c r="W27" s="580"/>
      <c r="X27" s="580"/>
      <c r="Y27" s="580"/>
      <c r="Z27" s="580"/>
      <c r="AA27" s="580"/>
      <c r="AB27" s="580"/>
      <c r="AC27" s="580"/>
      <c r="AD27" s="580"/>
      <c r="AE27" s="580"/>
      <c r="AF27" s="580"/>
      <c r="AG27" s="580"/>
      <c r="AH27" s="580"/>
      <c r="AI27" s="580"/>
      <c r="AJ27" s="580"/>
      <c r="AK27" s="580"/>
      <c r="AL27" s="580"/>
      <c r="AM27" s="580"/>
      <c r="AN27" s="580"/>
      <c r="AO27" s="580"/>
      <c r="AP27" s="580"/>
      <c r="AQ27" s="580"/>
      <c r="AR27" s="580"/>
      <c r="AS27" s="580"/>
    </row>
    <row r="28" spans="1:45">
      <c r="A28" s="580" t="str">
        <f>A19</f>
        <v>associate (MT)</v>
      </c>
      <c r="B28" s="607" t="s">
        <v>805</v>
      </c>
      <c r="C28" s="607" t="s">
        <v>1067</v>
      </c>
      <c r="D28" s="607" t="s">
        <v>1078</v>
      </c>
      <c r="E28" s="615"/>
      <c r="F28" s="631">
        <f>F10*(1+'.c12_inputs.hr'!$E$8)+(F19*(1+'.c12_inputs.hr'!$E$9))</f>
        <v>31679.999999999996</v>
      </c>
      <c r="G28" s="631">
        <f>G10*(1+'.c12_inputs.hr'!$E$8)+(G19*(1+'.c12_inputs.hr'!$E$9))</f>
        <v>31679.999999999996</v>
      </c>
      <c r="H28" s="631">
        <f>H10*(1+'.c12_inputs.hr'!$E$8)+(H19*(1+'.c12_inputs.hr'!$E$9))</f>
        <v>31679.999999999996</v>
      </c>
      <c r="I28" s="631">
        <f>I10*(1+'.c12_inputs.hr'!$E$8)+(I19*(1+'.c12_inputs.hr'!$E$9))</f>
        <v>52460</v>
      </c>
      <c r="J28" s="631">
        <f>J10*(1+'.c12_inputs.hr'!$E$8)+(J19*(1+'.c12_inputs.hr'!$E$9))</f>
        <v>31679.999999999996</v>
      </c>
      <c r="K28" s="631">
        <f>K10*(1+'.c12_inputs.hr'!$E$8)+(K19*(1+'.c12_inputs.hr'!$E$9))</f>
        <v>31679.999999999996</v>
      </c>
      <c r="L28" s="631">
        <f>L10*(1+'.c12_inputs.hr'!$E$8)+(L19*(1+'.c12_inputs.hr'!$E$9))</f>
        <v>31679.999999999996</v>
      </c>
      <c r="M28" s="631">
        <f>M10*(1+'.c12_inputs.hr'!$E$8)+(M19*(1+'.c12_inputs.hr'!$E$9))</f>
        <v>73240</v>
      </c>
      <c r="N28" s="632">
        <f>N10*(1+'.c12_inputs.hr'!$E$8)+(N19*(1+'.c12_inputs.hr'!$E$9))</f>
        <v>168280</v>
      </c>
      <c r="O28" s="632">
        <f>O10*(1+'.c12_inputs.hr'!$E$8)+(O19*(1+'.c12_inputs.hr'!$E$9))</f>
        <v>168280</v>
      </c>
      <c r="P28" s="632">
        <f>P10*(1+'.c12_inputs.hr'!$E$8)+(P19*(1+'.c12_inputs.hr'!$E$9))</f>
        <v>168280</v>
      </c>
      <c r="Q28" s="632">
        <f>Q10*(1+'.c12_inputs.hr'!$E$8)+(Q19*(1+'.c12_inputs.hr'!$E$9))</f>
        <v>168280</v>
      </c>
      <c r="R28" s="632"/>
      <c r="S28" s="632"/>
      <c r="T28" s="580"/>
      <c r="U28" s="580"/>
      <c r="V28" s="580"/>
      <c r="W28" s="580"/>
      <c r="X28" s="580"/>
      <c r="Y28" s="580"/>
      <c r="Z28" s="580"/>
      <c r="AA28" s="580"/>
      <c r="AB28" s="580"/>
      <c r="AC28" s="580"/>
      <c r="AD28" s="580"/>
      <c r="AE28" s="580"/>
      <c r="AF28" s="580"/>
      <c r="AG28" s="580"/>
      <c r="AH28" s="580"/>
      <c r="AI28" s="580"/>
      <c r="AJ28" s="580"/>
      <c r="AK28" s="580"/>
      <c r="AL28" s="580"/>
      <c r="AM28" s="580"/>
      <c r="AN28" s="580"/>
      <c r="AO28" s="580"/>
      <c r="AP28" s="580"/>
      <c r="AQ28" s="580"/>
      <c r="AR28" s="580"/>
      <c r="AS28" s="580"/>
    </row>
    <row r="29" spans="1:45">
      <c r="A29" s="580" t="str">
        <f>A20</f>
        <v>project manager</v>
      </c>
      <c r="B29" s="607" t="s">
        <v>805</v>
      </c>
      <c r="C29" s="607" t="s">
        <v>1067</v>
      </c>
      <c r="D29" s="607" t="s">
        <v>1080</v>
      </c>
      <c r="E29" s="615"/>
      <c r="F29" s="631">
        <f>F11*(1+'.c12_inputs.hr'!$E$8)+(F20*(1+'.c12_inputs.hr'!$E$9))</f>
        <v>0</v>
      </c>
      <c r="G29" s="631">
        <f>G11*(1+'.c12_inputs.hr'!$E$8)+(G20*(1+'.c12_inputs.hr'!$E$9))</f>
        <v>0</v>
      </c>
      <c r="H29" s="631">
        <f>H11*(1+'.c12_inputs.hr'!$E$8)+(H20*(1+'.c12_inputs.hr'!$E$9))</f>
        <v>0</v>
      </c>
      <c r="I29" s="631">
        <f>I11*(1+'.c12_inputs.hr'!$E$8)+(I20*(1+'.c12_inputs.hr'!$E$9))</f>
        <v>0</v>
      </c>
      <c r="J29" s="631">
        <f>J11*(1+'.c12_inputs.hr'!$E$8)+(J20*(1+'.c12_inputs.hr'!$E$9))</f>
        <v>0</v>
      </c>
      <c r="K29" s="631">
        <f>K11*(1+'.c12_inputs.hr'!$E$8)+(K20*(1+'.c12_inputs.hr'!$E$9))</f>
        <v>0</v>
      </c>
      <c r="L29" s="631">
        <f>L11*(1+'.c12_inputs.hr'!$E$8)+(L20*(1+'.c12_inputs.hr'!$E$9))</f>
        <v>43200</v>
      </c>
      <c r="M29" s="631">
        <f>M11*(1+'.c12_inputs.hr'!$E$8)+(M20*(1+'.c12_inputs.hr'!$E$9))</f>
        <v>48395</v>
      </c>
      <c r="N29" s="632">
        <f>N11*(1+'.c12_inputs.hr'!$E$8)+(N20*(1+'.c12_inputs.hr'!$E$9))</f>
        <v>183190</v>
      </c>
      <c r="O29" s="632">
        <f>O11*(1+'.c12_inputs.hr'!$E$8)+(O20*(1+'.c12_inputs.hr'!$E$9))</f>
        <v>183190</v>
      </c>
      <c r="P29" s="632">
        <f>P11*(1+'.c12_inputs.hr'!$E$8)+(P20*(1+'.c12_inputs.hr'!$E$9))</f>
        <v>183190</v>
      </c>
      <c r="Q29" s="632">
        <f>Q11*(1+'.c12_inputs.hr'!$E$8)+(Q20*(1+'.c12_inputs.hr'!$E$9))</f>
        <v>183190</v>
      </c>
      <c r="R29" s="632"/>
      <c r="S29" s="632"/>
      <c r="T29" s="580"/>
      <c r="U29" s="580"/>
      <c r="V29" s="580"/>
      <c r="W29" s="580"/>
      <c r="X29" s="580"/>
      <c r="Y29" s="580"/>
      <c r="Z29" s="580"/>
      <c r="AA29" s="580"/>
      <c r="AB29" s="580"/>
      <c r="AC29" s="580"/>
      <c r="AD29" s="580"/>
      <c r="AE29" s="580"/>
      <c r="AF29" s="580"/>
      <c r="AG29" s="580"/>
      <c r="AH29" s="580"/>
      <c r="AI29" s="580"/>
      <c r="AJ29" s="580"/>
      <c r="AK29" s="580"/>
      <c r="AL29" s="580"/>
      <c r="AM29" s="580"/>
      <c r="AN29" s="580"/>
      <c r="AO29" s="580"/>
      <c r="AP29" s="580"/>
      <c r="AQ29" s="580"/>
      <c r="AR29" s="580"/>
      <c r="AS29" s="580"/>
    </row>
    <row r="30" spans="1:45" s="672" customFormat="1" ht="14.65" customHeight="1">
      <c r="A30" s="580"/>
      <c r="B30" s="607"/>
      <c r="C30" s="607"/>
      <c r="D30" s="607"/>
      <c r="E30" s="615"/>
      <c r="F30" s="631"/>
      <c r="G30" s="631"/>
      <c r="H30" s="631"/>
      <c r="I30" s="631"/>
      <c r="J30" s="631"/>
      <c r="K30" s="631"/>
      <c r="L30" s="631"/>
      <c r="M30" s="631"/>
      <c r="N30" s="632"/>
      <c r="O30" s="632"/>
      <c r="P30" s="632"/>
      <c r="Q30" s="632"/>
      <c r="R30" s="632"/>
      <c r="S30" s="632"/>
      <c r="T30" s="580"/>
      <c r="U30" s="580"/>
      <c r="V30" s="580"/>
      <c r="W30" s="580"/>
      <c r="X30" s="580"/>
      <c r="Y30" s="580"/>
      <c r="Z30" s="580"/>
      <c r="AA30" s="580"/>
      <c r="AB30" s="580"/>
      <c r="AC30" s="580"/>
      <c r="AD30" s="580"/>
      <c r="AE30" s="580"/>
      <c r="AF30" s="580"/>
      <c r="AG30" s="580"/>
      <c r="AH30" s="580"/>
      <c r="AI30" s="580"/>
      <c r="AJ30" s="580"/>
      <c r="AK30" s="580"/>
      <c r="AL30" s="580"/>
      <c r="AM30" s="580"/>
      <c r="AN30" s="580"/>
      <c r="AO30" s="580"/>
      <c r="AP30" s="580"/>
      <c r="AQ30" s="580"/>
      <c r="AR30" s="580"/>
      <c r="AS30" s="580"/>
    </row>
    <row r="31" spans="1:45" ht="14.65" customHeight="1">
      <c r="A31" s="627" t="s">
        <v>1005</v>
      </c>
      <c r="B31" s="607" t="s">
        <v>805</v>
      </c>
      <c r="C31" s="607" t="s">
        <v>1006</v>
      </c>
      <c r="D31" s="607"/>
      <c r="E31" s="632"/>
      <c r="F31" s="631">
        <f>SUM(F24:F29)</f>
        <v>298080</v>
      </c>
      <c r="G31" s="631">
        <f>SUM(G24:G29)</f>
        <v>298080</v>
      </c>
      <c r="H31" s="631">
        <f>SUM(H24:H29)</f>
        <v>298080</v>
      </c>
      <c r="I31" s="631">
        <f>SUM(I24:I29)</f>
        <v>770825</v>
      </c>
      <c r="J31" s="631">
        <f>SUM(J24:J29)</f>
        <v>391680</v>
      </c>
      <c r="K31" s="631">
        <f>SUM(K24:K29)</f>
        <v>391680</v>
      </c>
      <c r="L31" s="631">
        <f>SUM(L24:L29)</f>
        <v>434880</v>
      </c>
      <c r="M31" s="631">
        <f>SUM(M24:M29)</f>
        <v>949185</v>
      </c>
      <c r="N31" s="632">
        <f>SUM(N24:N29)</f>
        <v>2518770</v>
      </c>
      <c r="O31" s="632">
        <f>SUM(O24:O29)</f>
        <v>2518770</v>
      </c>
      <c r="P31" s="632">
        <f>SUM(P24:P29)</f>
        <v>2518770</v>
      </c>
      <c r="Q31" s="632">
        <f>SUM(Q24:Q29)</f>
        <v>2518770</v>
      </c>
      <c r="R31" s="632"/>
      <c r="S31" s="624"/>
      <c r="T31" s="580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  <c r="AJ31" s="580"/>
      <c r="AK31" s="580"/>
      <c r="AL31" s="580"/>
      <c r="AM31" s="580"/>
      <c r="AN31" s="580"/>
      <c r="AO31" s="580"/>
      <c r="AP31" s="580"/>
      <c r="AQ31" s="580"/>
      <c r="AR31" s="580"/>
      <c r="AS31" s="580"/>
    </row>
    <row r="32" spans="1:45">
      <c r="A32" s="609" t="s">
        <v>1007</v>
      </c>
      <c r="B32" s="607" t="s">
        <v>805</v>
      </c>
      <c r="C32" s="607" t="s">
        <v>1008</v>
      </c>
      <c r="D32" s="607"/>
      <c r="E32" s="611"/>
      <c r="F32" s="613">
        <f>SUMPRODUCT('.c12_alloc'!$H$16:$H$21,'.c12_hm_hr'!F$24:F$29)</f>
        <v>154080</v>
      </c>
      <c r="G32" s="613">
        <f>SUMPRODUCT('.c12_alloc'!$H$16:$H$21,'.c12_hm_hr'!G$24:G$29)</f>
        <v>154080</v>
      </c>
      <c r="H32" s="613">
        <f>SUMPRODUCT('.c12_alloc'!$H$16:$H$21,'.c12_hm_hr'!H$24:H$29)</f>
        <v>154080</v>
      </c>
      <c r="I32" s="613">
        <f>SUMPRODUCT('.c12_alloc'!$H$16:$H$21,'.c12_hm_hr'!I$24:I$29)</f>
        <v>367075</v>
      </c>
      <c r="J32" s="613">
        <f>SUMPRODUCT('.c12_alloc'!$H$16:$H$21,'.c12_hm_hr'!J$24:J$29)</f>
        <v>247680</v>
      </c>
      <c r="K32" s="613">
        <f>SUMPRODUCT('.c12_alloc'!$H$16:$H$21,'.c12_hm_hr'!K$24:K$29)</f>
        <v>247680</v>
      </c>
      <c r="L32" s="613">
        <f>SUMPRODUCT('.c12_alloc'!$H$16:$H$21,'.c12_hm_hr'!L$24:L$29)</f>
        <v>290880</v>
      </c>
      <c r="M32" s="613">
        <f>SUMPRODUCT('.c12_alloc'!$H$16:$H$21,'.c12_hm_hr'!M$24:M$29)</f>
        <v>545435</v>
      </c>
      <c r="N32" s="611">
        <f>SUMPRODUCT('.c12_alloc'!$H$16:$H$21,'.c12_hm_hr'!N$24:N$29)</f>
        <v>1423270</v>
      </c>
      <c r="O32" s="611">
        <f>SUMPRODUCT('.c12_alloc'!$H$16:$H$21,'.c12_hm_hr'!O$24:O$29)</f>
        <v>1423270</v>
      </c>
      <c r="P32" s="611">
        <f>SUMPRODUCT('.c12_alloc'!$H$16:$H$21,'.c12_hm_hr'!P$24:P$29)</f>
        <v>1423270</v>
      </c>
      <c r="Q32" s="611">
        <f>SUMPRODUCT('.c12_alloc'!$H$16:$H$21,'.c12_hm_hr'!Q$24:Q$29)</f>
        <v>1423270</v>
      </c>
      <c r="R32" s="580"/>
      <c r="S32" s="580"/>
      <c r="T32" s="580"/>
      <c r="U32" s="580"/>
      <c r="V32" s="580"/>
      <c r="W32" s="580"/>
      <c r="X32" s="580"/>
      <c r="Y32" s="580"/>
      <c r="Z32" s="580"/>
      <c r="AA32" s="580"/>
      <c r="AB32" s="580"/>
      <c r="AC32" s="580"/>
      <c r="AD32" s="580"/>
      <c r="AE32" s="580"/>
      <c r="AF32" s="580"/>
      <c r="AG32" s="580"/>
      <c r="AH32" s="580"/>
      <c r="AI32" s="580"/>
      <c r="AJ32" s="580"/>
      <c r="AK32" s="580"/>
      <c r="AL32" s="580"/>
      <c r="AM32" s="580"/>
      <c r="AN32" s="580"/>
      <c r="AO32" s="580"/>
      <c r="AP32" s="580"/>
      <c r="AQ32" s="580"/>
      <c r="AR32" s="580"/>
      <c r="AS32" s="580"/>
    </row>
    <row r="33" spans="1:45">
      <c r="A33" s="609" t="s">
        <v>1009</v>
      </c>
      <c r="B33" s="607" t="s">
        <v>805</v>
      </c>
      <c r="C33" s="607" t="s">
        <v>1010</v>
      </c>
      <c r="D33" s="607"/>
      <c r="E33" s="611"/>
      <c r="F33" s="613">
        <f>SUMPRODUCT('.c12_alloc'!$G$16:$G$21,'.c12_hm_hr'!F$24:F$29)</f>
        <v>144000</v>
      </c>
      <c r="G33" s="613">
        <f>SUMPRODUCT('.c12_alloc'!$G$16:$G$21,'.c12_hm_hr'!G$24:G$29)</f>
        <v>144000</v>
      </c>
      <c r="H33" s="613">
        <f>SUMPRODUCT('.c12_alloc'!$G$16:$G$21,'.c12_hm_hr'!H$24:H$29)</f>
        <v>144000</v>
      </c>
      <c r="I33" s="613">
        <f>SUMPRODUCT('.c12_alloc'!$G$16:$G$21,'.c12_hm_hr'!I$24:I$29)</f>
        <v>403750</v>
      </c>
      <c r="J33" s="613">
        <f>SUMPRODUCT('.c12_alloc'!$G$16:$G$21,'.c12_hm_hr'!J$24:J$29)</f>
        <v>144000</v>
      </c>
      <c r="K33" s="613">
        <f>SUMPRODUCT('.c12_alloc'!$G$16:$G$21,'.c12_hm_hr'!K$24:K$29)</f>
        <v>144000</v>
      </c>
      <c r="L33" s="613">
        <f>SUMPRODUCT('.c12_alloc'!$G$16:$G$21,'.c12_hm_hr'!L$24:L$29)</f>
        <v>144000</v>
      </c>
      <c r="M33" s="613">
        <f>SUMPRODUCT('.c12_alloc'!$G$16:$G$21,'.c12_hm_hr'!M$24:M$29)</f>
        <v>403750</v>
      </c>
      <c r="N33" s="611">
        <f>SUMPRODUCT('.c12_alloc'!$G$16:$G$21,'.c12_hm_hr'!N$24:N$29)</f>
        <v>1095500</v>
      </c>
      <c r="O33" s="611">
        <f>SUMPRODUCT('.c12_alloc'!$G$16:$G$21,'.c12_hm_hr'!O$24:O$29)</f>
        <v>1095500</v>
      </c>
      <c r="P33" s="611">
        <f>SUMPRODUCT('.c12_alloc'!$G$16:$G$21,'.c12_hm_hr'!P$24:P$29)</f>
        <v>1095500</v>
      </c>
      <c r="Q33" s="611">
        <f>SUMPRODUCT('.c12_alloc'!$G$16:$G$21,'.c12_hm_hr'!Q$24:Q$29)</f>
        <v>1095500</v>
      </c>
      <c r="R33" s="580"/>
      <c r="S33" s="580"/>
      <c r="T33" s="580"/>
      <c r="U33" s="580"/>
      <c r="V33" s="580"/>
      <c r="W33" s="580"/>
      <c r="X33" s="580"/>
      <c r="Y33" s="580"/>
      <c r="Z33" s="580"/>
      <c r="AA33" s="580"/>
      <c r="AB33" s="580"/>
      <c r="AC33" s="580"/>
      <c r="AD33" s="580"/>
      <c r="AE33" s="580"/>
      <c r="AF33" s="580"/>
      <c r="AG33" s="580"/>
      <c r="AH33" s="580"/>
      <c r="AI33" s="580"/>
      <c r="AJ33" s="580"/>
      <c r="AK33" s="580"/>
      <c r="AL33" s="580"/>
      <c r="AM33" s="580"/>
      <c r="AN33" s="580"/>
      <c r="AO33" s="580"/>
      <c r="AP33" s="580"/>
      <c r="AQ33" s="580"/>
      <c r="AR33" s="580"/>
      <c r="AS33" s="580"/>
    </row>
    <row r="34" spans="1:45">
      <c r="A34" s="609" t="s">
        <v>1011</v>
      </c>
      <c r="B34" s="607" t="s">
        <v>805</v>
      </c>
      <c r="C34" s="607" t="s">
        <v>1012</v>
      </c>
      <c r="D34" s="607"/>
      <c r="E34" s="611"/>
      <c r="F34" s="613">
        <f>SUMPRODUCT('.c12_alloc'!$E$16:$E$21,'.c12_hm_hr'!F$24:F$29)</f>
        <v>0</v>
      </c>
      <c r="G34" s="613">
        <f>SUMPRODUCT('.c12_alloc'!$E$16:$E$21,'.c12_hm_hr'!G$24:G$29)</f>
        <v>0</v>
      </c>
      <c r="H34" s="613">
        <f>SUMPRODUCT('.c12_alloc'!$E$16:$E$21,'.c12_hm_hr'!H$24:H$29)</f>
        <v>0</v>
      </c>
      <c r="I34" s="613">
        <f>SUMPRODUCT('.c12_alloc'!$E$16:$E$21,'.c12_hm_hr'!I$24:I$29)</f>
        <v>0</v>
      </c>
      <c r="J34" s="613">
        <f>SUMPRODUCT('.c12_alloc'!$E$16:$E$21,'.c12_hm_hr'!J$24:J$29)</f>
        <v>0</v>
      </c>
      <c r="K34" s="613">
        <f>SUMPRODUCT('.c12_alloc'!$E$16:$E$21,'.c12_hm_hr'!K$24:K$29)</f>
        <v>0</v>
      </c>
      <c r="L34" s="613">
        <f>SUMPRODUCT('.c12_alloc'!$E$16:$E$21,'.c12_hm_hr'!L$24:L$29)</f>
        <v>0</v>
      </c>
      <c r="M34" s="613">
        <f>SUMPRODUCT('.c12_alloc'!$E$16:$E$21,'.c12_hm_hr'!M$24:M$29)</f>
        <v>0</v>
      </c>
      <c r="N34" s="611">
        <f>SUMPRODUCT('.c12_alloc'!$E$16:$E$21,'.c12_hm_hr'!N$24:N$29)</f>
        <v>0</v>
      </c>
      <c r="O34" s="611">
        <f>SUMPRODUCT('.c12_alloc'!$E$16:$E$21,'.c12_hm_hr'!O$24:O$29)</f>
        <v>0</v>
      </c>
      <c r="P34" s="611">
        <f>SUMPRODUCT('.c12_alloc'!$E$16:$E$21,'.c12_hm_hr'!P$24:P$29)</f>
        <v>0</v>
      </c>
      <c r="Q34" s="611">
        <f>SUMPRODUCT('.c12_alloc'!$E$16:$E$21,'.c12_hm_hr'!Q$24:Q$29)</f>
        <v>0</v>
      </c>
      <c r="R34" s="580"/>
      <c r="S34" s="580"/>
      <c r="T34" s="580"/>
      <c r="U34" s="580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580"/>
      <c r="AJ34" s="580"/>
      <c r="AK34" s="580"/>
      <c r="AL34" s="580"/>
      <c r="AM34" s="580"/>
      <c r="AN34" s="580"/>
      <c r="AO34" s="580"/>
      <c r="AP34" s="580"/>
      <c r="AQ34" s="580"/>
      <c r="AR34" s="580"/>
      <c r="AS34" s="580"/>
    </row>
    <row r="35" spans="1:45">
      <c r="A35" s="580"/>
      <c r="B35" s="580"/>
      <c r="C35" s="580"/>
      <c r="D35" s="580"/>
      <c r="E35" s="611"/>
      <c r="F35" s="611"/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1"/>
      <c r="R35" s="580"/>
      <c r="S35" s="580"/>
      <c r="T35" s="580"/>
      <c r="U35" s="580"/>
      <c r="V35" s="580"/>
      <c r="W35" s="580"/>
      <c r="X35" s="580"/>
      <c r="Y35" s="580"/>
      <c r="Z35" s="580"/>
      <c r="AA35" s="580"/>
      <c r="AB35" s="580"/>
      <c r="AC35" s="580"/>
      <c r="AD35" s="580"/>
      <c r="AE35" s="580"/>
      <c r="AF35" s="580"/>
      <c r="AG35" s="580"/>
      <c r="AH35" s="580"/>
      <c r="AI35" s="580"/>
      <c r="AJ35" s="580"/>
      <c r="AK35" s="580"/>
      <c r="AL35" s="580"/>
      <c r="AM35" s="580"/>
      <c r="AN35" s="580"/>
      <c r="AO35" s="580"/>
      <c r="AP35" s="580"/>
      <c r="AQ35" s="580"/>
      <c r="AR35" s="580"/>
      <c r="AS35" s="580"/>
    </row>
    <row r="46" spans="1:45">
      <c r="A46" s="580"/>
      <c r="B46" s="580"/>
      <c r="C46" s="580"/>
      <c r="D46" s="580"/>
      <c r="E46" s="580"/>
      <c r="F46" s="580"/>
      <c r="G46" s="580"/>
      <c r="H46" s="580"/>
      <c r="I46" s="580"/>
      <c r="J46" s="580"/>
      <c r="K46" s="580"/>
      <c r="L46" s="580"/>
      <c r="M46" s="580"/>
      <c r="N46" s="580"/>
      <c r="O46" s="580"/>
      <c r="P46" s="580"/>
      <c r="Q46" s="580"/>
      <c r="R46" s="580"/>
      <c r="S46" s="580"/>
      <c r="T46" s="580"/>
      <c r="U46" s="580"/>
      <c r="V46" s="580"/>
      <c r="W46" s="580"/>
      <c r="X46" s="580"/>
      <c r="Y46" s="580"/>
      <c r="Z46" s="580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</row>
    <row r="47" spans="1:45">
      <c r="A47" s="580"/>
      <c r="B47" s="580"/>
      <c r="C47" s="580"/>
      <c r="D47" s="580"/>
      <c r="E47" s="580"/>
      <c r="F47" s="580"/>
      <c r="G47" s="580"/>
      <c r="H47" s="580"/>
      <c r="I47" s="580"/>
      <c r="J47" s="580"/>
      <c r="K47" s="580"/>
      <c r="L47" s="580"/>
      <c r="M47" s="580"/>
      <c r="N47" s="580"/>
      <c r="O47" s="580"/>
      <c r="P47" s="580"/>
      <c r="Q47" s="580"/>
      <c r="R47" s="580"/>
      <c r="S47" s="580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</row>
    <row r="48" spans="1:45">
      <c r="A48" s="580"/>
      <c r="B48" s="580"/>
      <c r="C48" s="580"/>
      <c r="D48" s="580"/>
      <c r="E48" s="580"/>
      <c r="F48" s="580"/>
      <c r="G48" s="580"/>
      <c r="H48" s="580"/>
      <c r="I48" s="580"/>
      <c r="J48" s="580"/>
      <c r="K48" s="580"/>
      <c r="L48" s="580"/>
      <c r="M48" s="580"/>
      <c r="N48" s="580"/>
      <c r="O48" s="580"/>
      <c r="P48" s="580"/>
      <c r="Q48" s="580"/>
      <c r="R48" s="580"/>
      <c r="S48" s="580"/>
      <c r="T48" s="580"/>
      <c r="U48" s="580"/>
      <c r="V48" s="580"/>
      <c r="W48" s="580"/>
      <c r="X48" s="580"/>
      <c r="Y48" s="580"/>
      <c r="Z48" s="580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</row>
    <row r="49" spans="1:45">
      <c r="A49" s="580"/>
      <c r="B49" s="580"/>
      <c r="C49" s="580"/>
      <c r="D49" s="580"/>
      <c r="E49" s="580"/>
      <c r="F49" s="580"/>
      <c r="G49" s="580"/>
      <c r="H49" s="580"/>
      <c r="I49" s="580"/>
      <c r="J49" s="580"/>
      <c r="K49" s="580"/>
      <c r="L49" s="580"/>
      <c r="M49" s="580"/>
      <c r="N49" s="580"/>
      <c r="O49" s="580"/>
      <c r="P49" s="580"/>
      <c r="Q49" s="580"/>
      <c r="R49" s="580"/>
      <c r="S49" s="580"/>
      <c r="T49" s="580"/>
      <c r="U49" s="580"/>
      <c r="V49" s="580"/>
      <c r="W49" s="580"/>
      <c r="X49" s="580"/>
      <c r="Y49" s="580"/>
      <c r="Z49" s="580"/>
      <c r="AA49" s="580"/>
      <c r="AB49" s="580"/>
      <c r="AC49" s="580"/>
      <c r="AD49" s="580"/>
      <c r="AE49" s="580"/>
      <c r="AF49" s="580"/>
      <c r="AG49" s="580"/>
      <c r="AH49" s="580"/>
      <c r="AI49" s="580"/>
      <c r="AJ49" s="580"/>
      <c r="AK49" s="580"/>
      <c r="AL49" s="580"/>
      <c r="AM49" s="580"/>
      <c r="AN49" s="580"/>
      <c r="AO49" s="580"/>
      <c r="AP49" s="580"/>
      <c r="AQ49" s="580"/>
      <c r="AR49" s="580"/>
      <c r="AS49" s="580"/>
    </row>
    <row r="50" spans="1:45">
      <c r="A50" s="580"/>
      <c r="B50" s="580"/>
      <c r="C50" s="580"/>
      <c r="D50" s="580"/>
      <c r="E50" s="580"/>
      <c r="F50" s="580"/>
      <c r="G50" s="580"/>
      <c r="H50" s="580"/>
      <c r="I50" s="580"/>
      <c r="J50" s="580"/>
      <c r="K50" s="580"/>
      <c r="L50" s="580"/>
      <c r="M50" s="580"/>
      <c r="N50" s="580"/>
      <c r="O50" s="580"/>
      <c r="P50" s="580"/>
      <c r="Q50" s="580"/>
      <c r="R50" s="580"/>
      <c r="S50" s="580"/>
      <c r="T50" s="580"/>
      <c r="U50" s="580"/>
      <c r="V50" s="580"/>
      <c r="W50" s="580"/>
      <c r="X50" s="580"/>
      <c r="Y50" s="580"/>
      <c r="Z50" s="580"/>
      <c r="AA50" s="580"/>
      <c r="AB50" s="580"/>
      <c r="AC50" s="580"/>
      <c r="AD50" s="580"/>
      <c r="AE50" s="580"/>
      <c r="AF50" s="580"/>
      <c r="AG50" s="580"/>
      <c r="AH50" s="580"/>
      <c r="AI50" s="580"/>
      <c r="AJ50" s="580"/>
      <c r="AK50" s="580"/>
      <c r="AL50" s="580"/>
      <c r="AM50" s="580"/>
      <c r="AN50" s="580"/>
      <c r="AO50" s="580"/>
      <c r="AP50" s="580"/>
      <c r="AQ50" s="580"/>
      <c r="AR50" s="580"/>
      <c r="AS50" s="580"/>
    </row>
    <row r="51" spans="1:45">
      <c r="A51" s="580"/>
      <c r="B51" s="580"/>
      <c r="C51" s="580"/>
      <c r="D51" s="580"/>
      <c r="E51" s="580"/>
      <c r="F51" s="580"/>
      <c r="G51" s="580"/>
      <c r="H51" s="580"/>
      <c r="I51" s="580"/>
      <c r="J51" s="580"/>
      <c r="K51" s="580"/>
      <c r="L51" s="580"/>
      <c r="M51" s="580"/>
      <c r="N51" s="580"/>
      <c r="O51" s="580"/>
      <c r="P51" s="580"/>
      <c r="Q51" s="580"/>
      <c r="R51" s="580"/>
      <c r="S51" s="580"/>
      <c r="T51" s="580"/>
      <c r="U51" s="580"/>
      <c r="V51" s="580"/>
      <c r="W51" s="580"/>
      <c r="X51" s="580"/>
      <c r="Y51" s="580"/>
      <c r="Z51" s="580"/>
      <c r="AA51" s="580"/>
      <c r="AB51" s="580"/>
      <c r="AC51" s="580"/>
      <c r="AD51" s="580"/>
      <c r="AE51" s="580"/>
      <c r="AF51" s="580"/>
      <c r="AG51" s="580"/>
      <c r="AH51" s="580"/>
      <c r="AI51" s="580"/>
      <c r="AJ51" s="580"/>
      <c r="AK51" s="580"/>
      <c r="AL51" s="580"/>
      <c r="AM51" s="580"/>
      <c r="AN51" s="580"/>
      <c r="AO51" s="580"/>
      <c r="AP51" s="580"/>
      <c r="AQ51" s="580"/>
      <c r="AR51" s="580"/>
      <c r="AS51" s="580"/>
    </row>
    <row r="52" spans="1:45">
      <c r="A52" s="580"/>
      <c r="B52" s="580"/>
      <c r="C52" s="580"/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580"/>
      <c r="AQ52" s="580"/>
      <c r="AR52" s="580"/>
      <c r="AS52" s="580"/>
    </row>
    <row r="53" spans="1:45">
      <c r="A53" s="580"/>
      <c r="B53" s="580"/>
      <c r="C53" s="580"/>
      <c r="D53" s="580"/>
      <c r="E53" s="580"/>
      <c r="F53" s="580"/>
      <c r="G53" s="580"/>
      <c r="H53" s="580"/>
      <c r="I53" s="580"/>
      <c r="J53" s="580"/>
      <c r="K53" s="580"/>
      <c r="L53" s="580"/>
      <c r="M53" s="580"/>
      <c r="N53" s="580"/>
      <c r="O53" s="580"/>
      <c r="P53" s="580"/>
      <c r="Q53" s="580"/>
      <c r="R53" s="580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580"/>
      <c r="AQ53" s="580"/>
      <c r="AR53" s="580"/>
      <c r="AS53" s="580"/>
    </row>
    <row r="54" spans="1:45">
      <c r="A54" s="580"/>
      <c r="B54" s="580"/>
      <c r="C54" s="580"/>
      <c r="D54" s="580"/>
      <c r="E54" s="580"/>
      <c r="F54" s="580"/>
      <c r="G54" s="580"/>
      <c r="H54" s="580"/>
      <c r="I54" s="580"/>
      <c r="J54" s="580"/>
      <c r="K54" s="580"/>
      <c r="L54" s="580"/>
      <c r="M54" s="580"/>
      <c r="N54" s="580"/>
      <c r="O54" s="580"/>
      <c r="P54" s="580"/>
      <c r="Q54" s="580"/>
      <c r="R54" s="580"/>
      <c r="S54" s="580"/>
      <c r="T54" s="580"/>
      <c r="U54" s="580"/>
      <c r="V54" s="580"/>
      <c r="W54" s="580"/>
      <c r="X54" s="580"/>
      <c r="Y54" s="580"/>
      <c r="Z54" s="580"/>
      <c r="AA54" s="580"/>
      <c r="AB54" s="580"/>
      <c r="AC54" s="580"/>
      <c r="AD54" s="580"/>
      <c r="AE54" s="580"/>
      <c r="AF54" s="580"/>
      <c r="AG54" s="580"/>
      <c r="AH54" s="580"/>
      <c r="AI54" s="580"/>
      <c r="AJ54" s="580"/>
      <c r="AK54" s="580"/>
      <c r="AL54" s="580"/>
      <c r="AM54" s="580"/>
      <c r="AN54" s="580"/>
      <c r="AO54" s="580"/>
      <c r="AP54" s="580"/>
      <c r="AQ54" s="580"/>
      <c r="AR54" s="580"/>
      <c r="AS54" s="580"/>
    </row>
    <row r="55" spans="1:45">
      <c r="A55" s="580"/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580"/>
      <c r="N55" s="580"/>
      <c r="O55" s="580"/>
      <c r="P55" s="580"/>
      <c r="Q55" s="580"/>
      <c r="R55" s="580"/>
      <c r="S55" s="580"/>
      <c r="T55" s="580"/>
      <c r="U55" s="580"/>
      <c r="V55" s="580"/>
      <c r="W55" s="580"/>
      <c r="X55" s="580"/>
      <c r="Y55" s="580"/>
      <c r="Z55" s="580"/>
      <c r="AA55" s="580"/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/>
      <c r="AO55" s="580"/>
      <c r="AP55" s="580"/>
      <c r="AQ55" s="580"/>
      <c r="AR55" s="580"/>
      <c r="AS55" s="580"/>
    </row>
    <row r="56" spans="1:45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580"/>
      <c r="P56" s="580"/>
      <c r="Q56" s="580"/>
      <c r="R56" s="580"/>
      <c r="S56" s="580"/>
      <c r="T56" s="580"/>
      <c r="U56" s="580"/>
      <c r="V56" s="580"/>
      <c r="W56" s="580"/>
      <c r="X56" s="580"/>
      <c r="Y56" s="580"/>
      <c r="Z56" s="580"/>
      <c r="AA56" s="580"/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/>
      <c r="AO56" s="580"/>
      <c r="AP56" s="580"/>
      <c r="AQ56" s="580"/>
      <c r="AR56" s="580"/>
      <c r="AS56" s="580"/>
    </row>
    <row r="57" spans="1:45">
      <c r="A57" s="580"/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  <c r="M57" s="580"/>
      <c r="N57" s="580"/>
      <c r="O57" s="580"/>
      <c r="P57" s="580"/>
      <c r="Q57" s="580"/>
      <c r="R57" s="580"/>
      <c r="S57" s="580"/>
      <c r="T57" s="580"/>
      <c r="U57" s="580"/>
      <c r="V57" s="580"/>
      <c r="W57" s="580"/>
      <c r="X57" s="580"/>
      <c r="Y57" s="580"/>
      <c r="Z57" s="580"/>
      <c r="AA57" s="580"/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/>
      <c r="AO57" s="580"/>
      <c r="AP57" s="580"/>
      <c r="AQ57" s="580"/>
      <c r="AR57" s="580"/>
      <c r="AS57" s="580"/>
    </row>
    <row r="58" spans="1:45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  <c r="M58" s="580"/>
      <c r="N58" s="580"/>
      <c r="O58" s="580"/>
      <c r="P58" s="580"/>
      <c r="Q58" s="580"/>
      <c r="R58" s="580"/>
      <c r="S58" s="580"/>
      <c r="T58" s="580"/>
      <c r="U58" s="580"/>
      <c r="V58" s="580"/>
      <c r="W58" s="580"/>
      <c r="X58" s="580"/>
      <c r="Y58" s="580"/>
      <c r="Z58" s="580"/>
      <c r="AA58" s="580"/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/>
      <c r="AO58" s="580"/>
      <c r="AP58" s="580"/>
      <c r="AQ58" s="580"/>
      <c r="AR58" s="580"/>
      <c r="AS58" s="580"/>
    </row>
    <row r="59" spans="1:45">
      <c r="A59" s="580"/>
      <c r="B59" s="580"/>
      <c r="C59" s="580"/>
      <c r="D59" s="580"/>
      <c r="E59" s="580"/>
      <c r="F59" s="580"/>
      <c r="G59" s="580"/>
      <c r="H59" s="580"/>
      <c r="I59" s="580"/>
      <c r="J59" s="580"/>
      <c r="K59" s="580"/>
      <c r="L59" s="580"/>
      <c r="M59" s="580"/>
      <c r="N59" s="580"/>
      <c r="O59" s="580"/>
      <c r="P59" s="580"/>
      <c r="Q59" s="580"/>
      <c r="R59" s="580"/>
      <c r="S59" s="580"/>
      <c r="T59" s="580"/>
      <c r="U59" s="580"/>
      <c r="V59" s="580"/>
      <c r="W59" s="580"/>
      <c r="X59" s="580"/>
      <c r="Y59" s="580"/>
      <c r="Z59" s="580"/>
      <c r="AA59" s="580"/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/>
      <c r="AO59" s="580"/>
      <c r="AP59" s="580"/>
      <c r="AQ59" s="580"/>
      <c r="AR59" s="580"/>
      <c r="AS59" s="580"/>
    </row>
    <row r="60" spans="1:45">
      <c r="A60" s="580"/>
      <c r="B60" s="580"/>
      <c r="C60" s="580"/>
      <c r="D60" s="580"/>
      <c r="E60" s="580"/>
      <c r="F60" s="580"/>
      <c r="G60" s="580"/>
      <c r="H60" s="580"/>
      <c r="I60" s="580"/>
      <c r="J60" s="580"/>
      <c r="K60" s="580"/>
      <c r="L60" s="580"/>
      <c r="M60" s="580"/>
      <c r="N60" s="580"/>
      <c r="O60" s="580"/>
      <c r="P60" s="580"/>
      <c r="Q60" s="580"/>
      <c r="R60" s="580"/>
      <c r="S60" s="580"/>
      <c r="T60" s="580"/>
      <c r="U60" s="580"/>
      <c r="V60" s="580"/>
      <c r="W60" s="580"/>
      <c r="X60" s="580"/>
      <c r="Y60" s="580"/>
      <c r="Z60" s="580"/>
      <c r="AA60" s="580"/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/>
      <c r="AO60" s="580"/>
      <c r="AP60" s="580"/>
      <c r="AQ60" s="580"/>
      <c r="AR60" s="580"/>
      <c r="AS60" s="580"/>
    </row>
    <row r="61" spans="1:45">
      <c r="A61" s="580"/>
      <c r="B61" s="580"/>
      <c r="C61" s="580"/>
      <c r="D61" s="580"/>
      <c r="E61" s="580"/>
      <c r="F61" s="580"/>
      <c r="G61" s="580"/>
      <c r="H61" s="580"/>
      <c r="I61" s="580"/>
      <c r="J61" s="580"/>
      <c r="K61" s="580"/>
      <c r="L61" s="580"/>
      <c r="M61" s="580"/>
      <c r="N61" s="580"/>
      <c r="O61" s="580"/>
      <c r="P61" s="580"/>
      <c r="Q61" s="580"/>
      <c r="R61" s="580"/>
      <c r="S61" s="580"/>
      <c r="T61" s="580"/>
      <c r="U61" s="580"/>
      <c r="V61" s="580"/>
      <c r="W61" s="580"/>
      <c r="X61" s="580"/>
      <c r="Y61" s="580"/>
      <c r="Z61" s="580"/>
      <c r="AA61" s="580"/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/>
      <c r="AO61" s="580"/>
      <c r="AP61" s="580"/>
      <c r="AQ61" s="580"/>
      <c r="AR61" s="580"/>
      <c r="AS61" s="580"/>
    </row>
    <row r="62" spans="1:45">
      <c r="A62" s="580"/>
      <c r="B62" s="580"/>
      <c r="C62" s="580"/>
      <c r="D62" s="580"/>
      <c r="E62" s="580"/>
      <c r="F62" s="580"/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580"/>
      <c r="R62" s="580"/>
      <c r="S62" s="580"/>
      <c r="T62" s="580"/>
      <c r="U62" s="580"/>
      <c r="V62" s="580"/>
      <c r="W62" s="580"/>
      <c r="X62" s="580"/>
      <c r="Y62" s="580"/>
      <c r="Z62" s="580"/>
      <c r="AA62" s="580"/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/>
      <c r="AO62" s="580"/>
      <c r="AP62" s="580"/>
      <c r="AQ62" s="580"/>
      <c r="AR62" s="580"/>
      <c r="AS62" s="580"/>
    </row>
    <row r="63" spans="1:45">
      <c r="A63" s="580"/>
      <c r="B63" s="580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0"/>
      <c r="AO63" s="580"/>
      <c r="AP63" s="580"/>
      <c r="AQ63" s="580"/>
      <c r="AR63" s="580"/>
      <c r="AS63" s="580"/>
    </row>
    <row r="64" spans="1:45">
      <c r="A64" s="580"/>
      <c r="B64" s="580"/>
      <c r="C64" s="580"/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/>
      <c r="AO64" s="580"/>
      <c r="AP64" s="580"/>
      <c r="AQ64" s="580"/>
      <c r="AR64" s="580"/>
      <c r="AS64" s="580"/>
    </row>
    <row r="65" spans="1:45">
      <c r="A65" s="580"/>
      <c r="B65" s="580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  <c r="X65" s="580"/>
      <c r="Y65" s="580"/>
      <c r="Z65" s="580"/>
      <c r="AA65" s="580"/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0"/>
      <c r="AO65" s="580"/>
      <c r="AP65" s="580"/>
      <c r="AQ65" s="580"/>
      <c r="AR65" s="580"/>
      <c r="AS65" s="580"/>
    </row>
    <row r="66" spans="1:45">
      <c r="A66" s="580"/>
      <c r="B66" s="580"/>
      <c r="C66" s="580"/>
      <c r="D66" s="580"/>
      <c r="E66" s="580"/>
      <c r="F66" s="580"/>
      <c r="G66" s="580"/>
      <c r="H66" s="580"/>
      <c r="I66" s="580"/>
      <c r="J66" s="580"/>
      <c r="K66" s="580"/>
      <c r="L66" s="580"/>
      <c r="M66" s="580"/>
      <c r="N66" s="580"/>
      <c r="O66" s="580"/>
      <c r="P66" s="580"/>
      <c r="Q66" s="580"/>
      <c r="R66" s="580"/>
      <c r="S66" s="580"/>
      <c r="T66" s="580"/>
      <c r="U66" s="580"/>
      <c r="V66" s="580"/>
      <c r="W66" s="580"/>
      <c r="X66" s="580"/>
      <c r="Y66" s="580"/>
      <c r="Z66" s="580"/>
      <c r="AA66" s="580"/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/>
      <c r="AO66" s="580"/>
      <c r="AP66" s="580"/>
      <c r="AQ66" s="580"/>
      <c r="AR66" s="580"/>
      <c r="AS66" s="580"/>
    </row>
    <row r="67" spans="1:45">
      <c r="A67" s="580"/>
      <c r="B67" s="580"/>
      <c r="C67" s="580"/>
      <c r="D67" s="580"/>
      <c r="E67" s="580"/>
      <c r="F67" s="580"/>
      <c r="G67" s="580"/>
      <c r="H67" s="580"/>
      <c r="I67" s="580"/>
      <c r="J67" s="580"/>
      <c r="K67" s="580"/>
      <c r="L67" s="580"/>
      <c r="M67" s="580"/>
      <c r="N67" s="580"/>
      <c r="O67" s="580"/>
      <c r="P67" s="580"/>
      <c r="Q67" s="580"/>
      <c r="R67" s="580"/>
      <c r="S67" s="580"/>
      <c r="T67" s="580"/>
      <c r="U67" s="580"/>
      <c r="V67" s="580"/>
      <c r="W67" s="580"/>
      <c r="X67" s="580"/>
      <c r="Y67" s="580"/>
      <c r="Z67" s="580"/>
      <c r="AA67" s="580"/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/>
      <c r="AO67" s="580"/>
      <c r="AP67" s="580"/>
      <c r="AQ67" s="580"/>
      <c r="AR67" s="580"/>
      <c r="AS67" s="580"/>
    </row>
    <row r="68" spans="1:45">
      <c r="A68" s="580"/>
      <c r="B68" s="580"/>
      <c r="C68" s="580"/>
      <c r="D68" s="580"/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0"/>
      <c r="Q68" s="580"/>
      <c r="R68" s="580"/>
      <c r="S68" s="580"/>
      <c r="T68" s="580"/>
      <c r="U68" s="580"/>
      <c r="V68" s="580"/>
      <c r="W68" s="580"/>
      <c r="X68" s="580"/>
      <c r="Y68" s="580"/>
      <c r="Z68" s="580"/>
      <c r="AA68" s="580"/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/>
      <c r="AO68" s="580"/>
      <c r="AP68" s="580"/>
      <c r="AQ68" s="580"/>
      <c r="AR68" s="580"/>
      <c r="AS68" s="580"/>
    </row>
    <row r="69" spans="1:45">
      <c r="A69" s="580"/>
      <c r="B69" s="580"/>
      <c r="C69" s="580"/>
      <c r="D69" s="580"/>
      <c r="E69" s="580"/>
      <c r="F69" s="580"/>
      <c r="G69" s="580"/>
      <c r="H69" s="580"/>
      <c r="I69" s="580"/>
      <c r="J69" s="580"/>
      <c r="K69" s="580"/>
      <c r="L69" s="580"/>
      <c r="M69" s="580"/>
      <c r="N69" s="580"/>
      <c r="O69" s="580"/>
      <c r="P69" s="580"/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/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/>
      <c r="AO69" s="580"/>
      <c r="AP69" s="580"/>
      <c r="AQ69" s="580"/>
      <c r="AR69" s="580"/>
      <c r="AS69" s="580"/>
    </row>
    <row r="70" spans="1:45">
      <c r="A70" s="580"/>
      <c r="B70" s="580"/>
      <c r="C70" s="580"/>
      <c r="D70" s="580"/>
      <c r="E70" s="580"/>
      <c r="F70" s="580"/>
      <c r="G70" s="580"/>
      <c r="H70" s="580"/>
      <c r="I70" s="580"/>
      <c r="J70" s="580"/>
      <c r="K70" s="580"/>
      <c r="L70" s="580"/>
      <c r="M70" s="580"/>
      <c r="N70" s="580"/>
      <c r="O70" s="580"/>
      <c r="P70" s="580"/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/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/>
      <c r="AO70" s="580"/>
      <c r="AP70" s="580"/>
      <c r="AQ70" s="580"/>
      <c r="AR70" s="580"/>
      <c r="AS70" s="580"/>
    </row>
    <row r="71" spans="1:45">
      <c r="A71" s="580"/>
      <c r="B71" s="580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580"/>
      <c r="AQ71" s="580"/>
      <c r="AR71" s="580"/>
      <c r="AS71" s="580"/>
    </row>
    <row r="72" spans="1:45">
      <c r="A72" s="580"/>
      <c r="B72" s="580"/>
      <c r="C72" s="580"/>
      <c r="D72" s="580"/>
      <c r="E72" s="580"/>
      <c r="F72" s="580"/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</row>
    <row r="73" spans="1:45">
      <c r="A73" s="580"/>
      <c r="B73" s="580"/>
      <c r="C73" s="580"/>
      <c r="D73" s="580"/>
      <c r="E73" s="580"/>
      <c r="F73" s="580"/>
      <c r="G73" s="580"/>
      <c r="H73" s="580"/>
      <c r="I73" s="580"/>
      <c r="J73" s="580"/>
      <c r="K73" s="580"/>
      <c r="L73" s="580"/>
      <c r="M73" s="580"/>
      <c r="N73" s="580"/>
      <c r="O73" s="580"/>
      <c r="P73" s="580"/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</row>
    <row r="74" spans="1:45">
      <c r="A74" s="580"/>
      <c r="B74" s="580"/>
      <c r="C74" s="580"/>
      <c r="D74" s="580"/>
      <c r="E74" s="580"/>
      <c r="F74" s="580"/>
      <c r="G74" s="580"/>
      <c r="H74" s="580"/>
      <c r="I74" s="580"/>
      <c r="J74" s="580"/>
      <c r="K74" s="580"/>
      <c r="L74" s="580"/>
      <c r="M74" s="580"/>
      <c r="N74" s="580"/>
      <c r="O74" s="580"/>
      <c r="P74" s="580"/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0"/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</row>
    <row r="75" spans="1:45">
      <c r="A75" s="580"/>
      <c r="B75" s="580"/>
      <c r="C75" s="580"/>
      <c r="D75" s="580"/>
      <c r="E75" s="580"/>
      <c r="F75" s="580"/>
      <c r="G75" s="580"/>
      <c r="H75" s="580"/>
      <c r="I75" s="580"/>
      <c r="J75" s="580"/>
      <c r="K75" s="580"/>
      <c r="L75" s="580"/>
      <c r="M75" s="580"/>
      <c r="N75" s="580"/>
      <c r="O75" s="580"/>
      <c r="P75" s="580"/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/>
      <c r="AB75" s="580"/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</row>
    <row r="76" spans="1:45">
      <c r="A76" s="580"/>
      <c r="B76" s="580"/>
      <c r="C76" s="580"/>
      <c r="D76" s="580"/>
      <c r="E76" s="580"/>
      <c r="F76" s="580"/>
      <c r="G76" s="580"/>
      <c r="H76" s="580"/>
      <c r="I76" s="580"/>
      <c r="J76" s="580"/>
      <c r="K76" s="580"/>
      <c r="L76" s="580"/>
      <c r="M76" s="580"/>
      <c r="N76" s="580"/>
      <c r="O76" s="580"/>
      <c r="P76" s="580"/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/>
      <c r="AB76" s="580"/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</row>
    <row r="77" spans="1:45">
      <c r="A77" s="580"/>
      <c r="B77" s="580"/>
      <c r="C77" s="580"/>
      <c r="D77" s="580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</row>
    <row r="78" spans="1:45">
      <c r="A78" s="580"/>
      <c r="B78" s="580"/>
      <c r="C78" s="580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580"/>
      <c r="O78" s="580"/>
      <c r="P78" s="580"/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</row>
    <row r="79" spans="1:45">
      <c r="A79" s="580"/>
      <c r="B79" s="580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/>
      <c r="AB79" s="580"/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</row>
    <row r="80" spans="1:45">
      <c r="A80" s="580"/>
      <c r="B80" s="580"/>
      <c r="C80" s="580"/>
      <c r="D80" s="580"/>
      <c r="E80" s="580"/>
      <c r="F80" s="580"/>
      <c r="G80" s="580"/>
      <c r="H80" s="580"/>
      <c r="I80" s="580"/>
      <c r="J80" s="580"/>
      <c r="K80" s="580"/>
      <c r="L80" s="580"/>
      <c r="M80" s="580"/>
      <c r="N80" s="580"/>
      <c r="O80" s="580"/>
      <c r="P80" s="580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/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</row>
    <row r="81" spans="1:45">
      <c r="A81" s="580"/>
      <c r="B81" s="580"/>
      <c r="C81" s="580"/>
      <c r="D81" s="580"/>
      <c r="E81" s="580"/>
      <c r="F81" s="580"/>
      <c r="G81" s="580"/>
      <c r="H81" s="580"/>
      <c r="I81" s="580"/>
      <c r="J81" s="580"/>
      <c r="K81" s="580"/>
      <c r="L81" s="580"/>
      <c r="M81" s="580"/>
      <c r="N81" s="580"/>
      <c r="O81" s="580"/>
      <c r="P81" s="580"/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/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</row>
    <row r="82" spans="1:45">
      <c r="A82" s="580"/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  <c r="W82" s="580"/>
      <c r="X82" s="580"/>
      <c r="Y82" s="580"/>
      <c r="Z82" s="580"/>
      <c r="AA82" s="580"/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</row>
    <row r="83" spans="1:45">
      <c r="A83" s="580"/>
      <c r="B83" s="580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580"/>
      <c r="O83" s="580"/>
      <c r="P83" s="580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/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</row>
    <row r="84" spans="1:45">
      <c r="A84" s="580"/>
      <c r="B84" s="580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580"/>
      <c r="O84" s="580"/>
      <c r="P84" s="580"/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/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</row>
    <row r="85" spans="1:45">
      <c r="A85" s="580"/>
      <c r="B85" s="580"/>
      <c r="C85" s="580"/>
      <c r="D85" s="580"/>
      <c r="E85" s="580"/>
      <c r="F85" s="580"/>
      <c r="G85" s="580"/>
      <c r="H85" s="580"/>
      <c r="I85" s="580"/>
      <c r="J85" s="580"/>
      <c r="K85" s="580"/>
      <c r="L85" s="580"/>
      <c r="M85" s="580"/>
      <c r="N85" s="580"/>
      <c r="O85" s="580"/>
      <c r="P85" s="580"/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/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</row>
    <row r="86" spans="1:45">
      <c r="A86" s="580"/>
      <c r="B86" s="580"/>
      <c r="C86" s="580"/>
      <c r="D86" s="580"/>
      <c r="E86" s="580"/>
      <c r="F86" s="580"/>
      <c r="G86" s="580"/>
      <c r="H86" s="580"/>
      <c r="I86" s="580"/>
      <c r="J86" s="580"/>
      <c r="K86" s="580"/>
      <c r="L86" s="580"/>
      <c r="M86" s="580"/>
      <c r="N86" s="580"/>
      <c r="O86" s="580"/>
      <c r="P86" s="580"/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/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</row>
    <row r="87" spans="1:45">
      <c r="A87" s="580"/>
      <c r="B87" s="580"/>
      <c r="C87" s="580"/>
      <c r="D87" s="580"/>
      <c r="E87" s="580"/>
      <c r="F87" s="580"/>
      <c r="G87" s="580"/>
      <c r="H87" s="580"/>
      <c r="I87" s="580"/>
      <c r="J87" s="580"/>
      <c r="K87" s="580"/>
      <c r="L87" s="580"/>
      <c r="M87" s="580"/>
      <c r="N87" s="580"/>
      <c r="O87" s="580"/>
      <c r="P87" s="580"/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/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</row>
    <row r="88" spans="1:45">
      <c r="A88" s="580"/>
      <c r="B88" s="580"/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/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</row>
    <row r="89" spans="1:45">
      <c r="A89" s="580"/>
      <c r="B89" s="580"/>
      <c r="C89" s="580"/>
      <c r="D89" s="580"/>
      <c r="E89" s="580"/>
      <c r="F89" s="580"/>
      <c r="G89" s="580"/>
      <c r="H89" s="580"/>
      <c r="I89" s="580"/>
      <c r="J89" s="580"/>
      <c r="K89" s="580"/>
      <c r="L89" s="580"/>
      <c r="M89" s="580"/>
      <c r="N89" s="580"/>
      <c r="O89" s="580"/>
      <c r="P89" s="580"/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/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580"/>
      <c r="AQ89" s="580"/>
      <c r="AR89" s="580"/>
      <c r="AS89" s="580"/>
    </row>
    <row r="90" spans="1:45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/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580"/>
      <c r="AQ90" s="580"/>
      <c r="AR90" s="580"/>
      <c r="AS90" s="580"/>
    </row>
    <row r="91" spans="1:45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/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580"/>
      <c r="AQ91" s="580"/>
      <c r="AR91" s="580"/>
      <c r="AS91" s="580"/>
    </row>
    <row r="92" spans="1:45">
      <c r="A92" s="580"/>
      <c r="B92" s="580"/>
      <c r="C92" s="580"/>
      <c r="D92" s="580"/>
      <c r="E92" s="580"/>
      <c r="F92" s="580"/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/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580"/>
      <c r="AQ92" s="580"/>
      <c r="AR92" s="580"/>
      <c r="AS92" s="580"/>
    </row>
    <row r="93" spans="1:45">
      <c r="A93" s="580"/>
      <c r="B93" s="580"/>
      <c r="C93" s="580"/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/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580"/>
      <c r="AQ93" s="580"/>
      <c r="AR93" s="580"/>
      <c r="AS93" s="580"/>
    </row>
    <row r="94" spans="1:45">
      <c r="A94" s="580"/>
      <c r="B94" s="580"/>
      <c r="C94" s="580"/>
      <c r="D94" s="580"/>
      <c r="E94" s="580"/>
      <c r="F94" s="580"/>
      <c r="G94" s="580"/>
      <c r="H94" s="580"/>
      <c r="I94" s="580"/>
      <c r="J94" s="580"/>
      <c r="K94" s="580"/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/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580"/>
      <c r="AQ94" s="580"/>
      <c r="AR94" s="580"/>
      <c r="AS94" s="580"/>
    </row>
    <row r="95" spans="1:45">
      <c r="A95" s="580"/>
      <c r="B95" s="580"/>
      <c r="C95" s="580"/>
      <c r="D95" s="580"/>
      <c r="E95" s="580"/>
      <c r="F95" s="580"/>
      <c r="G95" s="580"/>
      <c r="H95" s="580"/>
      <c r="I95" s="580"/>
      <c r="J95" s="580"/>
      <c r="K95" s="580"/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580"/>
      <c r="AQ95" s="580"/>
      <c r="AR95" s="580"/>
      <c r="AS95" s="580"/>
    </row>
    <row r="96" spans="1:45">
      <c r="A96" s="580"/>
      <c r="B96" s="580"/>
      <c r="C96" s="580"/>
      <c r="D96" s="580"/>
      <c r="E96" s="580"/>
      <c r="F96" s="580"/>
      <c r="G96" s="580"/>
      <c r="H96" s="580"/>
      <c r="I96" s="580"/>
      <c r="J96" s="580"/>
      <c r="K96" s="580"/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/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580"/>
      <c r="AQ96" s="580"/>
      <c r="AR96" s="580"/>
      <c r="AS96" s="580"/>
    </row>
    <row r="97" spans="1:45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/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/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580"/>
      <c r="AQ97" s="580"/>
      <c r="AR97" s="580"/>
      <c r="AS97" s="580"/>
    </row>
    <row r="98" spans="1:45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/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580"/>
      <c r="AQ98" s="580"/>
      <c r="AR98" s="580"/>
      <c r="AS98" s="580"/>
    </row>
    <row r="99" spans="1:45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580"/>
      <c r="AQ99" s="580"/>
      <c r="AR99" s="580"/>
      <c r="AS99" s="580"/>
    </row>
    <row r="100" spans="1:45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/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580"/>
      <c r="AQ100" s="580"/>
      <c r="AR100" s="580"/>
      <c r="AS100" s="580"/>
    </row>
    <row r="101" spans="1:45">
      <c r="A101" s="580"/>
      <c r="B101" s="580"/>
      <c r="C101" s="580"/>
      <c r="D101" s="580"/>
      <c r="E101" s="580"/>
      <c r="F101" s="580"/>
      <c r="G101" s="580"/>
      <c r="H101" s="580"/>
      <c r="I101" s="580"/>
      <c r="J101" s="580"/>
      <c r="K101" s="580"/>
      <c r="L101" s="580"/>
      <c r="M101" s="580"/>
      <c r="N101" s="580"/>
      <c r="O101" s="580"/>
      <c r="P101" s="580"/>
      <c r="Q101" s="580"/>
      <c r="R101" s="580"/>
      <c r="S101" s="580"/>
      <c r="T101" s="580"/>
      <c r="U101" s="580"/>
      <c r="V101" s="580"/>
      <c r="W101" s="580"/>
      <c r="X101" s="580"/>
      <c r="Y101" s="580"/>
      <c r="Z101" s="580"/>
      <c r="AA101" s="580"/>
      <c r="AB101" s="580"/>
      <c r="AC101" s="580"/>
      <c r="AD101" s="580"/>
      <c r="AE101" s="580"/>
      <c r="AF101" s="580"/>
      <c r="AG101" s="580"/>
      <c r="AH101" s="580"/>
      <c r="AI101" s="580"/>
      <c r="AJ101" s="580"/>
      <c r="AK101" s="580"/>
      <c r="AL101" s="580"/>
      <c r="AM101" s="580"/>
      <c r="AN101" s="580"/>
      <c r="AO101" s="580"/>
      <c r="AP101" s="580"/>
      <c r="AQ101" s="580"/>
      <c r="AR101" s="580"/>
      <c r="AS101" s="580"/>
    </row>
    <row r="102" spans="1:45">
      <c r="A102" s="580"/>
      <c r="B102" s="580"/>
      <c r="C102" s="580"/>
      <c r="D102" s="580"/>
      <c r="E102" s="580"/>
      <c r="F102" s="580"/>
      <c r="G102" s="580"/>
      <c r="H102" s="580"/>
      <c r="I102" s="580"/>
      <c r="J102" s="580"/>
      <c r="K102" s="580"/>
      <c r="L102" s="580"/>
      <c r="M102" s="580"/>
      <c r="N102" s="580"/>
      <c r="O102" s="580"/>
      <c r="P102" s="580"/>
      <c r="Q102" s="580"/>
      <c r="R102" s="580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0"/>
      <c r="AD102" s="580"/>
      <c r="AE102" s="580"/>
      <c r="AF102" s="580"/>
      <c r="AG102" s="580"/>
      <c r="AH102" s="580"/>
      <c r="AI102" s="580"/>
      <c r="AJ102" s="580"/>
      <c r="AK102" s="580"/>
      <c r="AL102" s="580"/>
      <c r="AM102" s="580"/>
      <c r="AN102" s="580"/>
      <c r="AO102" s="580"/>
      <c r="AP102" s="580"/>
      <c r="AQ102" s="580"/>
      <c r="AR102" s="580"/>
      <c r="AS102" s="580"/>
    </row>
    <row r="103" spans="1:45">
      <c r="A103" s="580"/>
      <c r="B103" s="580"/>
      <c r="C103" s="580"/>
      <c r="D103" s="580"/>
      <c r="E103" s="580"/>
      <c r="F103" s="580"/>
      <c r="G103" s="580"/>
      <c r="H103" s="580"/>
      <c r="I103" s="580"/>
      <c r="J103" s="580"/>
      <c r="K103" s="580"/>
      <c r="L103" s="580"/>
      <c r="M103" s="580"/>
      <c r="N103" s="580"/>
      <c r="O103" s="580"/>
      <c r="P103" s="580"/>
      <c r="Q103" s="580"/>
      <c r="R103" s="580"/>
      <c r="S103" s="580"/>
      <c r="T103" s="580"/>
      <c r="U103" s="580"/>
      <c r="V103" s="580"/>
      <c r="W103" s="580"/>
      <c r="X103" s="580"/>
      <c r="Y103" s="580"/>
      <c r="Z103" s="580"/>
      <c r="AA103" s="580"/>
      <c r="AB103" s="580"/>
      <c r="AC103" s="580"/>
      <c r="AD103" s="580"/>
      <c r="AE103" s="580"/>
      <c r="AF103" s="580"/>
      <c r="AG103" s="580"/>
      <c r="AH103" s="580"/>
      <c r="AI103" s="580"/>
      <c r="AJ103" s="580"/>
      <c r="AK103" s="580"/>
      <c r="AL103" s="580"/>
      <c r="AM103" s="580"/>
      <c r="AN103" s="580"/>
      <c r="AO103" s="580"/>
      <c r="AP103" s="580"/>
      <c r="AQ103" s="580"/>
      <c r="AR103" s="580"/>
      <c r="AS103" s="580"/>
    </row>
    <row r="104" spans="1:45">
      <c r="A104" s="580"/>
      <c r="B104" s="580"/>
      <c r="C104" s="580"/>
      <c r="D104" s="580"/>
      <c r="E104" s="580"/>
      <c r="F104" s="580"/>
      <c r="G104" s="580"/>
      <c r="H104" s="580"/>
      <c r="I104" s="580"/>
      <c r="J104" s="580"/>
      <c r="K104" s="580"/>
      <c r="L104" s="580"/>
      <c r="M104" s="580"/>
      <c r="N104" s="580"/>
      <c r="O104" s="580"/>
      <c r="P104" s="580"/>
      <c r="Q104" s="580"/>
      <c r="R104" s="580"/>
      <c r="S104" s="580"/>
      <c r="T104" s="580"/>
      <c r="U104" s="580"/>
      <c r="V104" s="580"/>
      <c r="W104" s="580"/>
      <c r="X104" s="580"/>
      <c r="Y104" s="580"/>
      <c r="Z104" s="580"/>
      <c r="AA104" s="580"/>
      <c r="AB104" s="580"/>
      <c r="AC104" s="580"/>
      <c r="AD104" s="580"/>
      <c r="AE104" s="580"/>
      <c r="AF104" s="580"/>
      <c r="AG104" s="580"/>
      <c r="AH104" s="580"/>
      <c r="AI104" s="580"/>
      <c r="AJ104" s="580"/>
      <c r="AK104" s="580"/>
      <c r="AL104" s="580"/>
      <c r="AM104" s="580"/>
      <c r="AN104" s="580"/>
      <c r="AO104" s="580"/>
      <c r="AP104" s="580"/>
      <c r="AQ104" s="580"/>
      <c r="AR104" s="580"/>
      <c r="AS104" s="580"/>
    </row>
    <row r="105" spans="1:45">
      <c r="A105" s="580"/>
      <c r="B105" s="580"/>
      <c r="C105" s="580"/>
      <c r="D105" s="580"/>
      <c r="E105" s="580"/>
      <c r="F105" s="580"/>
      <c r="G105" s="580"/>
      <c r="H105" s="580"/>
      <c r="I105" s="580"/>
      <c r="J105" s="580"/>
      <c r="K105" s="580"/>
      <c r="L105" s="580"/>
      <c r="M105" s="580"/>
      <c r="N105" s="580"/>
      <c r="O105" s="580"/>
      <c r="P105" s="580"/>
      <c r="Q105" s="580"/>
      <c r="R105" s="580"/>
      <c r="S105" s="580"/>
      <c r="T105" s="580"/>
      <c r="U105" s="580"/>
      <c r="V105" s="580"/>
      <c r="W105" s="580"/>
      <c r="X105" s="580"/>
      <c r="Y105" s="580"/>
      <c r="Z105" s="580"/>
      <c r="AA105" s="580"/>
      <c r="AB105" s="580"/>
      <c r="AC105" s="580"/>
      <c r="AD105" s="580"/>
      <c r="AE105" s="580"/>
      <c r="AF105" s="580"/>
      <c r="AG105" s="580"/>
      <c r="AH105" s="580"/>
      <c r="AI105" s="580"/>
      <c r="AJ105" s="580"/>
      <c r="AK105" s="580"/>
      <c r="AL105" s="580"/>
      <c r="AM105" s="580"/>
      <c r="AN105" s="580"/>
      <c r="AO105" s="580"/>
      <c r="AP105" s="580"/>
      <c r="AQ105" s="580"/>
      <c r="AR105" s="580"/>
      <c r="AS105" s="580"/>
    </row>
    <row r="106" spans="1:45">
      <c r="A106" s="580"/>
      <c r="B106" s="616"/>
      <c r="C106" s="580"/>
      <c r="D106" s="616"/>
      <c r="E106" s="580"/>
      <c r="F106" s="580"/>
      <c r="G106" s="580"/>
      <c r="H106" s="580"/>
      <c r="I106" s="580"/>
      <c r="J106" s="580"/>
      <c r="K106" s="580"/>
      <c r="L106" s="580"/>
      <c r="M106" s="580"/>
      <c r="N106" s="580"/>
      <c r="O106" s="580"/>
      <c r="P106" s="580"/>
      <c r="Q106" s="580"/>
      <c r="R106" s="580"/>
      <c r="S106" s="580"/>
      <c r="T106" s="580"/>
      <c r="U106" s="580"/>
      <c r="V106" s="580"/>
      <c r="W106" s="580"/>
      <c r="X106" s="580"/>
      <c r="Y106" s="580"/>
      <c r="Z106" s="580"/>
      <c r="AA106" s="580"/>
      <c r="AB106" s="580"/>
      <c r="AC106" s="580"/>
      <c r="AD106" s="580"/>
      <c r="AE106" s="580"/>
      <c r="AF106" s="580"/>
      <c r="AG106" s="580"/>
      <c r="AH106" s="580"/>
      <c r="AI106" s="580"/>
      <c r="AJ106" s="580"/>
      <c r="AK106" s="580"/>
      <c r="AL106" s="580"/>
      <c r="AM106" s="580"/>
      <c r="AN106" s="580"/>
      <c r="AO106" s="580"/>
      <c r="AP106" s="580"/>
      <c r="AQ106" s="580"/>
      <c r="AR106" s="580"/>
      <c r="AS106" s="580"/>
    </row>
    <row r="107" spans="1:45">
      <c r="A107" s="580"/>
      <c r="B107" s="616"/>
      <c r="C107" s="580"/>
      <c r="D107" s="616"/>
      <c r="E107" s="580"/>
      <c r="F107" s="580"/>
      <c r="G107" s="580"/>
      <c r="H107" s="580"/>
      <c r="I107" s="580"/>
      <c r="J107" s="580"/>
      <c r="K107" s="580"/>
      <c r="L107" s="580"/>
      <c r="M107" s="580"/>
      <c r="N107" s="580"/>
      <c r="O107" s="580"/>
      <c r="P107" s="580"/>
      <c r="Q107" s="580"/>
      <c r="R107" s="580"/>
      <c r="S107" s="580"/>
      <c r="T107" s="580"/>
      <c r="U107" s="580"/>
      <c r="V107" s="580"/>
      <c r="W107" s="580"/>
      <c r="X107" s="580"/>
      <c r="Y107" s="580"/>
      <c r="Z107" s="580"/>
      <c r="AA107" s="580"/>
      <c r="AB107" s="580"/>
      <c r="AC107" s="580"/>
      <c r="AD107" s="580"/>
      <c r="AE107" s="580"/>
      <c r="AF107" s="580"/>
      <c r="AG107" s="580"/>
      <c r="AH107" s="580"/>
      <c r="AI107" s="580"/>
      <c r="AJ107" s="580"/>
      <c r="AK107" s="580"/>
      <c r="AL107" s="580"/>
      <c r="AM107" s="580"/>
      <c r="AN107" s="580"/>
      <c r="AO107" s="580"/>
      <c r="AP107" s="580"/>
      <c r="AQ107" s="580"/>
      <c r="AR107" s="580"/>
      <c r="AS107" s="580"/>
    </row>
    <row r="108" spans="1:45">
      <c r="A108" s="580"/>
      <c r="B108" s="616"/>
      <c r="C108" s="580"/>
      <c r="D108" s="616"/>
      <c r="E108" s="580"/>
      <c r="F108" s="580"/>
      <c r="G108" s="580"/>
      <c r="H108" s="580"/>
      <c r="I108" s="580"/>
      <c r="J108" s="580"/>
      <c r="K108" s="580"/>
      <c r="L108" s="580"/>
      <c r="M108" s="580"/>
      <c r="N108" s="580"/>
      <c r="O108" s="580"/>
      <c r="P108" s="580"/>
      <c r="Q108" s="580"/>
      <c r="R108" s="580"/>
      <c r="S108" s="580"/>
      <c r="T108" s="580"/>
      <c r="U108" s="580"/>
      <c r="V108" s="580"/>
      <c r="W108" s="580"/>
      <c r="X108" s="580"/>
      <c r="Y108" s="580"/>
      <c r="Z108" s="580"/>
      <c r="AA108" s="580"/>
      <c r="AB108" s="580"/>
      <c r="AC108" s="580"/>
      <c r="AD108" s="580"/>
      <c r="AE108" s="580"/>
      <c r="AF108" s="580"/>
      <c r="AG108" s="580"/>
      <c r="AH108" s="580"/>
      <c r="AI108" s="580"/>
      <c r="AJ108" s="580"/>
      <c r="AK108" s="580"/>
      <c r="AL108" s="580"/>
      <c r="AM108" s="580"/>
      <c r="AN108" s="580"/>
      <c r="AO108" s="580"/>
      <c r="AP108" s="580"/>
      <c r="AQ108" s="580"/>
      <c r="AR108" s="580"/>
      <c r="AS108" s="580"/>
    </row>
    <row r="109" spans="1:45">
      <c r="A109" s="580"/>
      <c r="B109" s="616"/>
      <c r="C109" s="580"/>
      <c r="D109" s="616"/>
      <c r="E109" s="580"/>
      <c r="F109" s="580"/>
      <c r="G109" s="580"/>
      <c r="H109" s="580"/>
      <c r="I109" s="580"/>
      <c r="J109" s="580"/>
      <c r="K109" s="580"/>
      <c r="L109" s="580"/>
      <c r="M109" s="580"/>
      <c r="N109" s="580"/>
      <c r="O109" s="580"/>
      <c r="P109" s="580"/>
      <c r="Q109" s="580"/>
      <c r="R109" s="580"/>
      <c r="S109" s="580"/>
      <c r="T109" s="580"/>
      <c r="U109" s="580"/>
      <c r="V109" s="580"/>
      <c r="W109" s="580"/>
      <c r="X109" s="580"/>
      <c r="Y109" s="580"/>
      <c r="Z109" s="580"/>
      <c r="AA109" s="580"/>
      <c r="AB109" s="580"/>
      <c r="AC109" s="580"/>
      <c r="AD109" s="580"/>
      <c r="AE109" s="580"/>
      <c r="AF109" s="580"/>
      <c r="AG109" s="580"/>
      <c r="AH109" s="580"/>
      <c r="AI109" s="580"/>
      <c r="AJ109" s="580"/>
      <c r="AK109" s="580"/>
      <c r="AL109" s="580"/>
      <c r="AM109" s="580"/>
      <c r="AN109" s="580"/>
      <c r="AO109" s="580"/>
      <c r="AP109" s="580"/>
      <c r="AQ109" s="580"/>
      <c r="AR109" s="580"/>
      <c r="AS109" s="580"/>
    </row>
    <row r="110" spans="1:45">
      <c r="A110" s="580"/>
      <c r="B110" s="616"/>
      <c r="C110" s="580"/>
      <c r="D110" s="616"/>
      <c r="E110" s="580"/>
      <c r="F110" s="580"/>
      <c r="G110" s="580"/>
      <c r="H110" s="580"/>
      <c r="I110" s="580"/>
      <c r="J110" s="580"/>
      <c r="K110" s="580"/>
      <c r="L110" s="580"/>
      <c r="M110" s="580"/>
      <c r="N110" s="580"/>
      <c r="O110" s="580"/>
      <c r="P110" s="580"/>
      <c r="Q110" s="580"/>
      <c r="R110" s="580"/>
      <c r="S110" s="580"/>
      <c r="T110" s="580"/>
      <c r="U110" s="580"/>
      <c r="V110" s="580"/>
      <c r="W110" s="580"/>
      <c r="X110" s="580"/>
      <c r="Y110" s="580"/>
      <c r="Z110" s="580"/>
      <c r="AA110" s="580"/>
      <c r="AB110" s="580"/>
      <c r="AC110" s="580"/>
      <c r="AD110" s="580"/>
      <c r="AE110" s="580"/>
      <c r="AF110" s="580"/>
      <c r="AG110" s="580"/>
      <c r="AH110" s="580"/>
      <c r="AI110" s="580"/>
      <c r="AJ110" s="580"/>
      <c r="AK110" s="580"/>
      <c r="AL110" s="580"/>
      <c r="AM110" s="580"/>
      <c r="AN110" s="580"/>
      <c r="AO110" s="580"/>
      <c r="AP110" s="580"/>
      <c r="AQ110" s="580"/>
      <c r="AR110" s="580"/>
      <c r="AS110" s="580"/>
    </row>
    <row r="111" spans="1:45">
      <c r="A111" s="580"/>
      <c r="B111" s="616"/>
      <c r="C111" s="580"/>
      <c r="D111" s="616"/>
      <c r="E111" s="580"/>
      <c r="F111" s="580"/>
      <c r="G111" s="580"/>
      <c r="H111" s="580"/>
      <c r="I111" s="580"/>
      <c r="J111" s="580"/>
      <c r="K111" s="580"/>
      <c r="L111" s="580"/>
      <c r="M111" s="580"/>
      <c r="N111" s="580"/>
      <c r="O111" s="580"/>
      <c r="P111" s="580"/>
      <c r="Q111" s="580"/>
      <c r="R111" s="580"/>
      <c r="S111" s="580"/>
      <c r="T111" s="580"/>
      <c r="U111" s="580"/>
      <c r="V111" s="580"/>
      <c r="W111" s="580"/>
      <c r="X111" s="580"/>
      <c r="Y111" s="580"/>
      <c r="Z111" s="580"/>
      <c r="AA111" s="580"/>
      <c r="AB111" s="580"/>
      <c r="AC111" s="580"/>
      <c r="AD111" s="580"/>
      <c r="AE111" s="580"/>
      <c r="AF111" s="580"/>
      <c r="AG111" s="580"/>
      <c r="AH111" s="580"/>
      <c r="AI111" s="580"/>
      <c r="AJ111" s="580"/>
      <c r="AK111" s="580"/>
      <c r="AL111" s="580"/>
      <c r="AM111" s="580"/>
      <c r="AN111" s="580"/>
      <c r="AO111" s="580"/>
      <c r="AP111" s="580"/>
      <c r="AQ111" s="580"/>
      <c r="AR111" s="580"/>
      <c r="AS111" s="580"/>
    </row>
    <row r="112" spans="1:45">
      <c r="A112" s="580"/>
      <c r="B112" s="616"/>
      <c r="C112" s="580"/>
      <c r="D112" s="616"/>
      <c r="E112" s="580"/>
      <c r="F112" s="580"/>
      <c r="G112" s="580"/>
      <c r="H112" s="580"/>
      <c r="I112" s="580"/>
      <c r="J112" s="580"/>
      <c r="K112" s="580"/>
      <c r="L112" s="580"/>
      <c r="M112" s="580"/>
      <c r="N112" s="580"/>
      <c r="O112" s="580"/>
      <c r="P112" s="580"/>
      <c r="Q112" s="580"/>
      <c r="R112" s="580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0"/>
      <c r="AD112" s="580"/>
      <c r="AE112" s="580"/>
      <c r="AF112" s="580"/>
      <c r="AG112" s="580"/>
      <c r="AH112" s="580"/>
      <c r="AI112" s="580"/>
      <c r="AJ112" s="580"/>
      <c r="AK112" s="580"/>
      <c r="AL112" s="580"/>
      <c r="AM112" s="580"/>
      <c r="AN112" s="580"/>
      <c r="AO112" s="580"/>
      <c r="AP112" s="580"/>
      <c r="AQ112" s="580"/>
      <c r="AR112" s="580"/>
      <c r="AS112" s="580"/>
    </row>
    <row r="113" spans="1:45">
      <c r="A113" s="580"/>
      <c r="B113" s="616"/>
      <c r="C113" s="580"/>
      <c r="D113" s="616"/>
      <c r="E113" s="580"/>
      <c r="F113" s="580"/>
      <c r="G113" s="580"/>
      <c r="H113" s="580"/>
      <c r="I113" s="580"/>
      <c r="J113" s="580"/>
      <c r="K113" s="580"/>
      <c r="L113" s="580"/>
      <c r="M113" s="580"/>
      <c r="N113" s="580"/>
      <c r="O113" s="580"/>
      <c r="P113" s="580"/>
      <c r="Q113" s="580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0"/>
      <c r="AD113" s="580"/>
      <c r="AE113" s="580"/>
      <c r="AF113" s="580"/>
      <c r="AG113" s="580"/>
      <c r="AH113" s="580"/>
      <c r="AI113" s="580"/>
      <c r="AJ113" s="580"/>
      <c r="AK113" s="580"/>
      <c r="AL113" s="580"/>
      <c r="AM113" s="580"/>
      <c r="AN113" s="580"/>
      <c r="AO113" s="580"/>
      <c r="AP113" s="580"/>
      <c r="AQ113" s="580"/>
      <c r="AR113" s="580"/>
      <c r="AS113" s="580"/>
    </row>
    <row r="114" spans="1:45">
      <c r="A114" s="580"/>
      <c r="B114" s="616"/>
      <c r="C114" s="580"/>
      <c r="D114" s="616"/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580"/>
      <c r="P114" s="580"/>
      <c r="Q114" s="580"/>
      <c r="R114" s="580"/>
      <c r="S114" s="580"/>
      <c r="T114" s="580"/>
      <c r="U114" s="580"/>
      <c r="V114" s="580"/>
      <c r="W114" s="580"/>
      <c r="X114" s="580"/>
      <c r="Y114" s="580"/>
      <c r="Z114" s="580"/>
      <c r="AA114" s="580"/>
      <c r="AB114" s="580"/>
      <c r="AC114" s="580"/>
      <c r="AD114" s="580"/>
      <c r="AE114" s="580"/>
      <c r="AF114" s="580"/>
      <c r="AG114" s="580"/>
      <c r="AH114" s="580"/>
      <c r="AI114" s="580"/>
      <c r="AJ114" s="580"/>
      <c r="AK114" s="580"/>
      <c r="AL114" s="580"/>
      <c r="AM114" s="580"/>
      <c r="AN114" s="580"/>
      <c r="AO114" s="580"/>
      <c r="AP114" s="580"/>
      <c r="AQ114" s="580"/>
      <c r="AR114" s="580"/>
      <c r="AS114" s="580"/>
    </row>
    <row r="115" spans="1:45">
      <c r="A115" s="580"/>
      <c r="B115" s="616"/>
      <c r="C115" s="580"/>
      <c r="D115" s="616"/>
      <c r="E115" s="580"/>
      <c r="F115" s="580"/>
      <c r="G115" s="580"/>
      <c r="H115" s="580"/>
      <c r="I115" s="580"/>
      <c r="J115" s="580"/>
      <c r="K115" s="580"/>
      <c r="L115" s="580"/>
      <c r="M115" s="580"/>
      <c r="N115" s="580"/>
      <c r="O115" s="580"/>
      <c r="P115" s="580"/>
      <c r="Q115" s="580"/>
      <c r="R115" s="580"/>
      <c r="S115" s="580"/>
      <c r="T115" s="580"/>
      <c r="U115" s="580"/>
      <c r="V115" s="580"/>
      <c r="W115" s="580"/>
      <c r="X115" s="580"/>
      <c r="Y115" s="580"/>
      <c r="Z115" s="580"/>
      <c r="AA115" s="580"/>
      <c r="AB115" s="580"/>
      <c r="AC115" s="580"/>
      <c r="AD115" s="580"/>
      <c r="AE115" s="580"/>
      <c r="AF115" s="580"/>
      <c r="AG115" s="580"/>
      <c r="AH115" s="580"/>
      <c r="AI115" s="580"/>
      <c r="AJ115" s="580"/>
      <c r="AK115" s="580"/>
      <c r="AL115" s="580"/>
      <c r="AM115" s="580"/>
      <c r="AN115" s="580"/>
      <c r="AO115" s="580"/>
      <c r="AP115" s="580"/>
      <c r="AQ115" s="580"/>
      <c r="AR115" s="580"/>
      <c r="AS115" s="580"/>
    </row>
    <row r="116" spans="1:45">
      <c r="A116" s="580"/>
      <c r="B116" s="616"/>
      <c r="C116" s="580"/>
      <c r="D116" s="616"/>
      <c r="E116" s="580"/>
      <c r="F116" s="580"/>
      <c r="G116" s="580"/>
      <c r="H116" s="580"/>
      <c r="I116" s="580"/>
      <c r="J116" s="580"/>
      <c r="K116" s="580"/>
      <c r="L116" s="580"/>
      <c r="M116" s="580"/>
      <c r="N116" s="580"/>
      <c r="O116" s="580"/>
      <c r="P116" s="580"/>
      <c r="Q116" s="580"/>
      <c r="R116" s="580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0"/>
      <c r="AD116" s="580"/>
      <c r="AE116" s="580"/>
      <c r="AF116" s="580"/>
      <c r="AG116" s="580"/>
      <c r="AH116" s="580"/>
      <c r="AI116" s="580"/>
      <c r="AJ116" s="580"/>
      <c r="AK116" s="580"/>
      <c r="AL116" s="580"/>
      <c r="AM116" s="580"/>
      <c r="AN116" s="580"/>
      <c r="AO116" s="580"/>
      <c r="AP116" s="580"/>
      <c r="AQ116" s="580"/>
      <c r="AR116" s="580"/>
      <c r="AS116" s="580"/>
    </row>
    <row r="117" spans="1:45">
      <c r="A117" s="580"/>
      <c r="B117" s="616"/>
      <c r="C117" s="580"/>
      <c r="D117" s="616"/>
      <c r="E117" s="580"/>
      <c r="F117" s="580"/>
      <c r="G117" s="580"/>
      <c r="H117" s="580"/>
      <c r="I117" s="580"/>
      <c r="J117" s="580"/>
      <c r="K117" s="580"/>
      <c r="L117" s="580"/>
      <c r="M117" s="580"/>
      <c r="N117" s="580"/>
      <c r="O117" s="580"/>
      <c r="P117" s="580"/>
      <c r="Q117" s="580"/>
      <c r="R117" s="580"/>
      <c r="S117" s="580"/>
      <c r="T117" s="580"/>
      <c r="U117" s="580"/>
      <c r="V117" s="580"/>
      <c r="W117" s="580"/>
      <c r="X117" s="580"/>
      <c r="Y117" s="580"/>
      <c r="Z117" s="580"/>
      <c r="AA117" s="580"/>
      <c r="AB117" s="580"/>
      <c r="AC117" s="580"/>
      <c r="AD117" s="580"/>
      <c r="AE117" s="580"/>
      <c r="AF117" s="580"/>
      <c r="AG117" s="580"/>
      <c r="AH117" s="580"/>
      <c r="AI117" s="580"/>
      <c r="AJ117" s="580"/>
      <c r="AK117" s="580"/>
      <c r="AL117" s="580"/>
      <c r="AM117" s="580"/>
      <c r="AN117" s="580"/>
      <c r="AO117" s="580"/>
      <c r="AP117" s="580"/>
      <c r="AQ117" s="580"/>
      <c r="AR117" s="580"/>
      <c r="AS117" s="580"/>
    </row>
    <row r="118" spans="1:45">
      <c r="A118" s="580"/>
      <c r="B118" s="616"/>
      <c r="C118" s="580"/>
      <c r="D118" s="616"/>
      <c r="E118" s="580"/>
      <c r="F118" s="580"/>
      <c r="G118" s="580"/>
      <c r="H118" s="580"/>
      <c r="I118" s="580"/>
      <c r="J118" s="580"/>
      <c r="K118" s="580"/>
      <c r="L118" s="580"/>
      <c r="M118" s="580"/>
      <c r="N118" s="580"/>
      <c r="O118" s="580"/>
      <c r="P118" s="580"/>
      <c r="Q118" s="580"/>
      <c r="R118" s="580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0"/>
      <c r="AD118" s="580"/>
      <c r="AE118" s="580"/>
      <c r="AF118" s="580"/>
      <c r="AG118" s="580"/>
      <c r="AH118" s="580"/>
      <c r="AI118" s="580"/>
      <c r="AJ118" s="580"/>
      <c r="AK118" s="580"/>
      <c r="AL118" s="580"/>
      <c r="AM118" s="580"/>
      <c r="AN118" s="580"/>
      <c r="AO118" s="580"/>
      <c r="AP118" s="580"/>
      <c r="AQ118" s="580"/>
      <c r="AR118" s="580"/>
      <c r="AS118" s="580"/>
    </row>
    <row r="119" spans="1:45">
      <c r="A119" s="580"/>
      <c r="B119" s="616"/>
      <c r="C119" s="580"/>
      <c r="D119" s="616"/>
      <c r="E119" s="580"/>
      <c r="F119" s="580"/>
      <c r="G119" s="580"/>
      <c r="H119" s="580"/>
      <c r="I119" s="580"/>
      <c r="J119" s="580"/>
      <c r="K119" s="580"/>
      <c r="L119" s="580"/>
      <c r="M119" s="580"/>
      <c r="N119" s="580"/>
      <c r="O119" s="580"/>
      <c r="P119" s="580"/>
      <c r="Q119" s="580"/>
      <c r="R119" s="580"/>
      <c r="S119" s="580"/>
      <c r="T119" s="580"/>
      <c r="U119" s="580"/>
      <c r="V119" s="580"/>
      <c r="W119" s="580"/>
      <c r="X119" s="580"/>
      <c r="Y119" s="580"/>
      <c r="Z119" s="580"/>
      <c r="AA119" s="580"/>
      <c r="AB119" s="580"/>
      <c r="AC119" s="580"/>
      <c r="AD119" s="580"/>
      <c r="AE119" s="580"/>
      <c r="AF119" s="580"/>
      <c r="AG119" s="580"/>
      <c r="AH119" s="580"/>
      <c r="AI119" s="580"/>
      <c r="AJ119" s="580"/>
      <c r="AK119" s="580"/>
      <c r="AL119" s="580"/>
      <c r="AM119" s="580"/>
      <c r="AN119" s="580"/>
      <c r="AO119" s="580"/>
      <c r="AP119" s="580"/>
      <c r="AQ119" s="580"/>
      <c r="AR119" s="580"/>
      <c r="AS119" s="580"/>
    </row>
    <row r="120" spans="1:45">
      <c r="A120" s="580"/>
      <c r="B120" s="616"/>
      <c r="C120" s="580"/>
      <c r="D120" s="616"/>
      <c r="E120" s="580"/>
      <c r="F120" s="580"/>
      <c r="G120" s="580"/>
      <c r="H120" s="580"/>
      <c r="I120" s="580"/>
      <c r="J120" s="580"/>
      <c r="K120" s="580"/>
      <c r="L120" s="580"/>
      <c r="M120" s="580"/>
      <c r="N120" s="580"/>
      <c r="O120" s="580"/>
      <c r="P120" s="580"/>
      <c r="Q120" s="580"/>
      <c r="R120" s="580"/>
      <c r="S120" s="580"/>
      <c r="T120" s="580"/>
      <c r="U120" s="580"/>
      <c r="V120" s="580"/>
      <c r="W120" s="580"/>
      <c r="X120" s="580"/>
      <c r="Y120" s="580"/>
      <c r="Z120" s="580"/>
      <c r="AA120" s="580"/>
      <c r="AB120" s="580"/>
      <c r="AC120" s="580"/>
      <c r="AD120" s="580"/>
      <c r="AE120" s="580"/>
      <c r="AF120" s="580"/>
      <c r="AG120" s="580"/>
      <c r="AH120" s="580"/>
      <c r="AI120" s="580"/>
      <c r="AJ120" s="580"/>
      <c r="AK120" s="580"/>
      <c r="AL120" s="580"/>
      <c r="AM120" s="580"/>
      <c r="AN120" s="580"/>
      <c r="AO120" s="580"/>
      <c r="AP120" s="580"/>
      <c r="AQ120" s="580"/>
      <c r="AR120" s="580"/>
      <c r="AS120" s="580"/>
    </row>
    <row r="121" spans="1:45">
      <c r="A121" s="580"/>
      <c r="B121" s="616"/>
      <c r="C121" s="580"/>
      <c r="D121" s="616"/>
      <c r="E121" s="580"/>
      <c r="F121" s="580"/>
      <c r="G121" s="580"/>
      <c r="H121" s="580"/>
      <c r="I121" s="580"/>
      <c r="J121" s="580"/>
      <c r="K121" s="580"/>
      <c r="L121" s="580"/>
      <c r="M121" s="580"/>
      <c r="N121" s="580"/>
      <c r="O121" s="580"/>
      <c r="P121" s="580"/>
      <c r="Q121" s="580"/>
      <c r="R121" s="580"/>
      <c r="S121" s="580"/>
      <c r="T121" s="580"/>
      <c r="U121" s="580"/>
      <c r="V121" s="580"/>
      <c r="W121" s="580"/>
      <c r="X121" s="580"/>
      <c r="Y121" s="580"/>
      <c r="Z121" s="580"/>
      <c r="AA121" s="580"/>
      <c r="AB121" s="580"/>
      <c r="AC121" s="580"/>
      <c r="AD121" s="580"/>
      <c r="AE121" s="580"/>
      <c r="AF121" s="580"/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</row>
    <row r="122" spans="1:45">
      <c r="A122" s="580"/>
      <c r="B122" s="616"/>
      <c r="C122" s="580"/>
      <c r="D122" s="616"/>
      <c r="E122" s="580"/>
      <c r="F122" s="580"/>
      <c r="G122" s="580"/>
      <c r="H122" s="580"/>
      <c r="I122" s="580"/>
      <c r="J122" s="580"/>
      <c r="K122" s="580"/>
      <c r="L122" s="580"/>
      <c r="M122" s="580"/>
      <c r="N122" s="580"/>
      <c r="O122" s="580"/>
      <c r="P122" s="580"/>
      <c r="Q122" s="580"/>
      <c r="R122" s="580"/>
      <c r="S122" s="580"/>
      <c r="T122" s="580"/>
      <c r="U122" s="580"/>
      <c r="V122" s="580"/>
      <c r="W122" s="580"/>
      <c r="X122" s="580"/>
      <c r="Y122" s="580"/>
      <c r="Z122" s="580"/>
      <c r="AA122" s="580"/>
      <c r="AB122" s="580"/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</row>
    <row r="123" spans="1:45">
      <c r="A123" s="580"/>
      <c r="B123" s="616"/>
      <c r="C123" s="580"/>
      <c r="D123" s="616"/>
      <c r="E123" s="580"/>
      <c r="F123" s="580"/>
      <c r="G123" s="580"/>
      <c r="H123" s="580"/>
      <c r="I123" s="580"/>
      <c r="J123" s="580"/>
      <c r="K123" s="580"/>
      <c r="L123" s="580"/>
      <c r="M123" s="580"/>
      <c r="N123" s="580"/>
      <c r="O123" s="580"/>
      <c r="P123" s="580"/>
      <c r="Q123" s="580"/>
      <c r="R123" s="580"/>
      <c r="S123" s="580"/>
      <c r="T123" s="580"/>
      <c r="U123" s="580"/>
      <c r="V123" s="580"/>
      <c r="W123" s="580"/>
      <c r="X123" s="580"/>
      <c r="Y123" s="580"/>
      <c r="Z123" s="580"/>
      <c r="AA123" s="580"/>
      <c r="AB123" s="580"/>
      <c r="AC123" s="580"/>
      <c r="AD123" s="580"/>
      <c r="AE123" s="580"/>
      <c r="AF123" s="580"/>
      <c r="AG123" s="580"/>
      <c r="AH123" s="580"/>
      <c r="AI123" s="580"/>
      <c r="AJ123" s="580"/>
      <c r="AK123" s="580"/>
      <c r="AL123" s="580"/>
      <c r="AM123" s="580"/>
      <c r="AN123" s="580"/>
      <c r="AO123" s="580"/>
      <c r="AP123" s="580"/>
      <c r="AQ123" s="580"/>
      <c r="AR123" s="580"/>
      <c r="AS123" s="580"/>
    </row>
    <row r="124" spans="1:45">
      <c r="A124" s="580"/>
      <c r="B124" s="616"/>
      <c r="C124" s="580"/>
      <c r="D124" s="616"/>
      <c r="E124" s="580"/>
      <c r="F124" s="580"/>
      <c r="G124" s="580"/>
      <c r="H124" s="580"/>
      <c r="I124" s="580"/>
      <c r="J124" s="580"/>
      <c r="K124" s="580"/>
      <c r="L124" s="580"/>
      <c r="M124" s="580"/>
      <c r="N124" s="580"/>
      <c r="O124" s="580"/>
      <c r="P124" s="580"/>
      <c r="Q124" s="580"/>
      <c r="R124" s="580"/>
      <c r="S124" s="580"/>
      <c r="T124" s="580"/>
      <c r="U124" s="580"/>
      <c r="V124" s="580"/>
      <c r="W124" s="580"/>
      <c r="X124" s="580"/>
      <c r="Y124" s="580"/>
      <c r="Z124" s="580"/>
      <c r="AA124" s="580"/>
      <c r="AB124" s="580"/>
      <c r="AC124" s="580"/>
      <c r="AD124" s="580"/>
      <c r="AE124" s="580"/>
      <c r="AF124" s="580"/>
      <c r="AG124" s="580"/>
      <c r="AH124" s="580"/>
      <c r="AI124" s="580"/>
      <c r="AJ124" s="580"/>
      <c r="AK124" s="580"/>
      <c r="AL124" s="580"/>
      <c r="AM124" s="580"/>
      <c r="AN124" s="580"/>
      <c r="AO124" s="580"/>
      <c r="AP124" s="580"/>
      <c r="AQ124" s="580"/>
      <c r="AR124" s="580"/>
      <c r="AS124" s="580"/>
    </row>
    <row r="125" spans="1:45">
      <c r="A125" s="580"/>
      <c r="B125" s="616"/>
      <c r="C125" s="580"/>
      <c r="D125" s="616"/>
      <c r="E125" s="580"/>
      <c r="F125" s="580"/>
      <c r="G125" s="580"/>
      <c r="H125" s="580"/>
      <c r="I125" s="580"/>
      <c r="J125" s="580"/>
      <c r="K125" s="580"/>
      <c r="L125" s="580"/>
      <c r="M125" s="580"/>
      <c r="N125" s="580"/>
      <c r="O125" s="580"/>
      <c r="P125" s="580"/>
      <c r="Q125" s="580"/>
      <c r="R125" s="580"/>
      <c r="S125" s="580"/>
      <c r="T125" s="580"/>
      <c r="U125" s="580"/>
      <c r="V125" s="580"/>
      <c r="W125" s="580"/>
      <c r="X125" s="580"/>
      <c r="Y125" s="580"/>
      <c r="Z125" s="580"/>
      <c r="AA125" s="580"/>
      <c r="AB125" s="580"/>
      <c r="AC125" s="580"/>
      <c r="AD125" s="580"/>
      <c r="AE125" s="580"/>
      <c r="AF125" s="580"/>
      <c r="AG125" s="580"/>
      <c r="AH125" s="580"/>
      <c r="AI125" s="580"/>
      <c r="AJ125" s="580"/>
      <c r="AK125" s="580"/>
      <c r="AL125" s="580"/>
      <c r="AM125" s="580"/>
      <c r="AN125" s="580"/>
      <c r="AO125" s="580"/>
      <c r="AP125" s="580"/>
      <c r="AQ125" s="580"/>
      <c r="AR125" s="580"/>
      <c r="AS125" s="580"/>
    </row>
    <row r="126" spans="1:45">
      <c r="A126" s="580"/>
      <c r="B126" s="616"/>
      <c r="C126" s="580"/>
      <c r="D126" s="616"/>
      <c r="E126" s="580"/>
      <c r="F126" s="580"/>
      <c r="G126" s="580"/>
      <c r="H126" s="580"/>
      <c r="I126" s="580"/>
      <c r="J126" s="580"/>
      <c r="K126" s="580"/>
      <c r="L126" s="580"/>
      <c r="M126" s="580"/>
      <c r="N126" s="580"/>
      <c r="O126" s="580"/>
      <c r="P126" s="580"/>
      <c r="Q126" s="580"/>
      <c r="R126" s="580"/>
      <c r="S126" s="580"/>
      <c r="T126" s="580"/>
      <c r="U126" s="580"/>
      <c r="V126" s="580"/>
      <c r="W126" s="580"/>
      <c r="X126" s="580"/>
      <c r="Y126" s="580"/>
      <c r="Z126" s="580"/>
      <c r="AA126" s="580"/>
      <c r="AB126" s="580"/>
      <c r="AC126" s="580"/>
      <c r="AD126" s="580"/>
      <c r="AE126" s="580"/>
      <c r="AF126" s="580"/>
      <c r="AG126" s="580"/>
      <c r="AH126" s="580"/>
      <c r="AI126" s="580"/>
      <c r="AJ126" s="580"/>
      <c r="AK126" s="580"/>
      <c r="AL126" s="580"/>
      <c r="AM126" s="580"/>
      <c r="AN126" s="580"/>
      <c r="AO126" s="580"/>
      <c r="AP126" s="580"/>
      <c r="AQ126" s="580"/>
      <c r="AR126" s="580"/>
      <c r="AS126" s="580"/>
    </row>
    <row r="127" spans="1:45">
      <c r="A127" s="580"/>
      <c r="B127" s="616"/>
      <c r="C127" s="580"/>
      <c r="D127" s="616"/>
      <c r="E127" s="580"/>
      <c r="F127" s="580"/>
      <c r="G127" s="580"/>
      <c r="H127" s="580"/>
      <c r="I127" s="580"/>
      <c r="J127" s="580"/>
      <c r="K127" s="580"/>
      <c r="L127" s="580"/>
      <c r="M127" s="580"/>
      <c r="N127" s="580"/>
      <c r="O127" s="580"/>
      <c r="P127" s="580"/>
      <c r="Q127" s="580"/>
      <c r="R127" s="580"/>
      <c r="S127" s="580"/>
      <c r="T127" s="580"/>
      <c r="U127" s="580"/>
      <c r="V127" s="580"/>
      <c r="W127" s="580"/>
      <c r="X127" s="580"/>
      <c r="Y127" s="580"/>
      <c r="Z127" s="580"/>
      <c r="AA127" s="580"/>
      <c r="AB127" s="580"/>
      <c r="AC127" s="580"/>
      <c r="AD127" s="580"/>
      <c r="AE127" s="580"/>
      <c r="AF127" s="580"/>
      <c r="AG127" s="580"/>
      <c r="AH127" s="580"/>
      <c r="AI127" s="580"/>
      <c r="AJ127" s="580"/>
      <c r="AK127" s="580"/>
      <c r="AL127" s="580"/>
      <c r="AM127" s="580"/>
      <c r="AN127" s="580"/>
      <c r="AO127" s="580"/>
      <c r="AP127" s="580"/>
      <c r="AQ127" s="580"/>
      <c r="AR127" s="580"/>
      <c r="AS127" s="580"/>
    </row>
    <row r="128" spans="1:45">
      <c r="A128" s="580"/>
      <c r="B128" s="616"/>
      <c r="C128" s="580"/>
      <c r="D128" s="616"/>
      <c r="E128" s="580"/>
      <c r="F128" s="580"/>
      <c r="G128" s="580"/>
      <c r="H128" s="580"/>
      <c r="I128" s="580"/>
      <c r="J128" s="580"/>
      <c r="K128" s="580"/>
      <c r="L128" s="580"/>
      <c r="M128" s="580"/>
      <c r="N128" s="580"/>
      <c r="O128" s="580"/>
      <c r="P128" s="580"/>
      <c r="Q128" s="580"/>
      <c r="R128" s="580"/>
      <c r="S128" s="580"/>
      <c r="T128" s="580"/>
      <c r="U128" s="580"/>
      <c r="V128" s="580"/>
      <c r="W128" s="580"/>
      <c r="X128" s="580"/>
      <c r="Y128" s="580"/>
      <c r="Z128" s="580"/>
      <c r="AA128" s="580"/>
      <c r="AB128" s="580"/>
      <c r="AC128" s="580"/>
      <c r="AD128" s="580"/>
      <c r="AE128" s="580"/>
      <c r="AF128" s="580"/>
      <c r="AG128" s="580"/>
      <c r="AH128" s="580"/>
      <c r="AI128" s="580"/>
      <c r="AJ128" s="580"/>
      <c r="AK128" s="580"/>
      <c r="AL128" s="580"/>
      <c r="AM128" s="580"/>
      <c r="AN128" s="580"/>
      <c r="AO128" s="580"/>
      <c r="AP128" s="580"/>
      <c r="AQ128" s="580"/>
      <c r="AR128" s="580"/>
      <c r="AS128" s="580"/>
    </row>
    <row r="129" spans="1:45">
      <c r="A129" s="580"/>
      <c r="B129" s="616"/>
      <c r="C129" s="580"/>
      <c r="D129" s="616"/>
      <c r="E129" s="580"/>
      <c r="F129" s="580"/>
      <c r="G129" s="580"/>
      <c r="H129" s="580"/>
      <c r="I129" s="580"/>
      <c r="J129" s="580"/>
      <c r="K129" s="580"/>
      <c r="L129" s="580"/>
      <c r="M129" s="580"/>
      <c r="N129" s="580"/>
      <c r="O129" s="580"/>
      <c r="P129" s="580"/>
      <c r="Q129" s="580"/>
      <c r="R129" s="580"/>
      <c r="S129" s="580"/>
      <c r="T129" s="580"/>
      <c r="U129" s="580"/>
      <c r="V129" s="580"/>
      <c r="W129" s="580"/>
      <c r="X129" s="580"/>
      <c r="Y129" s="580"/>
      <c r="Z129" s="580"/>
      <c r="AA129" s="580"/>
      <c r="AB129" s="580"/>
      <c r="AC129" s="580"/>
      <c r="AD129" s="580"/>
      <c r="AE129" s="580"/>
      <c r="AF129" s="580"/>
      <c r="AG129" s="580"/>
      <c r="AH129" s="580"/>
      <c r="AI129" s="580"/>
      <c r="AJ129" s="580"/>
      <c r="AK129" s="580"/>
      <c r="AL129" s="580"/>
      <c r="AM129" s="580"/>
      <c r="AN129" s="580"/>
      <c r="AO129" s="580"/>
      <c r="AP129" s="580"/>
      <c r="AQ129" s="580"/>
      <c r="AR129" s="580"/>
      <c r="AS129" s="580"/>
    </row>
    <row r="130" spans="1:45">
      <c r="A130" s="580"/>
      <c r="B130" s="616"/>
      <c r="C130" s="580"/>
      <c r="D130" s="616"/>
      <c r="E130" s="580"/>
      <c r="F130" s="580"/>
      <c r="G130" s="580"/>
      <c r="H130" s="580"/>
      <c r="I130" s="580"/>
      <c r="J130" s="580"/>
      <c r="K130" s="580"/>
      <c r="L130" s="580"/>
      <c r="M130" s="580"/>
      <c r="N130" s="580"/>
      <c r="O130" s="580"/>
      <c r="P130" s="580"/>
      <c r="Q130" s="580"/>
      <c r="R130" s="580"/>
      <c r="S130" s="580"/>
      <c r="T130" s="580"/>
      <c r="U130" s="580"/>
      <c r="V130" s="580"/>
      <c r="W130" s="580"/>
      <c r="X130" s="580"/>
      <c r="Y130" s="580"/>
      <c r="Z130" s="580"/>
      <c r="AA130" s="580"/>
      <c r="AB130" s="580"/>
      <c r="AC130" s="580"/>
      <c r="AD130" s="580"/>
      <c r="AE130" s="580"/>
      <c r="AF130" s="580"/>
      <c r="AG130" s="580"/>
      <c r="AH130" s="580"/>
      <c r="AI130" s="580"/>
      <c r="AJ130" s="580"/>
      <c r="AK130" s="580"/>
      <c r="AL130" s="580"/>
      <c r="AM130" s="580"/>
      <c r="AN130" s="580"/>
      <c r="AO130" s="580"/>
      <c r="AP130" s="580"/>
      <c r="AQ130" s="580"/>
      <c r="AR130" s="580"/>
      <c r="AS130" s="580"/>
    </row>
    <row r="131" spans="1:45">
      <c r="A131" s="580"/>
      <c r="B131" s="616"/>
      <c r="C131" s="580"/>
      <c r="D131" s="616"/>
      <c r="E131" s="580"/>
      <c r="F131" s="580"/>
      <c r="G131" s="580"/>
      <c r="H131" s="580"/>
      <c r="I131" s="580"/>
      <c r="J131" s="580"/>
      <c r="K131" s="580"/>
      <c r="L131" s="580"/>
      <c r="M131" s="580"/>
      <c r="N131" s="580"/>
      <c r="O131" s="580"/>
      <c r="P131" s="580"/>
      <c r="Q131" s="580"/>
      <c r="R131" s="580"/>
      <c r="S131" s="580"/>
      <c r="T131" s="580"/>
      <c r="U131" s="580"/>
      <c r="V131" s="580"/>
      <c r="W131" s="580"/>
      <c r="X131" s="580"/>
      <c r="Y131" s="580"/>
      <c r="Z131" s="580"/>
      <c r="AA131" s="580"/>
      <c r="AB131" s="580"/>
      <c r="AC131" s="580"/>
      <c r="AD131" s="580"/>
      <c r="AE131" s="580"/>
      <c r="AF131" s="580"/>
      <c r="AG131" s="580"/>
      <c r="AH131" s="580"/>
      <c r="AI131" s="580"/>
      <c r="AJ131" s="580"/>
      <c r="AK131" s="580"/>
      <c r="AL131" s="580"/>
      <c r="AM131" s="580"/>
      <c r="AN131" s="580"/>
      <c r="AO131" s="580"/>
      <c r="AP131" s="580"/>
      <c r="AQ131" s="580"/>
      <c r="AR131" s="580"/>
      <c r="AS131" s="580"/>
    </row>
    <row r="132" spans="1:45">
      <c r="A132" s="580"/>
      <c r="B132" s="616"/>
      <c r="C132" s="580"/>
      <c r="D132" s="616"/>
      <c r="E132" s="580"/>
      <c r="F132" s="580"/>
      <c r="G132" s="580"/>
      <c r="H132" s="580"/>
      <c r="I132" s="580"/>
      <c r="J132" s="580"/>
      <c r="K132" s="580"/>
      <c r="L132" s="580"/>
      <c r="M132" s="580"/>
      <c r="N132" s="580"/>
      <c r="O132" s="580"/>
      <c r="P132" s="580"/>
      <c r="Q132" s="580"/>
      <c r="R132" s="580"/>
      <c r="S132" s="580"/>
      <c r="T132" s="580"/>
      <c r="U132" s="580"/>
      <c r="V132" s="580"/>
      <c r="W132" s="580"/>
      <c r="X132" s="580"/>
      <c r="Y132" s="580"/>
      <c r="Z132" s="580"/>
      <c r="AA132" s="580"/>
      <c r="AB132" s="580"/>
      <c r="AC132" s="580"/>
      <c r="AD132" s="580"/>
      <c r="AE132" s="580"/>
      <c r="AF132" s="580"/>
      <c r="AG132" s="580"/>
      <c r="AH132" s="580"/>
      <c r="AI132" s="580"/>
      <c r="AJ132" s="580"/>
      <c r="AK132" s="580"/>
      <c r="AL132" s="580"/>
      <c r="AM132" s="580"/>
      <c r="AN132" s="580"/>
      <c r="AO132" s="580"/>
      <c r="AP132" s="580"/>
      <c r="AQ132" s="580"/>
      <c r="AR132" s="580"/>
      <c r="AS132" s="580"/>
    </row>
    <row r="133" spans="1:45">
      <c r="A133" s="580"/>
      <c r="B133" s="616"/>
      <c r="C133" s="580"/>
      <c r="D133" s="616"/>
      <c r="E133" s="580"/>
      <c r="F133" s="580"/>
      <c r="G133" s="580"/>
      <c r="H133" s="580"/>
      <c r="I133" s="580"/>
      <c r="J133" s="580"/>
      <c r="K133" s="580"/>
      <c r="L133" s="580"/>
      <c r="M133" s="580"/>
      <c r="N133" s="580"/>
      <c r="O133" s="580"/>
      <c r="P133" s="580"/>
      <c r="Q133" s="580"/>
      <c r="R133" s="580"/>
      <c r="S133" s="580"/>
      <c r="T133" s="580"/>
      <c r="U133" s="580"/>
      <c r="V133" s="580"/>
      <c r="W133" s="580"/>
      <c r="X133" s="580"/>
      <c r="Y133" s="580"/>
      <c r="Z133" s="580"/>
      <c r="AA133" s="580"/>
      <c r="AB133" s="580"/>
      <c r="AC133" s="580"/>
      <c r="AD133" s="580"/>
      <c r="AE133" s="580"/>
      <c r="AF133" s="580"/>
      <c r="AG133" s="580"/>
      <c r="AH133" s="580"/>
      <c r="AI133" s="580"/>
      <c r="AJ133" s="580"/>
      <c r="AK133" s="580"/>
      <c r="AL133" s="580"/>
      <c r="AM133" s="580"/>
      <c r="AN133" s="580"/>
      <c r="AO133" s="580"/>
      <c r="AP133" s="580"/>
      <c r="AQ133" s="580"/>
      <c r="AR133" s="580"/>
      <c r="AS133" s="580"/>
    </row>
    <row r="134" spans="1:45">
      <c r="A134" s="580"/>
      <c r="B134" s="616"/>
      <c r="C134" s="580"/>
      <c r="D134" s="616"/>
      <c r="E134" s="580"/>
      <c r="F134" s="580"/>
      <c r="G134" s="580"/>
      <c r="H134" s="580"/>
      <c r="I134" s="580"/>
      <c r="J134" s="580"/>
      <c r="K134" s="580"/>
      <c r="L134" s="580"/>
      <c r="M134" s="580"/>
      <c r="N134" s="580"/>
      <c r="O134" s="580"/>
      <c r="P134" s="580"/>
      <c r="Q134" s="580"/>
      <c r="R134" s="580"/>
      <c r="S134" s="580"/>
      <c r="T134" s="580"/>
      <c r="U134" s="580"/>
      <c r="V134" s="580"/>
      <c r="W134" s="580"/>
      <c r="X134" s="580"/>
      <c r="Y134" s="580"/>
      <c r="Z134" s="580"/>
      <c r="AA134" s="580"/>
      <c r="AB134" s="580"/>
      <c r="AC134" s="580"/>
      <c r="AD134" s="580"/>
      <c r="AE134" s="580"/>
      <c r="AF134" s="580"/>
      <c r="AG134" s="580"/>
      <c r="AH134" s="580"/>
      <c r="AI134" s="580"/>
      <c r="AJ134" s="580"/>
      <c r="AK134" s="580"/>
      <c r="AL134" s="580"/>
      <c r="AM134" s="580"/>
      <c r="AN134" s="580"/>
      <c r="AO134" s="580"/>
      <c r="AP134" s="580"/>
      <c r="AQ134" s="580"/>
      <c r="AR134" s="580"/>
      <c r="AS134" s="580"/>
    </row>
    <row r="135" spans="1:45">
      <c r="A135" s="580"/>
      <c r="B135" s="616"/>
      <c r="C135" s="580"/>
      <c r="D135" s="616"/>
      <c r="E135" s="580"/>
      <c r="F135" s="580"/>
      <c r="G135" s="580"/>
      <c r="H135" s="580"/>
      <c r="I135" s="580"/>
      <c r="J135" s="580"/>
      <c r="K135" s="580"/>
      <c r="L135" s="580"/>
      <c r="M135" s="580"/>
      <c r="N135" s="580"/>
      <c r="O135" s="580"/>
      <c r="P135" s="580"/>
      <c r="Q135" s="580"/>
      <c r="R135" s="580"/>
      <c r="S135" s="580"/>
      <c r="T135" s="580"/>
      <c r="U135" s="580"/>
      <c r="V135" s="580"/>
      <c r="W135" s="580"/>
      <c r="X135" s="580"/>
      <c r="Y135" s="580"/>
      <c r="Z135" s="580"/>
      <c r="AA135" s="580"/>
      <c r="AB135" s="580"/>
      <c r="AC135" s="580"/>
      <c r="AD135" s="580"/>
      <c r="AE135" s="580"/>
      <c r="AF135" s="580"/>
      <c r="AG135" s="580"/>
      <c r="AH135" s="580"/>
      <c r="AI135" s="580"/>
      <c r="AJ135" s="580"/>
      <c r="AK135" s="580"/>
      <c r="AL135" s="580"/>
      <c r="AM135" s="580"/>
      <c r="AN135" s="580"/>
      <c r="AO135" s="580"/>
      <c r="AP135" s="580"/>
      <c r="AQ135" s="580"/>
      <c r="AR135" s="580"/>
      <c r="AS135" s="580"/>
    </row>
    <row r="136" spans="1:45">
      <c r="A136" s="580"/>
      <c r="B136" s="616"/>
      <c r="C136" s="580"/>
      <c r="D136" s="616"/>
      <c r="E136" s="580"/>
      <c r="F136" s="580"/>
      <c r="G136" s="580"/>
      <c r="H136" s="580"/>
      <c r="I136" s="580"/>
      <c r="J136" s="580"/>
      <c r="K136" s="580"/>
      <c r="L136" s="580"/>
      <c r="M136" s="580"/>
      <c r="N136" s="580"/>
      <c r="O136" s="580"/>
      <c r="P136" s="580"/>
      <c r="Q136" s="580"/>
      <c r="R136" s="580"/>
      <c r="S136" s="580"/>
      <c r="T136" s="580"/>
      <c r="U136" s="580"/>
      <c r="V136" s="580"/>
      <c r="W136" s="580"/>
      <c r="X136" s="580"/>
      <c r="Y136" s="580"/>
      <c r="Z136" s="580"/>
      <c r="AA136" s="580"/>
      <c r="AB136" s="580"/>
      <c r="AC136" s="580"/>
      <c r="AD136" s="580"/>
      <c r="AE136" s="580"/>
      <c r="AF136" s="580"/>
      <c r="AG136" s="580"/>
      <c r="AH136" s="580"/>
      <c r="AI136" s="580"/>
      <c r="AJ136" s="580"/>
      <c r="AK136" s="580"/>
      <c r="AL136" s="580"/>
      <c r="AM136" s="580"/>
      <c r="AN136" s="580"/>
      <c r="AO136" s="580"/>
      <c r="AP136" s="580"/>
      <c r="AQ136" s="580"/>
      <c r="AR136" s="580"/>
      <c r="AS136" s="580"/>
    </row>
    <row r="137" spans="1:45">
      <c r="A137" s="580"/>
      <c r="B137" s="616"/>
      <c r="C137" s="580"/>
      <c r="D137" s="616"/>
      <c r="E137" s="580"/>
      <c r="F137" s="580"/>
      <c r="G137" s="580"/>
      <c r="H137" s="580"/>
      <c r="I137" s="580"/>
      <c r="J137" s="580"/>
      <c r="K137" s="580"/>
      <c r="L137" s="580"/>
      <c r="M137" s="580"/>
      <c r="N137" s="580"/>
      <c r="O137" s="580"/>
      <c r="P137" s="580"/>
      <c r="Q137" s="580"/>
      <c r="R137" s="580"/>
      <c r="S137" s="580"/>
      <c r="T137" s="580"/>
      <c r="U137" s="580"/>
      <c r="V137" s="580"/>
      <c r="W137" s="580"/>
      <c r="X137" s="580"/>
      <c r="Y137" s="580"/>
      <c r="Z137" s="580"/>
      <c r="AA137" s="580"/>
      <c r="AB137" s="580"/>
      <c r="AC137" s="580"/>
      <c r="AD137" s="580"/>
      <c r="AE137" s="580"/>
      <c r="AF137" s="580"/>
      <c r="AG137" s="580"/>
      <c r="AH137" s="580"/>
      <c r="AI137" s="580"/>
      <c r="AJ137" s="580"/>
      <c r="AK137" s="580"/>
      <c r="AL137" s="580"/>
      <c r="AM137" s="580"/>
      <c r="AN137" s="580"/>
      <c r="AO137" s="580"/>
      <c r="AP137" s="580"/>
      <c r="AQ137" s="580"/>
      <c r="AR137" s="580"/>
      <c r="AS137" s="580"/>
    </row>
    <row r="138" spans="1:45">
      <c r="A138" s="580"/>
      <c r="B138" s="616"/>
      <c r="C138" s="580"/>
      <c r="D138" s="616"/>
      <c r="E138" s="580"/>
      <c r="F138" s="580"/>
      <c r="G138" s="580"/>
      <c r="H138" s="580"/>
      <c r="I138" s="580"/>
      <c r="J138" s="580"/>
      <c r="K138" s="580"/>
      <c r="L138" s="580"/>
      <c r="M138" s="580"/>
      <c r="N138" s="580"/>
      <c r="O138" s="580"/>
      <c r="P138" s="580"/>
      <c r="Q138" s="580"/>
      <c r="R138" s="580"/>
      <c r="S138" s="580"/>
      <c r="T138" s="580"/>
      <c r="U138" s="580"/>
      <c r="V138" s="580"/>
      <c r="W138" s="580"/>
      <c r="X138" s="580"/>
      <c r="Y138" s="580"/>
      <c r="Z138" s="580"/>
      <c r="AA138" s="580"/>
      <c r="AB138" s="580"/>
      <c r="AC138" s="580"/>
      <c r="AD138" s="580"/>
      <c r="AE138" s="580"/>
      <c r="AF138" s="580"/>
      <c r="AG138" s="580"/>
      <c r="AH138" s="580"/>
      <c r="AI138" s="580"/>
      <c r="AJ138" s="580"/>
      <c r="AK138" s="580"/>
      <c r="AL138" s="580"/>
      <c r="AM138" s="580"/>
      <c r="AN138" s="580"/>
      <c r="AO138" s="580"/>
      <c r="AP138" s="580"/>
      <c r="AQ138" s="580"/>
      <c r="AR138" s="580"/>
      <c r="AS138" s="580"/>
    </row>
    <row r="139" spans="1:45">
      <c r="A139" s="580"/>
      <c r="B139" s="616"/>
      <c r="C139" s="580"/>
      <c r="D139" s="616"/>
      <c r="E139" s="580"/>
      <c r="F139" s="580"/>
      <c r="G139" s="580"/>
      <c r="H139" s="580"/>
      <c r="I139" s="580"/>
      <c r="J139" s="580"/>
      <c r="K139" s="580"/>
      <c r="L139" s="580"/>
      <c r="M139" s="580"/>
      <c r="N139" s="580"/>
      <c r="O139" s="580"/>
      <c r="P139" s="580"/>
      <c r="Q139" s="580"/>
      <c r="R139" s="580"/>
      <c r="S139" s="580"/>
      <c r="T139" s="580"/>
      <c r="U139" s="580"/>
      <c r="V139" s="580"/>
      <c r="W139" s="580"/>
      <c r="X139" s="580"/>
      <c r="Y139" s="580"/>
      <c r="Z139" s="580"/>
      <c r="AA139" s="580"/>
      <c r="AB139" s="580"/>
      <c r="AC139" s="580"/>
      <c r="AD139" s="580"/>
      <c r="AE139" s="580"/>
      <c r="AF139" s="580"/>
      <c r="AG139" s="580"/>
      <c r="AH139" s="580"/>
      <c r="AI139" s="580"/>
      <c r="AJ139" s="580"/>
      <c r="AK139" s="580"/>
      <c r="AL139" s="580"/>
      <c r="AM139" s="580"/>
      <c r="AN139" s="580"/>
      <c r="AO139" s="580"/>
      <c r="AP139" s="580"/>
      <c r="AQ139" s="580"/>
      <c r="AR139" s="580"/>
      <c r="AS139" s="580"/>
    </row>
    <row r="140" spans="1:45">
      <c r="A140" s="580"/>
      <c r="B140" s="616"/>
      <c r="C140" s="580"/>
      <c r="D140" s="616"/>
      <c r="E140" s="580"/>
      <c r="F140" s="580"/>
      <c r="G140" s="580"/>
      <c r="H140" s="580"/>
      <c r="I140" s="580"/>
      <c r="J140" s="580"/>
      <c r="K140" s="580"/>
      <c r="L140" s="580"/>
      <c r="M140" s="580"/>
      <c r="N140" s="580"/>
      <c r="O140" s="580"/>
      <c r="P140" s="580"/>
      <c r="Q140" s="580"/>
      <c r="R140" s="580"/>
      <c r="S140" s="580"/>
      <c r="T140" s="580"/>
      <c r="U140" s="580"/>
      <c r="V140" s="580"/>
      <c r="W140" s="580"/>
      <c r="X140" s="580"/>
      <c r="Y140" s="580"/>
      <c r="Z140" s="580"/>
      <c r="AA140" s="580"/>
      <c r="AB140" s="580"/>
      <c r="AC140" s="580"/>
      <c r="AD140" s="580"/>
      <c r="AE140" s="580"/>
      <c r="AF140" s="580"/>
      <c r="AG140" s="580"/>
      <c r="AH140" s="580"/>
      <c r="AI140" s="580"/>
      <c r="AJ140" s="580"/>
      <c r="AK140" s="580"/>
      <c r="AL140" s="580"/>
      <c r="AM140" s="580"/>
      <c r="AN140" s="580"/>
      <c r="AO140" s="580"/>
      <c r="AP140" s="580"/>
      <c r="AQ140" s="580"/>
      <c r="AR140" s="580"/>
      <c r="AS140" s="580"/>
    </row>
    <row r="141" spans="1:45">
      <c r="A141" s="580"/>
      <c r="B141" s="616"/>
      <c r="C141" s="580"/>
      <c r="D141" s="616"/>
      <c r="E141" s="580"/>
      <c r="F141" s="580"/>
      <c r="G141" s="580"/>
      <c r="H141" s="580"/>
      <c r="I141" s="580"/>
      <c r="J141" s="580"/>
      <c r="K141" s="580"/>
      <c r="L141" s="580"/>
      <c r="M141" s="580"/>
      <c r="N141" s="580"/>
      <c r="O141" s="580"/>
      <c r="P141" s="580"/>
      <c r="Q141" s="580"/>
      <c r="R141" s="580"/>
      <c r="S141" s="580"/>
      <c r="T141" s="580"/>
      <c r="U141" s="580"/>
      <c r="V141" s="580"/>
      <c r="W141" s="580"/>
      <c r="X141" s="580"/>
      <c r="Y141" s="580"/>
      <c r="Z141" s="580"/>
      <c r="AA141" s="580"/>
      <c r="AB141" s="580"/>
      <c r="AC141" s="580"/>
      <c r="AD141" s="580"/>
      <c r="AE141" s="580"/>
      <c r="AF141" s="580"/>
      <c r="AG141" s="580"/>
      <c r="AH141" s="580"/>
      <c r="AI141" s="580"/>
      <c r="AJ141" s="580"/>
      <c r="AK141" s="580"/>
      <c r="AL141" s="580"/>
      <c r="AM141" s="580"/>
      <c r="AN141" s="580"/>
      <c r="AO141" s="580"/>
      <c r="AP141" s="580"/>
      <c r="AQ141" s="580"/>
      <c r="AR141" s="580"/>
      <c r="AS141" s="580"/>
    </row>
    <row r="142" spans="1:45">
      <c r="A142" s="580"/>
      <c r="B142" s="616"/>
      <c r="C142" s="580"/>
      <c r="D142" s="616"/>
      <c r="E142" s="580"/>
      <c r="F142" s="580"/>
      <c r="G142" s="580"/>
      <c r="H142" s="580"/>
      <c r="I142" s="580"/>
      <c r="J142" s="580"/>
      <c r="K142" s="580"/>
      <c r="L142" s="580"/>
      <c r="M142" s="580"/>
      <c r="N142" s="580"/>
      <c r="O142" s="580"/>
      <c r="P142" s="580"/>
      <c r="Q142" s="580"/>
      <c r="R142" s="580"/>
      <c r="S142" s="580"/>
      <c r="T142" s="580"/>
      <c r="U142" s="580"/>
      <c r="V142" s="580"/>
      <c r="W142" s="580"/>
      <c r="X142" s="580"/>
      <c r="Y142" s="580"/>
      <c r="Z142" s="580"/>
      <c r="AA142" s="580"/>
      <c r="AB142" s="580"/>
      <c r="AC142" s="580"/>
      <c r="AD142" s="580"/>
      <c r="AE142" s="580"/>
      <c r="AF142" s="580"/>
      <c r="AG142" s="580"/>
      <c r="AH142" s="580"/>
      <c r="AI142" s="580"/>
      <c r="AJ142" s="580"/>
      <c r="AK142" s="580"/>
      <c r="AL142" s="580"/>
      <c r="AM142" s="580"/>
      <c r="AN142" s="580"/>
      <c r="AO142" s="580"/>
      <c r="AP142" s="580"/>
      <c r="AQ142" s="580"/>
      <c r="AR142" s="580"/>
      <c r="AS142" s="580"/>
    </row>
    <row r="143" spans="1:45">
      <c r="A143" s="580"/>
      <c r="B143" s="616"/>
      <c r="C143" s="580"/>
      <c r="D143" s="616"/>
      <c r="E143" s="580"/>
      <c r="F143" s="580"/>
      <c r="G143" s="580"/>
      <c r="H143" s="580"/>
      <c r="I143" s="580"/>
      <c r="J143" s="580"/>
      <c r="K143" s="580"/>
      <c r="L143" s="580"/>
      <c r="M143" s="580"/>
      <c r="N143" s="580"/>
      <c r="O143" s="580"/>
      <c r="P143" s="580"/>
      <c r="Q143" s="580"/>
      <c r="R143" s="580"/>
      <c r="S143" s="580"/>
      <c r="T143" s="580"/>
      <c r="U143" s="580"/>
      <c r="V143" s="580"/>
      <c r="W143" s="580"/>
      <c r="X143" s="580"/>
      <c r="Y143" s="580"/>
      <c r="Z143" s="580"/>
      <c r="AA143" s="580"/>
      <c r="AB143" s="580"/>
      <c r="AC143" s="580"/>
      <c r="AD143" s="580"/>
      <c r="AE143" s="580"/>
      <c r="AF143" s="580"/>
      <c r="AG143" s="580"/>
      <c r="AH143" s="580"/>
      <c r="AI143" s="580"/>
      <c r="AJ143" s="580"/>
      <c r="AK143" s="580"/>
      <c r="AL143" s="580"/>
      <c r="AM143" s="580"/>
      <c r="AN143" s="580"/>
      <c r="AO143" s="580"/>
      <c r="AP143" s="580"/>
      <c r="AQ143" s="580"/>
      <c r="AR143" s="580"/>
      <c r="AS143" s="580"/>
    </row>
    <row r="144" spans="1:45">
      <c r="A144" s="580"/>
      <c r="B144" s="616"/>
      <c r="C144" s="580"/>
      <c r="D144" s="616"/>
      <c r="E144" s="580"/>
      <c r="F144" s="580"/>
      <c r="G144" s="580"/>
      <c r="H144" s="580"/>
      <c r="I144" s="580"/>
      <c r="J144" s="580"/>
      <c r="K144" s="580"/>
      <c r="L144" s="580"/>
      <c r="M144" s="580"/>
      <c r="N144" s="580"/>
      <c r="O144" s="580"/>
      <c r="P144" s="580"/>
      <c r="Q144" s="580"/>
      <c r="R144" s="580"/>
      <c r="S144" s="580"/>
      <c r="T144" s="580"/>
      <c r="U144" s="580"/>
      <c r="V144" s="580"/>
      <c r="W144" s="580"/>
      <c r="X144" s="580"/>
      <c r="Y144" s="580"/>
      <c r="Z144" s="580"/>
      <c r="AA144" s="580"/>
      <c r="AB144" s="580"/>
      <c r="AC144" s="580"/>
      <c r="AD144" s="580"/>
      <c r="AE144" s="580"/>
      <c r="AF144" s="580"/>
      <c r="AG144" s="580"/>
      <c r="AH144" s="580"/>
      <c r="AI144" s="580"/>
      <c r="AJ144" s="580"/>
      <c r="AK144" s="580"/>
      <c r="AL144" s="580"/>
      <c r="AM144" s="580"/>
      <c r="AN144" s="580"/>
      <c r="AO144" s="580"/>
      <c r="AP144" s="580"/>
      <c r="AQ144" s="580"/>
      <c r="AR144" s="580"/>
      <c r="AS144" s="58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AS149"/>
  <sheetViews>
    <sheetView zoomScale="98" workbookViewId="0">
      <selection activeCell="A15" sqref="A15"/>
    </sheetView>
  </sheetViews>
  <sheetFormatPr defaultRowHeight="14.5"/>
  <cols>
    <col min="1" max="1" width="36.1796875" customWidth="1"/>
    <col min="2" max="2" width="4.453125" style="424" customWidth="1"/>
    <col min="3" max="3" width="19.90625" style="418" customWidth="1"/>
    <col min="4" max="4" width="7.6328125" style="424" customWidth="1"/>
    <col min="5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  <c r="W1" s="580"/>
      <c r="X1" s="580"/>
      <c r="Y1" s="580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</row>
    <row r="2" spans="1:45">
      <c r="A2" s="583"/>
      <c r="B2" s="584"/>
      <c r="C2" s="584"/>
      <c r="D2" s="584"/>
      <c r="E2" s="617">
        <v>45657</v>
      </c>
      <c r="F2" s="617">
        <v>45747</v>
      </c>
      <c r="G2" s="617">
        <v>45838</v>
      </c>
      <c r="H2" s="617">
        <v>45930</v>
      </c>
      <c r="I2" s="617">
        <v>46022</v>
      </c>
      <c r="J2" s="617">
        <v>46112</v>
      </c>
      <c r="K2" s="617">
        <v>46203</v>
      </c>
      <c r="L2" s="617">
        <v>46295</v>
      </c>
      <c r="M2" s="617">
        <v>46387</v>
      </c>
      <c r="N2" s="617">
        <v>46752</v>
      </c>
      <c r="O2" s="617">
        <v>47118</v>
      </c>
      <c r="P2" s="617">
        <v>47483</v>
      </c>
      <c r="Q2" s="617">
        <v>47848</v>
      </c>
      <c r="R2" s="618"/>
      <c r="S2" s="619"/>
      <c r="T2" s="619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</row>
    <row r="3" spans="1:45" ht="14.65" customHeight="1">
      <c r="A3" s="583" t="s">
        <v>4</v>
      </c>
      <c r="B3" s="584"/>
      <c r="C3" s="584"/>
      <c r="D3" s="584"/>
      <c r="E3" s="620"/>
      <c r="F3" s="620" t="s">
        <v>130</v>
      </c>
      <c r="G3" s="620" t="s">
        <v>131</v>
      </c>
      <c r="H3" s="620" t="s">
        <v>132</v>
      </c>
      <c r="I3" s="620" t="s">
        <v>129</v>
      </c>
      <c r="J3" s="620" t="s">
        <v>130</v>
      </c>
      <c r="K3" s="620" t="s">
        <v>131</v>
      </c>
      <c r="L3" s="620" t="s">
        <v>132</v>
      </c>
      <c r="M3" s="620" t="s">
        <v>129</v>
      </c>
      <c r="N3" s="620" t="s">
        <v>129</v>
      </c>
      <c r="O3" s="620" t="s">
        <v>129</v>
      </c>
      <c r="P3" s="620" t="s">
        <v>129</v>
      </c>
      <c r="Q3" s="620" t="s">
        <v>129</v>
      </c>
      <c r="R3" s="621"/>
      <c r="S3" s="619"/>
      <c r="T3" s="619"/>
      <c r="U3" s="583"/>
      <c r="V3" s="583"/>
      <c r="W3" s="583"/>
      <c r="X3" s="583"/>
      <c r="Y3" s="583"/>
      <c r="Z3" s="583"/>
      <c r="AA3" s="583"/>
      <c r="AB3" s="583"/>
      <c r="AC3" s="583"/>
      <c r="AD3" s="583"/>
      <c r="AE3" s="583"/>
      <c r="AF3" s="583"/>
      <c r="AG3" s="583"/>
      <c r="AH3" s="583"/>
      <c r="AI3" s="583"/>
      <c r="AJ3" s="583"/>
      <c r="AK3" s="583"/>
      <c r="AL3" s="583"/>
      <c r="AM3" s="583"/>
      <c r="AN3" s="583"/>
      <c r="AO3" s="583"/>
      <c r="AP3" s="583"/>
      <c r="AQ3" s="583"/>
      <c r="AR3" s="583"/>
      <c r="AS3" s="583"/>
    </row>
    <row r="4" spans="1:45" ht="18.5" customHeight="1">
      <c r="A4" s="580"/>
      <c r="B4" s="592" t="s">
        <v>0</v>
      </c>
      <c r="C4" s="593" t="s">
        <v>1</v>
      </c>
      <c r="D4" s="592" t="s">
        <v>2</v>
      </c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0"/>
      <c r="U4" s="580"/>
      <c r="V4" s="580"/>
      <c r="W4" s="580"/>
      <c r="X4" s="580"/>
      <c r="Y4" s="580"/>
      <c r="Z4" s="580"/>
      <c r="AA4" s="580"/>
      <c r="AB4" s="580"/>
      <c r="AC4" s="580"/>
      <c r="AD4" s="580"/>
      <c r="AE4" s="580"/>
      <c r="AF4" s="580"/>
      <c r="AG4" s="580"/>
      <c r="AH4" s="580"/>
      <c r="AI4" s="580"/>
      <c r="AJ4" s="580"/>
      <c r="AK4" s="580"/>
      <c r="AL4" s="580"/>
      <c r="AM4" s="580"/>
      <c r="AN4" s="580"/>
      <c r="AO4" s="580"/>
      <c r="AP4" s="580"/>
      <c r="AQ4" s="580"/>
      <c r="AR4" s="580"/>
      <c r="AS4" s="580"/>
    </row>
    <row r="5" spans="1:45">
      <c r="A5" s="622" t="s">
        <v>1068</v>
      </c>
      <c r="B5" s="584"/>
      <c r="C5" s="586"/>
      <c r="D5" s="584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619"/>
      <c r="T5" s="619"/>
      <c r="U5" s="583"/>
      <c r="V5" s="583"/>
      <c r="W5" s="583"/>
      <c r="X5" s="583"/>
      <c r="Y5" s="583"/>
      <c r="Z5" s="583"/>
      <c r="AA5" s="583"/>
      <c r="AB5" s="583"/>
      <c r="AC5" s="583"/>
      <c r="AD5" s="583"/>
      <c r="AE5" s="583"/>
      <c r="AF5" s="583"/>
      <c r="AG5" s="583"/>
      <c r="AH5" s="583"/>
      <c r="AI5" s="583"/>
      <c r="AJ5" s="583"/>
      <c r="AK5" s="583"/>
      <c r="AL5" s="583"/>
      <c r="AM5" s="583"/>
      <c r="AN5" s="583"/>
      <c r="AO5" s="583"/>
      <c r="AP5" s="583"/>
      <c r="AQ5" s="583"/>
      <c r="AR5" s="583"/>
      <c r="AS5" s="583"/>
    </row>
    <row r="6" spans="1:45">
      <c r="A6" s="597" t="s">
        <v>1082</v>
      </c>
      <c r="B6" s="598" t="s">
        <v>17</v>
      </c>
      <c r="C6" s="599" t="s">
        <v>1053</v>
      </c>
      <c r="D6" s="600" t="s">
        <v>1083</v>
      </c>
      <c r="E6" s="605"/>
      <c r="F6" s="602">
        <v>87500</v>
      </c>
      <c r="G6" s="602">
        <v>87500</v>
      </c>
      <c r="H6" s="602">
        <v>87500</v>
      </c>
      <c r="I6" s="602">
        <v>87500</v>
      </c>
      <c r="J6" s="602">
        <v>187500</v>
      </c>
      <c r="K6" s="602">
        <v>187500</v>
      </c>
      <c r="L6" s="602">
        <v>187500</v>
      </c>
      <c r="M6" s="602">
        <v>187500</v>
      </c>
      <c r="N6" s="605">
        <v>750000</v>
      </c>
      <c r="O6" s="605">
        <v>750000</v>
      </c>
      <c r="P6" s="605">
        <v>750000</v>
      </c>
      <c r="Q6" s="605">
        <v>750000</v>
      </c>
      <c r="R6" s="605"/>
      <c r="S6" s="624"/>
      <c r="T6" s="624"/>
      <c r="U6" s="580"/>
      <c r="V6" s="580"/>
      <c r="W6" s="580"/>
      <c r="X6" s="580"/>
      <c r="Y6" s="580"/>
      <c r="Z6" s="580"/>
      <c r="AA6" s="580"/>
      <c r="AB6" s="580"/>
      <c r="AC6" s="580"/>
      <c r="AD6" s="580"/>
      <c r="AE6" s="580"/>
      <c r="AF6" s="580"/>
      <c r="AG6" s="580"/>
      <c r="AH6" s="580"/>
      <c r="AI6" s="580"/>
      <c r="AJ6" s="580"/>
      <c r="AK6" s="580"/>
      <c r="AL6" s="580"/>
      <c r="AM6" s="580"/>
      <c r="AN6" s="580"/>
      <c r="AO6" s="580"/>
      <c r="AP6" s="580"/>
      <c r="AQ6" s="580"/>
      <c r="AR6" s="580"/>
      <c r="AS6" s="580"/>
    </row>
    <row r="7" spans="1:45">
      <c r="A7" s="597" t="s">
        <v>1084</v>
      </c>
      <c r="B7" s="598" t="s">
        <v>17</v>
      </c>
      <c r="C7" s="599" t="s">
        <v>1053</v>
      </c>
      <c r="D7" s="600" t="s">
        <v>1085</v>
      </c>
      <c r="E7" s="605"/>
      <c r="F7" s="602">
        <v>46250</v>
      </c>
      <c r="G7" s="602">
        <v>46250</v>
      </c>
      <c r="H7" s="602">
        <v>46250</v>
      </c>
      <c r="I7" s="602">
        <v>46250</v>
      </c>
      <c r="J7" s="602">
        <v>46250</v>
      </c>
      <c r="K7" s="602">
        <v>46250</v>
      </c>
      <c r="L7" s="602">
        <v>46250</v>
      </c>
      <c r="M7" s="602">
        <v>46250</v>
      </c>
      <c r="N7" s="605">
        <v>185000</v>
      </c>
      <c r="O7" s="605">
        <v>185000</v>
      </c>
      <c r="P7" s="605">
        <v>185000</v>
      </c>
      <c r="Q7" s="605">
        <v>185000</v>
      </c>
      <c r="R7" s="605"/>
      <c r="S7" s="624"/>
      <c r="T7" s="624"/>
      <c r="U7" s="580"/>
      <c r="V7" s="580"/>
      <c r="W7" s="580"/>
      <c r="X7" s="580"/>
      <c r="Y7" s="580"/>
      <c r="Z7" s="580"/>
      <c r="AA7" s="580"/>
      <c r="AB7" s="580"/>
      <c r="AC7" s="580"/>
      <c r="AD7" s="580"/>
      <c r="AE7" s="580"/>
      <c r="AF7" s="580"/>
      <c r="AG7" s="580"/>
      <c r="AH7" s="580"/>
      <c r="AI7" s="580"/>
      <c r="AJ7" s="580"/>
      <c r="AK7" s="580"/>
      <c r="AL7" s="580"/>
      <c r="AM7" s="580"/>
      <c r="AN7" s="580"/>
      <c r="AO7" s="580"/>
      <c r="AP7" s="580"/>
      <c r="AQ7" s="580"/>
      <c r="AR7" s="580"/>
      <c r="AS7" s="580"/>
    </row>
    <row r="8" spans="1:45">
      <c r="A8" s="597" t="s">
        <v>1086</v>
      </c>
      <c r="B8" s="598" t="s">
        <v>17</v>
      </c>
      <c r="C8" s="599" t="s">
        <v>1053</v>
      </c>
      <c r="D8" s="600" t="s">
        <v>1087</v>
      </c>
      <c r="E8" s="605"/>
      <c r="F8" s="602">
        <v>27500</v>
      </c>
      <c r="G8" s="602">
        <v>27500</v>
      </c>
      <c r="H8" s="602">
        <v>27500</v>
      </c>
      <c r="I8" s="602">
        <v>27500</v>
      </c>
      <c r="J8" s="602">
        <v>28125</v>
      </c>
      <c r="K8" s="602">
        <v>28125</v>
      </c>
      <c r="L8" s="602">
        <v>28125</v>
      </c>
      <c r="M8" s="602">
        <v>28125</v>
      </c>
      <c r="N8" s="605">
        <v>112500</v>
      </c>
      <c r="O8" s="605">
        <v>112500</v>
      </c>
      <c r="P8" s="605">
        <v>112500</v>
      </c>
      <c r="Q8" s="605">
        <v>112500</v>
      </c>
      <c r="R8" s="605"/>
      <c r="S8" s="624"/>
      <c r="T8" s="624"/>
      <c r="U8" s="580"/>
      <c r="V8" s="580"/>
      <c r="W8" s="580"/>
      <c r="X8" s="580"/>
      <c r="Y8" s="580"/>
      <c r="Z8" s="580"/>
      <c r="AA8" s="580"/>
      <c r="AB8" s="580"/>
      <c r="AC8" s="580"/>
      <c r="AD8" s="580"/>
      <c r="AE8" s="580"/>
      <c r="AF8" s="580"/>
      <c r="AG8" s="580"/>
      <c r="AH8" s="580"/>
      <c r="AI8" s="580"/>
      <c r="AJ8" s="580"/>
      <c r="AK8" s="580"/>
      <c r="AL8" s="580"/>
      <c r="AM8" s="580"/>
      <c r="AN8" s="580"/>
      <c r="AO8" s="580"/>
      <c r="AP8" s="580"/>
      <c r="AQ8" s="580"/>
      <c r="AR8" s="580"/>
      <c r="AS8" s="580"/>
    </row>
    <row r="9" spans="1:45">
      <c r="A9" s="597" t="s">
        <v>1088</v>
      </c>
      <c r="B9" s="607" t="s">
        <v>17</v>
      </c>
      <c r="C9" s="607" t="s">
        <v>1053</v>
      </c>
      <c r="D9" s="607" t="s">
        <v>1089</v>
      </c>
      <c r="E9" s="605"/>
      <c r="F9" s="602">
        <v>62500</v>
      </c>
      <c r="G9" s="602">
        <v>62500</v>
      </c>
      <c r="H9" s="602">
        <v>62500</v>
      </c>
      <c r="I9" s="602">
        <v>62500</v>
      </c>
      <c r="J9" s="602">
        <v>65000</v>
      </c>
      <c r="K9" s="602">
        <v>65000</v>
      </c>
      <c r="L9" s="602">
        <v>65000</v>
      </c>
      <c r="M9" s="602">
        <v>65000</v>
      </c>
      <c r="N9" s="605">
        <v>260000</v>
      </c>
      <c r="O9" s="605">
        <v>260000</v>
      </c>
      <c r="P9" s="605">
        <v>260000</v>
      </c>
      <c r="Q9" s="605">
        <v>260000</v>
      </c>
      <c r="R9" s="605"/>
      <c r="S9" s="624"/>
      <c r="T9" s="624"/>
      <c r="U9" s="580"/>
      <c r="V9" s="580"/>
      <c r="W9" s="580"/>
      <c r="X9" s="580"/>
      <c r="Y9" s="580"/>
      <c r="Z9" s="580"/>
      <c r="AA9" s="580"/>
      <c r="AB9" s="580"/>
      <c r="AC9" s="580"/>
      <c r="AD9" s="580"/>
      <c r="AE9" s="580"/>
      <c r="AF9" s="580"/>
      <c r="AG9" s="580"/>
      <c r="AH9" s="580"/>
      <c r="AI9" s="580"/>
      <c r="AJ9" s="580"/>
      <c r="AK9" s="580"/>
      <c r="AL9" s="580"/>
      <c r="AM9" s="580"/>
      <c r="AN9" s="580"/>
      <c r="AO9" s="580"/>
      <c r="AP9" s="580"/>
      <c r="AQ9" s="580"/>
      <c r="AR9" s="580"/>
      <c r="AS9" s="580"/>
    </row>
    <row r="10" spans="1:45">
      <c r="A10" s="597" t="s">
        <v>1090</v>
      </c>
      <c r="B10" s="607" t="s">
        <v>17</v>
      </c>
      <c r="C10" s="607" t="s">
        <v>1053</v>
      </c>
      <c r="D10" s="607" t="s">
        <v>1091</v>
      </c>
      <c r="E10" s="605"/>
      <c r="F10" s="602">
        <v>43750</v>
      </c>
      <c r="G10" s="602">
        <v>43750</v>
      </c>
      <c r="H10" s="602">
        <v>43750</v>
      </c>
      <c r="I10" s="602">
        <v>0</v>
      </c>
      <c r="J10" s="602">
        <v>0</v>
      </c>
      <c r="K10" s="602">
        <v>0</v>
      </c>
      <c r="L10" s="602">
        <v>0</v>
      </c>
      <c r="M10" s="602">
        <v>0</v>
      </c>
      <c r="N10" s="605">
        <v>0</v>
      </c>
      <c r="O10" s="605">
        <v>0</v>
      </c>
      <c r="P10" s="605">
        <v>0</v>
      </c>
      <c r="Q10" s="605">
        <v>0</v>
      </c>
      <c r="R10" s="605"/>
      <c r="S10" s="624"/>
      <c r="T10" s="624"/>
      <c r="U10" s="580"/>
      <c r="V10" s="580"/>
      <c r="W10" s="580"/>
      <c r="X10" s="580"/>
      <c r="Y10" s="580"/>
      <c r="Z10" s="580"/>
      <c r="AA10" s="580"/>
      <c r="AB10" s="580"/>
      <c r="AC10" s="580"/>
      <c r="AD10" s="580"/>
      <c r="AE10" s="580"/>
      <c r="AF10" s="580"/>
      <c r="AG10" s="580"/>
      <c r="AH10" s="580"/>
      <c r="AI10" s="580"/>
      <c r="AJ10" s="580"/>
      <c r="AK10" s="580"/>
      <c r="AL10" s="580"/>
      <c r="AM10" s="580"/>
      <c r="AN10" s="580"/>
      <c r="AO10" s="580"/>
      <c r="AP10" s="580"/>
      <c r="AQ10" s="580"/>
      <c r="AR10" s="580"/>
      <c r="AS10" s="580"/>
    </row>
    <row r="11" spans="1:45">
      <c r="A11" s="597" t="s">
        <v>1092</v>
      </c>
      <c r="B11" s="607" t="s">
        <v>17</v>
      </c>
      <c r="C11" s="607" t="s">
        <v>1053</v>
      </c>
      <c r="D11" s="607" t="s">
        <v>1093</v>
      </c>
      <c r="E11" s="605"/>
      <c r="F11" s="602">
        <v>75000</v>
      </c>
      <c r="G11" s="602">
        <v>75000</v>
      </c>
      <c r="H11" s="602">
        <v>75000</v>
      </c>
      <c r="I11" s="602">
        <v>75000</v>
      </c>
      <c r="J11" s="602">
        <v>0</v>
      </c>
      <c r="K11" s="602">
        <v>0</v>
      </c>
      <c r="L11" s="602">
        <v>0</v>
      </c>
      <c r="M11" s="602">
        <v>0</v>
      </c>
      <c r="N11" s="605">
        <v>0</v>
      </c>
      <c r="O11" s="605">
        <v>0</v>
      </c>
      <c r="P11" s="605">
        <v>0</v>
      </c>
      <c r="Q11" s="605">
        <v>0</v>
      </c>
      <c r="R11" s="605"/>
      <c r="S11" s="624"/>
      <c r="T11" s="624"/>
      <c r="U11" s="580"/>
      <c r="V11" s="580"/>
      <c r="W11" s="580"/>
      <c r="X11" s="580"/>
      <c r="Y11" s="580"/>
      <c r="Z11" s="580"/>
      <c r="AA11" s="580"/>
      <c r="AB11" s="580"/>
      <c r="AC11" s="580"/>
      <c r="AD11" s="580"/>
      <c r="AE11" s="580"/>
      <c r="AF11" s="580"/>
      <c r="AG11" s="580"/>
      <c r="AH11" s="580"/>
      <c r="AI11" s="580"/>
      <c r="AJ11" s="580"/>
      <c r="AK11" s="580"/>
      <c r="AL11" s="580"/>
      <c r="AM11" s="580"/>
      <c r="AN11" s="580"/>
      <c r="AO11" s="580"/>
      <c r="AP11" s="580"/>
      <c r="AQ11" s="580"/>
      <c r="AR11" s="580"/>
      <c r="AS11" s="580"/>
    </row>
    <row r="12" spans="1:45">
      <c r="A12" s="597" t="s">
        <v>1094</v>
      </c>
      <c r="B12" s="607" t="s">
        <v>17</v>
      </c>
      <c r="C12" s="607" t="s">
        <v>1053</v>
      </c>
      <c r="D12" s="607" t="s">
        <v>1095</v>
      </c>
      <c r="E12" s="605"/>
      <c r="F12" s="602">
        <v>45000</v>
      </c>
      <c r="G12" s="602">
        <v>45000</v>
      </c>
      <c r="H12" s="602">
        <v>45000</v>
      </c>
      <c r="I12" s="602">
        <v>45000</v>
      </c>
      <c r="J12" s="602">
        <v>47500</v>
      </c>
      <c r="K12" s="602">
        <v>47500</v>
      </c>
      <c r="L12" s="602">
        <v>47500</v>
      </c>
      <c r="M12" s="602">
        <v>47500</v>
      </c>
      <c r="N12" s="605">
        <v>190000</v>
      </c>
      <c r="O12" s="605">
        <v>190000</v>
      </c>
      <c r="P12" s="605">
        <v>190000</v>
      </c>
      <c r="Q12" s="605">
        <v>190000</v>
      </c>
      <c r="R12" s="605"/>
      <c r="S12" s="624"/>
      <c r="T12" s="624"/>
      <c r="U12" s="580"/>
      <c r="V12" s="580"/>
      <c r="W12" s="580"/>
      <c r="X12" s="580"/>
      <c r="Y12" s="580"/>
      <c r="Z12" s="580"/>
      <c r="AA12" s="580"/>
      <c r="AB12" s="580"/>
      <c r="AC12" s="580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80"/>
      <c r="AS12" s="580"/>
    </row>
    <row r="13" spans="1:45">
      <c r="A13" s="597" t="s">
        <v>1096</v>
      </c>
      <c r="B13" s="607" t="s">
        <v>17</v>
      </c>
      <c r="C13" s="607" t="s">
        <v>1053</v>
      </c>
      <c r="D13" s="607" t="s">
        <v>1097</v>
      </c>
      <c r="E13" s="605"/>
      <c r="F13" s="602">
        <v>32500</v>
      </c>
      <c r="G13" s="602">
        <v>32500</v>
      </c>
      <c r="H13" s="602">
        <v>32500</v>
      </c>
      <c r="I13" s="602">
        <v>32500</v>
      </c>
      <c r="J13" s="602">
        <v>34375</v>
      </c>
      <c r="K13" s="602">
        <v>0</v>
      </c>
      <c r="L13" s="602">
        <v>0</v>
      </c>
      <c r="M13" s="602">
        <v>0</v>
      </c>
      <c r="N13" s="605">
        <v>0</v>
      </c>
      <c r="O13" s="605">
        <v>0</v>
      </c>
      <c r="P13" s="605">
        <v>0</v>
      </c>
      <c r="Q13" s="605">
        <v>0</v>
      </c>
      <c r="R13" s="605"/>
      <c r="S13" s="624"/>
      <c r="T13" s="624"/>
      <c r="U13" s="580"/>
      <c r="V13" s="580"/>
      <c r="W13" s="580"/>
      <c r="X13" s="580"/>
      <c r="Y13" s="580"/>
      <c r="Z13" s="580"/>
      <c r="AA13" s="580"/>
      <c r="AB13" s="580"/>
      <c r="AC13" s="580"/>
      <c r="AD13" s="580"/>
      <c r="AE13" s="580"/>
      <c r="AF13" s="580"/>
      <c r="AG13" s="580"/>
      <c r="AH13" s="580"/>
      <c r="AI13" s="580"/>
      <c r="AJ13" s="580"/>
      <c r="AK13" s="580"/>
      <c r="AL13" s="580"/>
      <c r="AM13" s="580"/>
      <c r="AN13" s="580"/>
      <c r="AO13" s="580"/>
      <c r="AP13" s="580"/>
      <c r="AQ13" s="580"/>
      <c r="AR13" s="580"/>
      <c r="AS13" s="580"/>
    </row>
    <row r="14" spans="1:45">
      <c r="A14" s="597" t="s">
        <v>1098</v>
      </c>
      <c r="B14" s="607" t="s">
        <v>17</v>
      </c>
      <c r="C14" s="607" t="s">
        <v>1053</v>
      </c>
      <c r="D14" s="607" t="s">
        <v>1099</v>
      </c>
      <c r="E14" s="605"/>
      <c r="F14" s="602">
        <v>0</v>
      </c>
      <c r="G14" s="602">
        <v>0</v>
      </c>
      <c r="H14" s="602">
        <v>0</v>
      </c>
      <c r="I14" s="602">
        <v>0</v>
      </c>
      <c r="J14" s="602">
        <v>0</v>
      </c>
      <c r="K14" s="602">
        <v>0</v>
      </c>
      <c r="L14" s="602">
        <v>34375</v>
      </c>
      <c r="M14" s="602">
        <v>34375</v>
      </c>
      <c r="N14" s="605">
        <v>137500</v>
      </c>
      <c r="O14" s="605">
        <v>137500</v>
      </c>
      <c r="P14" s="605">
        <v>137500</v>
      </c>
      <c r="Q14" s="605">
        <v>137500</v>
      </c>
      <c r="R14" s="605"/>
      <c r="S14" s="624"/>
      <c r="T14" s="624"/>
      <c r="U14" s="580"/>
      <c r="V14" s="580"/>
      <c r="W14" s="580"/>
      <c r="X14" s="580"/>
      <c r="Y14" s="580"/>
      <c r="Z14" s="580"/>
      <c r="AA14" s="580"/>
      <c r="AB14" s="580"/>
      <c r="AC14" s="580"/>
      <c r="AD14" s="580"/>
      <c r="AE14" s="580"/>
      <c r="AF14" s="580"/>
      <c r="AG14" s="580"/>
      <c r="AH14" s="580"/>
      <c r="AI14" s="580"/>
      <c r="AJ14" s="580"/>
      <c r="AK14" s="580"/>
      <c r="AL14" s="580"/>
      <c r="AM14" s="580"/>
      <c r="AN14" s="580"/>
      <c r="AO14" s="580"/>
      <c r="AP14" s="580"/>
      <c r="AQ14" s="580"/>
      <c r="AR14" s="580"/>
      <c r="AS14" s="580"/>
    </row>
    <row r="15" spans="1:45" s="30" customFormat="1">
      <c r="A15" s="597" t="s">
        <v>1100</v>
      </c>
      <c r="B15" s="625" t="s">
        <v>17</v>
      </c>
      <c r="C15" s="626" t="s">
        <v>1053</v>
      </c>
      <c r="D15" s="625" t="s">
        <v>1101</v>
      </c>
      <c r="E15" s="605"/>
      <c r="F15" s="602">
        <v>27500</v>
      </c>
      <c r="G15" s="602">
        <v>27500</v>
      </c>
      <c r="H15" s="602">
        <v>27500</v>
      </c>
      <c r="I15" s="602">
        <v>27500</v>
      </c>
      <c r="J15" s="602">
        <v>27500</v>
      </c>
      <c r="K15" s="640">
        <v>27500</v>
      </c>
      <c r="L15" s="640">
        <v>27500</v>
      </c>
      <c r="M15" s="640">
        <v>27500</v>
      </c>
      <c r="N15" s="605">
        <v>110000</v>
      </c>
      <c r="O15" s="605">
        <v>110000</v>
      </c>
      <c r="P15" s="605">
        <v>110000</v>
      </c>
      <c r="Q15" s="605">
        <v>110000</v>
      </c>
      <c r="R15" s="605"/>
      <c r="S15" s="624"/>
      <c r="T15" s="624"/>
      <c r="U15" s="580"/>
      <c r="V15" s="580"/>
      <c r="W15" s="580"/>
      <c r="X15" s="580"/>
      <c r="Y15" s="580"/>
      <c r="Z15" s="580"/>
      <c r="AA15" s="580"/>
      <c r="AB15" s="580"/>
      <c r="AC15" s="580"/>
      <c r="AD15" s="580"/>
      <c r="AE15" s="580"/>
      <c r="AF15" s="580"/>
      <c r="AG15" s="580"/>
      <c r="AH15" s="580"/>
      <c r="AI15" s="580"/>
      <c r="AJ15" s="580"/>
      <c r="AK15" s="580"/>
      <c r="AL15" s="580"/>
      <c r="AM15" s="580"/>
      <c r="AN15" s="580"/>
      <c r="AO15" s="580"/>
      <c r="AP15" s="580"/>
      <c r="AQ15" s="580"/>
      <c r="AR15" s="580"/>
      <c r="AS15" s="580"/>
    </row>
    <row r="16" spans="1:45" ht="14.65" customHeight="1">
      <c r="A16" s="597" t="s">
        <v>1102</v>
      </c>
      <c r="B16" s="607" t="s">
        <v>17</v>
      </c>
      <c r="C16" s="607" t="s">
        <v>1053</v>
      </c>
      <c r="D16" s="607" t="s">
        <v>1103</v>
      </c>
      <c r="E16" s="605"/>
      <c r="F16" s="602"/>
      <c r="G16" s="602"/>
      <c r="H16" s="602"/>
      <c r="I16" s="602"/>
      <c r="J16" s="602">
        <v>50000</v>
      </c>
      <c r="K16" s="640">
        <v>50000</v>
      </c>
      <c r="L16" s="640">
        <v>50000</v>
      </c>
      <c r="M16" s="640">
        <v>50000</v>
      </c>
      <c r="N16" s="605">
        <v>200000</v>
      </c>
      <c r="O16" s="605">
        <v>200000</v>
      </c>
      <c r="P16" s="605">
        <v>200000</v>
      </c>
      <c r="Q16" s="605">
        <v>200000</v>
      </c>
      <c r="R16" s="605"/>
      <c r="S16" s="624"/>
      <c r="T16" s="624"/>
      <c r="U16" s="580"/>
      <c r="V16" s="580"/>
      <c r="W16" s="580"/>
      <c r="X16" s="580"/>
      <c r="Y16" s="580"/>
      <c r="Z16" s="580"/>
      <c r="AA16" s="580"/>
      <c r="AB16" s="580"/>
      <c r="AC16" s="580"/>
      <c r="AD16" s="580"/>
      <c r="AE16" s="580"/>
      <c r="AF16" s="580"/>
      <c r="AG16" s="580"/>
      <c r="AH16" s="580"/>
      <c r="AI16" s="580"/>
      <c r="AJ16" s="580"/>
      <c r="AK16" s="580"/>
      <c r="AL16" s="580"/>
      <c r="AM16" s="580"/>
      <c r="AN16" s="580"/>
      <c r="AO16" s="580"/>
      <c r="AP16" s="580"/>
      <c r="AQ16" s="580"/>
      <c r="AR16" s="580"/>
      <c r="AS16" s="580"/>
    </row>
    <row r="17" spans="1:45" ht="14.65" customHeight="1">
      <c r="A17" s="627" t="s">
        <v>259</v>
      </c>
      <c r="B17" s="580"/>
      <c r="C17" s="580"/>
      <c r="D17" s="580"/>
      <c r="E17" s="605"/>
      <c r="F17" s="605">
        <f t="shared" ref="F17:Q17" si="0">SUM(F6:F16)</f>
        <v>447500</v>
      </c>
      <c r="G17" s="605">
        <f t="shared" si="0"/>
        <v>447500</v>
      </c>
      <c r="H17" s="605">
        <f t="shared" si="0"/>
        <v>447500</v>
      </c>
      <c r="I17" s="605">
        <f t="shared" si="0"/>
        <v>403750</v>
      </c>
      <c r="J17" s="605">
        <f t="shared" si="0"/>
        <v>486250</v>
      </c>
      <c r="K17" s="605">
        <f t="shared" si="0"/>
        <v>451875</v>
      </c>
      <c r="L17" s="605">
        <f t="shared" si="0"/>
        <v>486250</v>
      </c>
      <c r="M17" s="605">
        <f t="shared" si="0"/>
        <v>486250</v>
      </c>
      <c r="N17" s="605">
        <f t="shared" si="0"/>
        <v>1945000</v>
      </c>
      <c r="O17" s="605">
        <f t="shared" si="0"/>
        <v>1945000</v>
      </c>
      <c r="P17" s="605">
        <f t="shared" si="0"/>
        <v>1945000</v>
      </c>
      <c r="Q17" s="605">
        <f t="shared" si="0"/>
        <v>1945000</v>
      </c>
      <c r="R17" s="605"/>
      <c r="S17" s="624"/>
      <c r="T17" s="624"/>
      <c r="U17" s="580"/>
      <c r="V17" s="580"/>
      <c r="W17" s="580"/>
      <c r="X17" s="580"/>
      <c r="Y17" s="580"/>
      <c r="Z17" s="580"/>
      <c r="AA17" s="580"/>
      <c r="AB17" s="580"/>
      <c r="AC17" s="580"/>
      <c r="AD17" s="580"/>
      <c r="AE17" s="580"/>
      <c r="AF17" s="580"/>
      <c r="AG17" s="580"/>
      <c r="AH17" s="580"/>
      <c r="AI17" s="580"/>
      <c r="AJ17" s="580"/>
      <c r="AK17" s="580"/>
      <c r="AL17" s="580"/>
      <c r="AM17" s="580"/>
      <c r="AN17" s="580"/>
      <c r="AO17" s="580"/>
      <c r="AP17" s="580"/>
      <c r="AQ17" s="580"/>
      <c r="AR17" s="580"/>
      <c r="AS17" s="580"/>
    </row>
    <row r="18" spans="1:45">
      <c r="A18" s="628"/>
      <c r="B18" s="580"/>
      <c r="C18" s="580"/>
      <c r="D18" s="580"/>
      <c r="E18" s="605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05"/>
      <c r="Q18" s="605"/>
      <c r="R18" s="605"/>
      <c r="S18" s="624"/>
      <c r="T18" s="624"/>
      <c r="U18" s="580"/>
      <c r="V18" s="580"/>
      <c r="W18" s="580"/>
      <c r="X18" s="580"/>
      <c r="Y18" s="580"/>
      <c r="Z18" s="580"/>
      <c r="AA18" s="580"/>
      <c r="AB18" s="580"/>
      <c r="AC18" s="580"/>
      <c r="AD18" s="580"/>
      <c r="AE18" s="580"/>
      <c r="AF18" s="580"/>
      <c r="AG18" s="580"/>
      <c r="AH18" s="580"/>
      <c r="AI18" s="580"/>
      <c r="AJ18" s="580"/>
      <c r="AK18" s="580"/>
      <c r="AL18" s="580"/>
      <c r="AM18" s="580"/>
      <c r="AN18" s="580"/>
      <c r="AO18" s="580"/>
      <c r="AP18" s="580"/>
      <c r="AQ18" s="580"/>
      <c r="AR18" s="580"/>
      <c r="AS18" s="580"/>
    </row>
    <row r="19" spans="1:45" ht="14.65" customHeight="1">
      <c r="A19" s="629" t="s">
        <v>1065</v>
      </c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619"/>
      <c r="T19" s="619"/>
      <c r="U19" s="583"/>
      <c r="V19" s="583"/>
      <c r="W19" s="583"/>
      <c r="X19" s="583"/>
      <c r="Y19" s="583"/>
      <c r="Z19" s="583"/>
      <c r="AA19" s="583"/>
      <c r="AB19" s="583"/>
      <c r="AC19" s="583"/>
      <c r="AD19" s="583"/>
      <c r="AE19" s="583"/>
      <c r="AF19" s="583"/>
      <c r="AG19" s="583"/>
      <c r="AH19" s="583"/>
      <c r="AI19" s="583"/>
      <c r="AJ19" s="583"/>
      <c r="AK19" s="583"/>
      <c r="AL19" s="583"/>
      <c r="AM19" s="583"/>
      <c r="AN19" s="583"/>
      <c r="AO19" s="583"/>
      <c r="AP19" s="583"/>
      <c r="AQ19" s="583"/>
      <c r="AR19" s="583"/>
      <c r="AS19" s="583"/>
    </row>
    <row r="20" spans="1:45">
      <c r="A20" s="580" t="str">
        <f t="shared" ref="A20:A30" si="1">+A6</f>
        <v>HODS  (RB)</v>
      </c>
      <c r="B20" s="607" t="s">
        <v>17</v>
      </c>
      <c r="C20" s="607" t="s">
        <v>1066</v>
      </c>
      <c r="D20" s="607" t="s">
        <v>1083</v>
      </c>
      <c r="E20" s="582"/>
      <c r="F20" s="604">
        <v>0</v>
      </c>
      <c r="G20" s="604">
        <v>0</v>
      </c>
      <c r="H20" s="604">
        <v>0</v>
      </c>
      <c r="I20" s="604">
        <v>685000</v>
      </c>
      <c r="J20" s="604">
        <v>0</v>
      </c>
      <c r="K20" s="604">
        <v>0</v>
      </c>
      <c r="L20" s="604">
        <v>0</v>
      </c>
      <c r="M20" s="604">
        <v>250000</v>
      </c>
      <c r="N20" s="601">
        <v>250000</v>
      </c>
      <c r="O20" s="601">
        <v>250000</v>
      </c>
      <c r="P20" s="601">
        <v>250000</v>
      </c>
      <c r="Q20" s="601">
        <v>250000</v>
      </c>
      <c r="R20" s="582"/>
      <c r="S20" s="624"/>
      <c r="T20" s="624"/>
      <c r="U20" s="580"/>
      <c r="V20" s="580"/>
      <c r="W20" s="580"/>
      <c r="X20" s="580"/>
      <c r="Y20" s="580"/>
      <c r="Z20" s="580"/>
      <c r="AA20" s="580"/>
      <c r="AB20" s="580"/>
      <c r="AC20" s="580"/>
      <c r="AD20" s="580"/>
      <c r="AE20" s="580"/>
      <c r="AF20" s="580"/>
      <c r="AG20" s="580"/>
      <c r="AH20" s="580"/>
      <c r="AI20" s="580"/>
      <c r="AJ20" s="580"/>
      <c r="AK20" s="580"/>
      <c r="AL20" s="580"/>
      <c r="AM20" s="580"/>
      <c r="AN20" s="580"/>
      <c r="AO20" s="580"/>
      <c r="AP20" s="580"/>
      <c r="AQ20" s="580"/>
      <c r="AR20" s="580"/>
      <c r="AS20" s="580"/>
    </row>
    <row r="21" spans="1:45">
      <c r="A21" s="580" t="str">
        <f t="shared" si="1"/>
        <v>Project Executive  (LS) (100%)</v>
      </c>
      <c r="B21" s="607" t="s">
        <v>17</v>
      </c>
      <c r="C21" s="607" t="s">
        <v>1066</v>
      </c>
      <c r="D21" s="607" t="s">
        <v>1085</v>
      </c>
      <c r="E21" s="605"/>
      <c r="F21" s="604">
        <v>0</v>
      </c>
      <c r="G21" s="604">
        <v>0</v>
      </c>
      <c r="H21" s="604">
        <v>0</v>
      </c>
      <c r="I21" s="604">
        <v>20000</v>
      </c>
      <c r="J21" s="604">
        <v>0</v>
      </c>
      <c r="K21" s="604">
        <v>0</v>
      </c>
      <c r="L21" s="604">
        <v>0</v>
      </c>
      <c r="M21" s="604">
        <v>15000</v>
      </c>
      <c r="N21" s="601">
        <v>15000</v>
      </c>
      <c r="O21" s="601">
        <v>15000</v>
      </c>
      <c r="P21" s="601">
        <v>15000</v>
      </c>
      <c r="Q21" s="601">
        <v>15000</v>
      </c>
      <c r="R21" s="605"/>
      <c r="S21" s="624"/>
      <c r="T21" s="624"/>
      <c r="U21" s="580"/>
      <c r="V21" s="580"/>
      <c r="W21" s="580"/>
      <c r="X21" s="580"/>
      <c r="Y21" s="580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  <c r="AJ21" s="580"/>
      <c r="AK21" s="580"/>
      <c r="AL21" s="580"/>
      <c r="AM21" s="580"/>
      <c r="AN21" s="580"/>
      <c r="AO21" s="580"/>
      <c r="AP21" s="580"/>
      <c r="AQ21" s="580"/>
      <c r="AR21" s="580"/>
      <c r="AS21" s="580"/>
    </row>
    <row r="22" spans="1:45">
      <c r="A22" s="580" t="str">
        <f t="shared" si="1"/>
        <v>Project Manager (BD) (100%)</v>
      </c>
      <c r="B22" s="607" t="s">
        <v>17</v>
      </c>
      <c r="C22" s="607" t="s">
        <v>1066</v>
      </c>
      <c r="D22" s="607" t="s">
        <v>1087</v>
      </c>
      <c r="E22" s="605"/>
      <c r="F22" s="604">
        <v>0</v>
      </c>
      <c r="G22" s="604">
        <v>0</v>
      </c>
      <c r="H22" s="604">
        <v>0</v>
      </c>
      <c r="I22" s="604">
        <v>17500</v>
      </c>
      <c r="J22" s="604">
        <v>0</v>
      </c>
      <c r="K22" s="604">
        <v>0</v>
      </c>
      <c r="L22" s="604">
        <v>0</v>
      </c>
      <c r="M22" s="604">
        <v>15000</v>
      </c>
      <c r="N22" s="601">
        <v>15000</v>
      </c>
      <c r="O22" s="601">
        <v>15000</v>
      </c>
      <c r="P22" s="601">
        <v>15000</v>
      </c>
      <c r="Q22" s="601">
        <v>15000</v>
      </c>
      <c r="R22" s="605"/>
      <c r="S22" s="624"/>
      <c r="T22" s="624"/>
      <c r="U22" s="580"/>
      <c r="V22" s="580"/>
      <c r="W22" s="580"/>
      <c r="X22" s="580"/>
      <c r="Y22" s="580"/>
      <c r="Z22" s="580"/>
      <c r="AA22" s="580"/>
      <c r="AB22" s="580"/>
      <c r="AC22" s="580"/>
      <c r="AD22" s="580"/>
      <c r="AE22" s="580"/>
      <c r="AF22" s="580"/>
      <c r="AG22" s="580"/>
      <c r="AH22" s="580"/>
      <c r="AI22" s="580"/>
      <c r="AJ22" s="580"/>
      <c r="AK22" s="580"/>
      <c r="AL22" s="580"/>
      <c r="AM22" s="580"/>
      <c r="AN22" s="580"/>
      <c r="AO22" s="580"/>
      <c r="AP22" s="580"/>
      <c r="AQ22" s="580"/>
      <c r="AR22" s="580"/>
      <c r="AS22" s="580"/>
    </row>
    <row r="23" spans="1:45">
      <c r="A23" s="580" t="str">
        <f t="shared" si="1"/>
        <v>Counsel (KT)</v>
      </c>
      <c r="B23" s="607" t="s">
        <v>17</v>
      </c>
      <c r="C23" s="607" t="s">
        <v>1066</v>
      </c>
      <c r="D23" s="607" t="s">
        <v>1089</v>
      </c>
      <c r="E23" s="605"/>
      <c r="F23" s="604">
        <v>0</v>
      </c>
      <c r="G23" s="604">
        <v>0</v>
      </c>
      <c r="H23" s="604">
        <v>0</v>
      </c>
      <c r="I23" s="604">
        <v>230000</v>
      </c>
      <c r="J23" s="604">
        <v>0</v>
      </c>
      <c r="K23" s="604">
        <v>0</v>
      </c>
      <c r="L23" s="604">
        <v>0</v>
      </c>
      <c r="M23" s="604">
        <v>125000</v>
      </c>
      <c r="N23" s="601">
        <v>125000</v>
      </c>
      <c r="O23" s="601">
        <v>125000</v>
      </c>
      <c r="P23" s="601">
        <v>125000</v>
      </c>
      <c r="Q23" s="601">
        <v>125000</v>
      </c>
      <c r="R23" s="605"/>
      <c r="S23" s="624"/>
      <c r="T23" s="624"/>
      <c r="U23" s="580"/>
      <c r="V23" s="580"/>
      <c r="W23" s="580"/>
      <c r="X23" s="580"/>
      <c r="Y23" s="580"/>
      <c r="Z23" s="580"/>
      <c r="AA23" s="580"/>
      <c r="AB23" s="580"/>
      <c r="AC23" s="580"/>
      <c r="AD23" s="580"/>
      <c r="AE23" s="580"/>
      <c r="AF23" s="580"/>
      <c r="AG23" s="580"/>
      <c r="AH23" s="580"/>
      <c r="AI23" s="580"/>
      <c r="AJ23" s="580"/>
      <c r="AK23" s="580"/>
      <c r="AL23" s="580"/>
      <c r="AM23" s="580"/>
      <c r="AN23" s="580"/>
      <c r="AO23" s="580"/>
      <c r="AP23" s="580"/>
      <c r="AQ23" s="580"/>
      <c r="AR23" s="580"/>
      <c r="AS23" s="580"/>
    </row>
    <row r="24" spans="1:45">
      <c r="A24" s="580" t="str">
        <f t="shared" si="1"/>
        <v>Development Manager??? (alexi?)</v>
      </c>
      <c r="B24" s="607" t="s">
        <v>17</v>
      </c>
      <c r="C24" s="607" t="s">
        <v>1066</v>
      </c>
      <c r="D24" s="607" t="s">
        <v>1091</v>
      </c>
      <c r="E24" s="605"/>
      <c r="F24" s="604">
        <v>0</v>
      </c>
      <c r="G24" s="604">
        <v>0</v>
      </c>
      <c r="H24" s="604">
        <v>0</v>
      </c>
      <c r="I24" s="604">
        <v>0</v>
      </c>
      <c r="J24" s="604">
        <v>0</v>
      </c>
      <c r="K24" s="604">
        <v>0</v>
      </c>
      <c r="L24" s="604">
        <v>0</v>
      </c>
      <c r="M24" s="604">
        <v>0</v>
      </c>
      <c r="N24" s="601">
        <v>0</v>
      </c>
      <c r="O24" s="601">
        <v>0</v>
      </c>
      <c r="P24" s="601">
        <v>0</v>
      </c>
      <c r="Q24" s="601">
        <v>0</v>
      </c>
      <c r="R24" s="605"/>
      <c r="S24" s="624"/>
      <c r="T24" s="624"/>
      <c r="U24" s="580"/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  <c r="AJ24" s="580"/>
      <c r="AK24" s="580"/>
      <c r="AL24" s="580"/>
      <c r="AM24" s="580"/>
      <c r="AN24" s="580"/>
      <c r="AO24" s="580"/>
      <c r="AP24" s="580"/>
      <c r="AQ24" s="580"/>
      <c r="AR24" s="580"/>
      <c r="AS24" s="580"/>
    </row>
    <row r="25" spans="1:45">
      <c r="A25" s="580" t="str">
        <f t="shared" si="1"/>
        <v>Banker (tBD)</v>
      </c>
      <c r="B25" s="607" t="s">
        <v>17</v>
      </c>
      <c r="C25" s="607" t="s">
        <v>1066</v>
      </c>
      <c r="D25" s="607" t="s">
        <v>1093</v>
      </c>
      <c r="E25" s="605"/>
      <c r="F25" s="604">
        <v>0</v>
      </c>
      <c r="G25" s="604">
        <v>0</v>
      </c>
      <c r="H25" s="604">
        <v>0</v>
      </c>
      <c r="I25" s="604">
        <v>50000</v>
      </c>
      <c r="J25" s="604">
        <v>0</v>
      </c>
      <c r="K25" s="604">
        <v>0</v>
      </c>
      <c r="L25" s="604">
        <v>0</v>
      </c>
      <c r="M25" s="604">
        <v>100000</v>
      </c>
      <c r="N25" s="601">
        <v>0</v>
      </c>
      <c r="O25" s="601">
        <v>0</v>
      </c>
      <c r="P25" s="601">
        <v>0</v>
      </c>
      <c r="Q25" s="601">
        <v>0</v>
      </c>
      <c r="R25" s="605"/>
      <c r="S25" s="624"/>
      <c r="T25" s="624"/>
      <c r="U25" s="580"/>
      <c r="V25" s="580"/>
      <c r="W25" s="580"/>
      <c r="X25" s="580"/>
      <c r="Y25" s="580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  <c r="AJ25" s="580"/>
      <c r="AK25" s="580"/>
      <c r="AL25" s="580"/>
      <c r="AM25" s="580"/>
      <c r="AN25" s="580"/>
      <c r="AO25" s="580"/>
      <c r="AP25" s="580"/>
      <c r="AQ25" s="580"/>
      <c r="AR25" s="580"/>
      <c r="AS25" s="580"/>
    </row>
    <row r="26" spans="1:45">
      <c r="A26" s="580" t="str">
        <f t="shared" si="1"/>
        <v>Senior Design Manager (AM)</v>
      </c>
      <c r="B26" s="607" t="s">
        <v>17</v>
      </c>
      <c r="C26" s="607" t="s">
        <v>1066</v>
      </c>
      <c r="D26" s="607" t="s">
        <v>1095</v>
      </c>
      <c r="E26" s="605"/>
      <c r="F26" s="604"/>
      <c r="G26" s="604"/>
      <c r="H26" s="604"/>
      <c r="I26" s="604">
        <v>65000</v>
      </c>
      <c r="J26" s="604">
        <v>0</v>
      </c>
      <c r="K26" s="604">
        <v>0</v>
      </c>
      <c r="L26" s="604">
        <v>0</v>
      </c>
      <c r="M26" s="604">
        <v>55000</v>
      </c>
      <c r="N26" s="601">
        <v>55000</v>
      </c>
      <c r="O26" s="601">
        <v>55000</v>
      </c>
      <c r="P26" s="601">
        <v>55000</v>
      </c>
      <c r="Q26" s="601">
        <v>55000</v>
      </c>
      <c r="R26" s="605"/>
      <c r="S26" s="624"/>
      <c r="T26" s="624"/>
      <c r="U26" s="580"/>
      <c r="V26" s="580"/>
      <c r="W26" s="580"/>
      <c r="X26" s="580"/>
      <c r="Y26" s="580"/>
      <c r="Z26" s="580"/>
      <c r="AA26" s="580"/>
      <c r="AB26" s="580"/>
      <c r="AC26" s="580"/>
      <c r="AD26" s="580"/>
      <c r="AE26" s="580"/>
      <c r="AF26" s="580"/>
      <c r="AG26" s="580"/>
      <c r="AH26" s="580"/>
      <c r="AI26" s="580"/>
      <c r="AJ26" s="580"/>
      <c r="AK26" s="580"/>
      <c r="AL26" s="580"/>
      <c r="AM26" s="580"/>
      <c r="AN26" s="580"/>
      <c r="AO26" s="580"/>
      <c r="AP26" s="580"/>
      <c r="AQ26" s="580"/>
      <c r="AR26" s="580"/>
      <c r="AS26" s="580"/>
    </row>
    <row r="27" spans="1:45">
      <c r="A27" s="580" t="str">
        <f t="shared" si="1"/>
        <v>Design Manager (AL) (gone)</v>
      </c>
      <c r="B27" s="607" t="s">
        <v>17</v>
      </c>
      <c r="C27" s="607" t="s">
        <v>1066</v>
      </c>
      <c r="D27" s="607" t="s">
        <v>1097</v>
      </c>
      <c r="E27" s="605"/>
      <c r="F27" s="604">
        <v>0</v>
      </c>
      <c r="G27" s="604">
        <v>0</v>
      </c>
      <c r="H27" s="604">
        <v>0</v>
      </c>
      <c r="I27" s="604">
        <v>25000</v>
      </c>
      <c r="J27" s="604">
        <v>0</v>
      </c>
      <c r="K27" s="604">
        <v>0</v>
      </c>
      <c r="L27" s="604">
        <v>0</v>
      </c>
      <c r="M27" s="604">
        <v>0</v>
      </c>
      <c r="N27" s="601">
        <v>0</v>
      </c>
      <c r="O27" s="601">
        <v>0</v>
      </c>
      <c r="P27" s="601">
        <v>0</v>
      </c>
      <c r="Q27" s="601">
        <v>0</v>
      </c>
      <c r="R27" s="605"/>
      <c r="S27" s="624"/>
      <c r="T27" s="624"/>
      <c r="U27" s="580"/>
      <c r="V27" s="580"/>
      <c r="W27" s="580"/>
      <c r="X27" s="580"/>
      <c r="Y27" s="580"/>
      <c r="Z27" s="580"/>
      <c r="AA27" s="580"/>
      <c r="AB27" s="580"/>
      <c r="AC27" s="580"/>
      <c r="AD27" s="580"/>
      <c r="AE27" s="580"/>
      <c r="AF27" s="580"/>
      <c r="AG27" s="580"/>
      <c r="AH27" s="580"/>
      <c r="AI27" s="580"/>
      <c r="AJ27" s="580"/>
      <c r="AK27" s="580"/>
      <c r="AL27" s="580"/>
      <c r="AM27" s="580"/>
      <c r="AN27" s="580"/>
      <c r="AO27" s="580"/>
      <c r="AP27" s="580"/>
      <c r="AQ27" s="580"/>
      <c r="AR27" s="580"/>
      <c r="AS27" s="580"/>
    </row>
    <row r="28" spans="1:45">
      <c r="A28" s="580" t="str">
        <f t="shared" si="1"/>
        <v>new design manager (TBD)</v>
      </c>
      <c r="B28" s="607" t="s">
        <v>17</v>
      </c>
      <c r="C28" s="607" t="s">
        <v>1066</v>
      </c>
      <c r="D28" s="607" t="s">
        <v>1099</v>
      </c>
      <c r="E28" s="605"/>
      <c r="F28" s="604">
        <v>0</v>
      </c>
      <c r="G28" s="604">
        <v>0</v>
      </c>
      <c r="H28" s="604">
        <v>0</v>
      </c>
      <c r="I28" s="604">
        <v>0</v>
      </c>
      <c r="J28" s="604">
        <v>0</v>
      </c>
      <c r="K28" s="604">
        <v>0</v>
      </c>
      <c r="L28" s="604">
        <v>0</v>
      </c>
      <c r="M28" s="604">
        <v>11250</v>
      </c>
      <c r="N28" s="601">
        <v>22500</v>
      </c>
      <c r="O28" s="601">
        <v>22500</v>
      </c>
      <c r="P28" s="601">
        <v>22500</v>
      </c>
      <c r="Q28" s="601">
        <v>22500</v>
      </c>
      <c r="R28" s="605"/>
      <c r="S28" s="624"/>
      <c r="T28" s="624"/>
      <c r="U28" s="580"/>
      <c r="V28" s="580"/>
      <c r="W28" s="580"/>
      <c r="X28" s="580"/>
      <c r="Y28" s="580"/>
      <c r="Z28" s="580"/>
      <c r="AA28" s="580"/>
      <c r="AB28" s="580"/>
      <c r="AC28" s="580"/>
      <c r="AD28" s="580"/>
      <c r="AE28" s="580"/>
      <c r="AF28" s="580"/>
      <c r="AG28" s="580"/>
      <c r="AH28" s="580"/>
      <c r="AI28" s="580"/>
      <c r="AJ28" s="580"/>
      <c r="AK28" s="580"/>
      <c r="AL28" s="580"/>
      <c r="AM28" s="580"/>
      <c r="AN28" s="580"/>
      <c r="AO28" s="580"/>
      <c r="AP28" s="580"/>
      <c r="AQ28" s="580"/>
      <c r="AR28" s="580"/>
      <c r="AS28" s="580"/>
    </row>
    <row r="29" spans="1:45" ht="14.65" customHeight="1">
      <c r="A29" s="580" t="str">
        <f t="shared" si="1"/>
        <v>FF&amp;E (SB)</v>
      </c>
      <c r="B29" s="607" t="s">
        <v>17</v>
      </c>
      <c r="C29" s="607" t="s">
        <v>1066</v>
      </c>
      <c r="D29" s="607" t="s">
        <v>1101</v>
      </c>
      <c r="E29" s="605"/>
      <c r="F29" s="604">
        <v>0</v>
      </c>
      <c r="G29" s="604">
        <v>0</v>
      </c>
      <c r="H29" s="604">
        <v>0</v>
      </c>
      <c r="I29" s="604">
        <v>0</v>
      </c>
      <c r="J29" s="604">
        <v>0</v>
      </c>
      <c r="K29" s="604">
        <v>0</v>
      </c>
      <c r="L29" s="604">
        <v>0</v>
      </c>
      <c r="M29" s="604">
        <v>15000</v>
      </c>
      <c r="N29" s="601">
        <v>15000</v>
      </c>
      <c r="O29" s="601">
        <v>15000</v>
      </c>
      <c r="P29" s="601">
        <v>15000</v>
      </c>
      <c r="Q29" s="601">
        <v>15000</v>
      </c>
      <c r="R29" s="605"/>
      <c r="S29" s="624"/>
      <c r="T29" s="624"/>
      <c r="U29" s="580"/>
      <c r="V29" s="580"/>
      <c r="W29" s="580"/>
      <c r="X29" s="580"/>
      <c r="Y29" s="580"/>
      <c r="Z29" s="580"/>
      <c r="AA29" s="580"/>
      <c r="AB29" s="580"/>
      <c r="AC29" s="580"/>
      <c r="AD29" s="580"/>
      <c r="AE29" s="580"/>
      <c r="AF29" s="580"/>
      <c r="AG29" s="580"/>
      <c r="AH29" s="580"/>
      <c r="AI29" s="580"/>
      <c r="AJ29" s="580"/>
      <c r="AK29" s="580"/>
      <c r="AL29" s="580"/>
      <c r="AM29" s="580"/>
      <c r="AN29" s="580"/>
      <c r="AO29" s="580"/>
      <c r="AP29" s="580"/>
      <c r="AQ29" s="580"/>
      <c r="AR29" s="580"/>
      <c r="AS29" s="580"/>
    </row>
    <row r="30" spans="1:45" ht="15" customHeight="1">
      <c r="A30" s="580" t="str">
        <f t="shared" si="1"/>
        <v>Senior Financial Analyst (KS)</v>
      </c>
      <c r="B30" s="607" t="s">
        <v>17</v>
      </c>
      <c r="C30" s="607" t="s">
        <v>1066</v>
      </c>
      <c r="D30" s="607" t="s">
        <v>1103</v>
      </c>
      <c r="E30" s="605"/>
      <c r="F30" s="604">
        <v>0</v>
      </c>
      <c r="G30" s="604">
        <v>0</v>
      </c>
      <c r="H30" s="604">
        <v>0</v>
      </c>
      <c r="I30" s="604">
        <v>50000</v>
      </c>
      <c r="J30" s="604"/>
      <c r="K30" s="604"/>
      <c r="L30" s="604"/>
      <c r="M30" s="604">
        <v>50000</v>
      </c>
      <c r="N30" s="601">
        <v>50000</v>
      </c>
      <c r="O30" s="601">
        <v>50000</v>
      </c>
      <c r="P30" s="601">
        <v>50000</v>
      </c>
      <c r="Q30" s="601">
        <v>50000</v>
      </c>
      <c r="R30" s="605"/>
      <c r="S30" s="624"/>
      <c r="T30" s="624"/>
      <c r="U30" s="580"/>
      <c r="V30" s="580"/>
      <c r="W30" s="580"/>
      <c r="X30" s="580"/>
      <c r="Y30" s="580"/>
      <c r="Z30" s="580"/>
      <c r="AA30" s="580"/>
      <c r="AB30" s="580"/>
      <c r="AC30" s="580"/>
      <c r="AD30" s="580"/>
      <c r="AE30" s="580"/>
      <c r="AF30" s="580"/>
      <c r="AG30" s="580"/>
      <c r="AH30" s="580"/>
      <c r="AI30" s="580"/>
      <c r="AJ30" s="580"/>
      <c r="AK30" s="580"/>
      <c r="AL30" s="580"/>
      <c r="AM30" s="580"/>
      <c r="AN30" s="580"/>
      <c r="AO30" s="580"/>
      <c r="AP30" s="580"/>
      <c r="AQ30" s="580"/>
      <c r="AR30" s="580"/>
      <c r="AS30" s="580"/>
    </row>
    <row r="31" spans="1:45" ht="14.65" customHeight="1">
      <c r="A31" s="627" t="s">
        <v>259</v>
      </c>
      <c r="B31" s="580"/>
      <c r="C31" s="580"/>
      <c r="D31" s="580"/>
      <c r="E31" s="605"/>
      <c r="F31" s="601">
        <v>0</v>
      </c>
      <c r="G31" s="601">
        <v>0</v>
      </c>
      <c r="H31" s="601">
        <v>0</v>
      </c>
      <c r="I31" s="601">
        <v>1142500</v>
      </c>
      <c r="J31" s="601">
        <v>0</v>
      </c>
      <c r="K31" s="601">
        <v>0</v>
      </c>
      <c r="L31" s="601">
        <v>0</v>
      </c>
      <c r="M31" s="601">
        <v>897500</v>
      </c>
      <c r="N31" s="601">
        <v>797500</v>
      </c>
      <c r="O31" s="601">
        <v>797500</v>
      </c>
      <c r="P31" s="601">
        <v>797500</v>
      </c>
      <c r="Q31" s="601">
        <v>797500</v>
      </c>
      <c r="R31" s="605"/>
      <c r="S31" s="624"/>
      <c r="T31" s="624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  <c r="AJ31" s="580"/>
      <c r="AK31" s="580"/>
      <c r="AL31" s="580"/>
      <c r="AM31" s="580"/>
      <c r="AN31" s="580"/>
      <c r="AO31" s="580"/>
      <c r="AP31" s="580"/>
      <c r="AQ31" s="580"/>
      <c r="AR31" s="580"/>
      <c r="AS31" s="580"/>
    </row>
    <row r="32" spans="1:45">
      <c r="A32" s="628"/>
      <c r="B32" s="580"/>
      <c r="C32" s="580"/>
      <c r="D32" s="580"/>
      <c r="E32" s="605"/>
      <c r="F32" s="605"/>
      <c r="G32" s="605"/>
      <c r="H32" s="605"/>
      <c r="I32" s="605"/>
      <c r="J32" s="605"/>
      <c r="K32" s="605"/>
      <c r="L32" s="605"/>
      <c r="M32" s="605"/>
      <c r="N32" s="605"/>
      <c r="O32" s="605"/>
      <c r="P32" s="605"/>
      <c r="Q32" s="605"/>
      <c r="R32" s="611"/>
      <c r="S32" s="624"/>
      <c r="T32" s="624"/>
      <c r="U32" s="580"/>
      <c r="V32" s="580"/>
      <c r="W32" s="580"/>
      <c r="X32" s="580"/>
      <c r="Y32" s="580"/>
      <c r="Z32" s="580"/>
      <c r="AA32" s="580"/>
      <c r="AB32" s="580"/>
      <c r="AC32" s="580"/>
      <c r="AD32" s="630"/>
      <c r="AE32" s="580"/>
      <c r="AF32" s="580"/>
      <c r="AG32" s="580"/>
      <c r="AH32" s="580"/>
      <c r="AI32" s="580"/>
      <c r="AJ32" s="580"/>
      <c r="AK32" s="580"/>
      <c r="AL32" s="580"/>
      <c r="AM32" s="580"/>
      <c r="AN32" s="580"/>
      <c r="AO32" s="580"/>
      <c r="AP32" s="580"/>
      <c r="AQ32" s="580"/>
      <c r="AR32" s="580"/>
      <c r="AS32" s="580"/>
    </row>
    <row r="33" spans="1:45" ht="14.65" customHeight="1">
      <c r="A33" s="629" t="s">
        <v>1081</v>
      </c>
      <c r="B33" s="583"/>
      <c r="C33" s="583"/>
      <c r="D33" s="583"/>
      <c r="E33" s="583"/>
      <c r="F33" s="583"/>
      <c r="G33" s="583"/>
      <c r="H33" s="583"/>
      <c r="I33" s="583"/>
      <c r="J33" s="583"/>
      <c r="K33" s="583"/>
      <c r="L33" s="583"/>
      <c r="M33" s="583"/>
      <c r="N33" s="583"/>
      <c r="O33" s="583"/>
      <c r="P33" s="583"/>
      <c r="Q33" s="583"/>
      <c r="R33" s="583"/>
      <c r="S33" s="619"/>
      <c r="T33" s="619"/>
      <c r="U33" s="583"/>
      <c r="V33" s="583"/>
      <c r="W33" s="583"/>
      <c r="X33" s="583"/>
      <c r="Y33" s="583"/>
      <c r="Z33" s="583"/>
      <c r="AA33" s="583"/>
      <c r="AB33" s="583"/>
      <c r="AC33" s="583"/>
      <c r="AD33" s="583"/>
      <c r="AE33" s="583"/>
      <c r="AF33" s="583"/>
      <c r="AG33" s="583"/>
      <c r="AH33" s="583"/>
      <c r="AI33" s="583"/>
      <c r="AJ33" s="583"/>
      <c r="AK33" s="583"/>
      <c r="AL33" s="583"/>
      <c r="AM33" s="583"/>
      <c r="AN33" s="583"/>
      <c r="AO33" s="583"/>
      <c r="AP33" s="583"/>
      <c r="AQ33" s="583"/>
      <c r="AR33" s="583"/>
      <c r="AS33" s="583"/>
    </row>
    <row r="34" spans="1:45">
      <c r="A34" s="580" t="str">
        <f t="shared" ref="A34:A44" si="2">+A6</f>
        <v>HODS  (RB)</v>
      </c>
      <c r="B34" s="607" t="s">
        <v>805</v>
      </c>
      <c r="C34" s="607" t="s">
        <v>1067</v>
      </c>
      <c r="D34" s="607" t="s">
        <v>1083</v>
      </c>
      <c r="E34" s="632"/>
      <c r="F34" s="631">
        <f>+F6*(1+'.c12_inputs.hr'!$E$15)+(F20*(1+'.c12_inputs.hr'!$E$16))</f>
        <v>100799.99999999999</v>
      </c>
      <c r="G34" s="631">
        <f>+G6*(1+'.c12_inputs.hr'!$E$15)+(G20*(1+'.c12_inputs.hr'!$E$16))</f>
        <v>100799.99999999999</v>
      </c>
      <c r="H34" s="631">
        <f>+H6*(1+'.c12_inputs.hr'!$E$15)+(H20*(1+'.c12_inputs.hr'!$E$16))</f>
        <v>100799.99999999999</v>
      </c>
      <c r="I34" s="631">
        <f>+I6*(1+'.c12_inputs.hr'!$E$15)+(I20*(1+'.c12_inputs.hr'!$E$16))</f>
        <v>812515</v>
      </c>
      <c r="J34" s="631">
        <f>+J6*(1+'.c12_inputs.hr'!$E$15)+(J20*(1+'.c12_inputs.hr'!$E$16))</f>
        <v>215999.99999999997</v>
      </c>
      <c r="K34" s="631">
        <f>+K6*(1+'.c12_inputs.hr'!$E$15)+(K20*(1+'.c12_inputs.hr'!$E$16))</f>
        <v>215999.99999999997</v>
      </c>
      <c r="L34" s="631">
        <f>+L6*(1+'.c12_inputs.hr'!$E$15)+(L20*(1+'.c12_inputs.hr'!$E$16))</f>
        <v>215999.99999999997</v>
      </c>
      <c r="M34" s="631">
        <f>+M6*(1+'.c12_inputs.hr'!$E$15)+(M20*(1+'.c12_inputs.hr'!$E$16))</f>
        <v>475749.99999999994</v>
      </c>
      <c r="N34" s="632">
        <f>+N6*(1+'.c12_inputs.hr'!$E$15)+(N20*(1+'.c12_inputs.hr'!$E$16))</f>
        <v>1123749.9999999998</v>
      </c>
      <c r="O34" s="632">
        <f>+O6*(1+'.c12_inputs.hr'!$E$15)+(O20*(1+'.c12_inputs.hr'!$E$16))</f>
        <v>1123749.9999999998</v>
      </c>
      <c r="P34" s="632">
        <f>+P6*(1+'.c12_inputs.hr'!$E$15)+(P20*(1+'.c12_inputs.hr'!$E$16))</f>
        <v>1123749.9999999998</v>
      </c>
      <c r="Q34" s="632">
        <f>+Q6*(1+'.c12_inputs.hr'!$E$15)+(Q20*(1+'.c12_inputs.hr'!$E$16))</f>
        <v>1123749.9999999998</v>
      </c>
      <c r="R34" s="632"/>
      <c r="S34" s="632"/>
      <c r="T34" s="624"/>
      <c r="U34" s="580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580"/>
      <c r="AJ34" s="580"/>
      <c r="AK34" s="580"/>
      <c r="AL34" s="580"/>
      <c r="AM34" s="580"/>
      <c r="AN34" s="580"/>
      <c r="AO34" s="580"/>
      <c r="AP34" s="580"/>
      <c r="AQ34" s="580"/>
      <c r="AR34" s="580"/>
      <c r="AS34" s="580"/>
    </row>
    <row r="35" spans="1:45">
      <c r="A35" s="580" t="str">
        <f t="shared" si="2"/>
        <v>Project Executive  (LS) (100%)</v>
      </c>
      <c r="B35" s="607" t="s">
        <v>805</v>
      </c>
      <c r="C35" s="607" t="s">
        <v>1067</v>
      </c>
      <c r="D35" s="607" t="s">
        <v>1085</v>
      </c>
      <c r="E35" s="632"/>
      <c r="F35" s="631">
        <f>+F7*(1+'.c12_inputs.hr'!$E$15)+(F21*(1+'.c12_inputs.hr'!$E$16))</f>
        <v>53279.999999999993</v>
      </c>
      <c r="G35" s="631">
        <f>+G7*(1+'.c12_inputs.hr'!$E$15)+(G21*(1+'.c12_inputs.hr'!$E$16))</f>
        <v>53279.999999999993</v>
      </c>
      <c r="H35" s="631">
        <f>+H7*(1+'.c12_inputs.hr'!$E$15)+(H21*(1+'.c12_inputs.hr'!$E$16))</f>
        <v>53279.999999999993</v>
      </c>
      <c r="I35" s="631">
        <f>+I7*(1+'.c12_inputs.hr'!$E$15)+(I21*(1+'.c12_inputs.hr'!$E$16))</f>
        <v>74060</v>
      </c>
      <c r="J35" s="631">
        <f>+J7*(1+'.c12_inputs.hr'!$E$15)+(J21*(1+'.c12_inputs.hr'!$E$16))</f>
        <v>53279.999999999993</v>
      </c>
      <c r="K35" s="631">
        <f>+K7*(1+'.c12_inputs.hr'!$E$15)+(K21*(1+'.c12_inputs.hr'!$E$16))</f>
        <v>53279.999999999993</v>
      </c>
      <c r="L35" s="631">
        <f>+L7*(1+'.c12_inputs.hr'!$E$15)+(L21*(1+'.c12_inputs.hr'!$E$16))</f>
        <v>53279.999999999993</v>
      </c>
      <c r="M35" s="631">
        <f>+M7*(1+'.c12_inputs.hr'!$E$15)+(M21*(1+'.c12_inputs.hr'!$E$16))</f>
        <v>68864.999999999985</v>
      </c>
      <c r="N35" s="632">
        <f>+N7*(1+'.c12_inputs.hr'!$E$15)+(N21*(1+'.c12_inputs.hr'!$E$16))</f>
        <v>228704.99999999997</v>
      </c>
      <c r="O35" s="632">
        <f>+O7*(1+'.c12_inputs.hr'!$E$15)+(O21*(1+'.c12_inputs.hr'!$E$16))</f>
        <v>228704.99999999997</v>
      </c>
      <c r="P35" s="632">
        <f>+P7*(1+'.c12_inputs.hr'!$E$15)+(P21*(1+'.c12_inputs.hr'!$E$16))</f>
        <v>228704.99999999997</v>
      </c>
      <c r="Q35" s="632">
        <f>+Q7*(1+'.c12_inputs.hr'!$E$15)+(Q21*(1+'.c12_inputs.hr'!$E$16))</f>
        <v>228704.99999999997</v>
      </c>
      <c r="R35" s="632"/>
      <c r="S35" s="632"/>
      <c r="T35" s="624"/>
      <c r="U35" s="580"/>
      <c r="V35" s="580"/>
      <c r="W35" s="580"/>
      <c r="X35" s="580"/>
      <c r="Y35" s="580"/>
      <c r="Z35" s="580"/>
      <c r="AA35" s="580"/>
      <c r="AB35" s="580"/>
      <c r="AC35" s="580"/>
      <c r="AD35" s="580"/>
      <c r="AE35" s="580"/>
      <c r="AF35" s="580"/>
      <c r="AG35" s="580"/>
      <c r="AH35" s="580"/>
      <c r="AI35" s="580"/>
      <c r="AJ35" s="580"/>
      <c r="AK35" s="580"/>
      <c r="AL35" s="580"/>
      <c r="AM35" s="580"/>
      <c r="AN35" s="580"/>
      <c r="AO35" s="580"/>
      <c r="AP35" s="580"/>
      <c r="AQ35" s="580"/>
      <c r="AR35" s="580"/>
      <c r="AS35" s="580"/>
    </row>
    <row r="36" spans="1:45">
      <c r="A36" s="580" t="str">
        <f t="shared" si="2"/>
        <v>Project Manager (BD) (100%)</v>
      </c>
      <c r="B36" s="607" t="s">
        <v>805</v>
      </c>
      <c r="C36" s="607" t="s">
        <v>1067</v>
      </c>
      <c r="D36" s="607" t="s">
        <v>1087</v>
      </c>
      <c r="E36" s="632"/>
      <c r="F36" s="631">
        <f>+F8*(1+'.c12_inputs.hr'!$E$15)+(F22*(1+'.c12_inputs.hr'!$E$16))</f>
        <v>31679.999999999996</v>
      </c>
      <c r="G36" s="631">
        <f>+G8*(1+'.c12_inputs.hr'!$E$15)+(G22*(1+'.c12_inputs.hr'!$E$16))</f>
        <v>31679.999999999996</v>
      </c>
      <c r="H36" s="631">
        <f>+H8*(1+'.c12_inputs.hr'!$E$15)+(H22*(1+'.c12_inputs.hr'!$E$16))</f>
        <v>31679.999999999996</v>
      </c>
      <c r="I36" s="631">
        <f>+I8*(1+'.c12_inputs.hr'!$E$15)+(I22*(1+'.c12_inputs.hr'!$E$16))</f>
        <v>49862.5</v>
      </c>
      <c r="J36" s="631">
        <f>+J8*(1+'.c12_inputs.hr'!$E$15)+(J22*(1+'.c12_inputs.hr'!$E$16))</f>
        <v>32399.999999999996</v>
      </c>
      <c r="K36" s="631">
        <f>+K8*(1+'.c12_inputs.hr'!$E$15)+(K22*(1+'.c12_inputs.hr'!$E$16))</f>
        <v>32399.999999999996</v>
      </c>
      <c r="L36" s="631">
        <f>+L8*(1+'.c12_inputs.hr'!$E$15)+(L22*(1+'.c12_inputs.hr'!$E$16))</f>
        <v>32399.999999999996</v>
      </c>
      <c r="M36" s="631">
        <f>+M8*(1+'.c12_inputs.hr'!$E$15)+(M22*(1+'.c12_inputs.hr'!$E$16))</f>
        <v>47984.999999999993</v>
      </c>
      <c r="N36" s="632">
        <f>+N8*(1+'.c12_inputs.hr'!$E$15)+(N22*(1+'.c12_inputs.hr'!$E$16))</f>
        <v>145184.99999999997</v>
      </c>
      <c r="O36" s="632">
        <f>+O8*(1+'.c12_inputs.hr'!$E$15)+(O22*(1+'.c12_inputs.hr'!$E$16))</f>
        <v>145184.99999999997</v>
      </c>
      <c r="P36" s="632">
        <f>+P8*(1+'.c12_inputs.hr'!$E$15)+(P22*(1+'.c12_inputs.hr'!$E$16))</f>
        <v>145184.99999999997</v>
      </c>
      <c r="Q36" s="632">
        <f>+Q8*(1+'.c12_inputs.hr'!$E$15)+(Q22*(1+'.c12_inputs.hr'!$E$16))</f>
        <v>145184.99999999997</v>
      </c>
      <c r="R36" s="632"/>
      <c r="S36" s="632"/>
      <c r="T36" s="624"/>
      <c r="U36" s="580"/>
      <c r="V36" s="580"/>
      <c r="W36" s="580"/>
      <c r="X36" s="580"/>
      <c r="Y36" s="580"/>
      <c r="Z36" s="580"/>
      <c r="AA36" s="580"/>
      <c r="AB36" s="580"/>
      <c r="AC36" s="580"/>
      <c r="AD36" s="580"/>
      <c r="AE36" s="580"/>
      <c r="AF36" s="580"/>
      <c r="AG36" s="580"/>
      <c r="AH36" s="580"/>
      <c r="AI36" s="580"/>
      <c r="AJ36" s="580"/>
      <c r="AK36" s="580"/>
      <c r="AL36" s="580"/>
      <c r="AM36" s="580"/>
      <c r="AN36" s="580"/>
      <c r="AO36" s="580"/>
      <c r="AP36" s="580"/>
      <c r="AQ36" s="580"/>
      <c r="AR36" s="580"/>
      <c r="AS36" s="580"/>
    </row>
    <row r="37" spans="1:45">
      <c r="A37" s="580" t="str">
        <f t="shared" si="2"/>
        <v>Counsel (KT)</v>
      </c>
      <c r="B37" s="607" t="s">
        <v>805</v>
      </c>
      <c r="C37" s="607" t="s">
        <v>1067</v>
      </c>
      <c r="D37" s="607" t="s">
        <v>1089</v>
      </c>
      <c r="E37" s="632"/>
      <c r="F37" s="631">
        <f>+F9*(1+'.c12_inputs.hr'!$E$15)+(F23*(1+'.c12_inputs.hr'!$E$16))</f>
        <v>72000</v>
      </c>
      <c r="G37" s="631">
        <f>+G9*(1+'.c12_inputs.hr'!$E$15)+(G23*(1+'.c12_inputs.hr'!$E$16))</f>
        <v>72000</v>
      </c>
      <c r="H37" s="631">
        <f>+H9*(1+'.c12_inputs.hr'!$E$15)+(H23*(1+'.c12_inputs.hr'!$E$16))</f>
        <v>72000</v>
      </c>
      <c r="I37" s="631">
        <f>+I9*(1+'.c12_inputs.hr'!$E$15)+(I23*(1+'.c12_inputs.hr'!$E$16))</f>
        <v>310970</v>
      </c>
      <c r="J37" s="631">
        <f>+J9*(1+'.c12_inputs.hr'!$E$15)+(J23*(1+'.c12_inputs.hr'!$E$16))</f>
        <v>74880</v>
      </c>
      <c r="K37" s="631">
        <f>+K9*(1+'.c12_inputs.hr'!$E$15)+(K23*(1+'.c12_inputs.hr'!$E$16))</f>
        <v>74880</v>
      </c>
      <c r="L37" s="631">
        <f>+L9*(1+'.c12_inputs.hr'!$E$15)+(L23*(1+'.c12_inputs.hr'!$E$16))</f>
        <v>74880</v>
      </c>
      <c r="M37" s="631">
        <f>+M9*(1+'.c12_inputs.hr'!$E$15)+(M23*(1+'.c12_inputs.hr'!$E$16))</f>
        <v>204755</v>
      </c>
      <c r="N37" s="632">
        <f>+N9*(1+'.c12_inputs.hr'!$E$15)+(N23*(1+'.c12_inputs.hr'!$E$16))</f>
        <v>429395</v>
      </c>
      <c r="O37" s="632">
        <f>+O9*(1+'.c12_inputs.hr'!$E$15)+(O23*(1+'.c12_inputs.hr'!$E$16))</f>
        <v>429395</v>
      </c>
      <c r="P37" s="632">
        <f>+P9*(1+'.c12_inputs.hr'!$E$15)+(P23*(1+'.c12_inputs.hr'!$E$16))</f>
        <v>429395</v>
      </c>
      <c r="Q37" s="632">
        <f>+Q9*(1+'.c12_inputs.hr'!$E$15)+(Q23*(1+'.c12_inputs.hr'!$E$16))</f>
        <v>429395</v>
      </c>
      <c r="R37" s="632"/>
      <c r="S37" s="632"/>
      <c r="T37" s="624"/>
      <c r="U37" s="580"/>
      <c r="V37" s="580"/>
      <c r="W37" s="580"/>
      <c r="X37" s="580"/>
      <c r="Y37" s="580"/>
      <c r="Z37" s="580"/>
      <c r="AA37" s="580"/>
      <c r="AB37" s="580"/>
      <c r="AC37" s="580"/>
      <c r="AD37" s="580"/>
      <c r="AE37" s="580"/>
      <c r="AF37" s="580"/>
      <c r="AG37" s="580"/>
      <c r="AH37" s="580"/>
      <c r="AI37" s="580"/>
      <c r="AJ37" s="580"/>
      <c r="AK37" s="580"/>
      <c r="AL37" s="580"/>
      <c r="AM37" s="580"/>
      <c r="AN37" s="580"/>
      <c r="AO37" s="580"/>
      <c r="AP37" s="580"/>
      <c r="AQ37" s="580"/>
      <c r="AR37" s="580"/>
      <c r="AS37" s="580"/>
    </row>
    <row r="38" spans="1:45">
      <c r="A38" s="580" t="str">
        <f t="shared" si="2"/>
        <v>Development Manager??? (alexi?)</v>
      </c>
      <c r="B38" s="607" t="s">
        <v>805</v>
      </c>
      <c r="C38" s="607" t="s">
        <v>1067</v>
      </c>
      <c r="D38" s="607" t="s">
        <v>1091</v>
      </c>
      <c r="E38" s="632"/>
      <c r="F38" s="631">
        <f>+F10*(1+'.c12_inputs.hr'!$E$15)+(F24*(1+'.c12_inputs.hr'!$E$16))</f>
        <v>50399.999999999993</v>
      </c>
      <c r="G38" s="631">
        <f>+G10*(1+'.c12_inputs.hr'!$E$15)+(G24*(1+'.c12_inputs.hr'!$E$16))</f>
        <v>50399.999999999993</v>
      </c>
      <c r="H38" s="631">
        <f>+H10*(1+'.c12_inputs.hr'!$E$15)+(H24*(1+'.c12_inputs.hr'!$E$16))</f>
        <v>50399.999999999993</v>
      </c>
      <c r="I38" s="631">
        <f>+I10*(1+'.c12_inputs.hr'!$E$15)+(I24*(1+'.c12_inputs.hr'!$E$16))</f>
        <v>0</v>
      </c>
      <c r="J38" s="631">
        <f>+J10*(1+'.c12_inputs.hr'!$E$15)+(J24*(1+'.c12_inputs.hr'!$E$16))</f>
        <v>0</v>
      </c>
      <c r="K38" s="631">
        <f>+K10*(1+'.c12_inputs.hr'!$E$15)+(K24*(1+'.c12_inputs.hr'!$E$16))</f>
        <v>0</v>
      </c>
      <c r="L38" s="631">
        <f>+L10*(1+'.c12_inputs.hr'!$E$15)+(L24*(1+'.c12_inputs.hr'!$E$16))</f>
        <v>0</v>
      </c>
      <c r="M38" s="631">
        <f>+M10*(1+'.c12_inputs.hr'!$E$15)+(M24*(1+'.c12_inputs.hr'!$E$16))</f>
        <v>0</v>
      </c>
      <c r="N38" s="632">
        <f>+N10*(1+'.c12_inputs.hr'!$E$15)+(N24*(1+'.c12_inputs.hr'!$E$16))</f>
        <v>0</v>
      </c>
      <c r="O38" s="632">
        <f>+O10*(1+'.c12_inputs.hr'!$E$15)+(O24*(1+'.c12_inputs.hr'!$E$16))</f>
        <v>0</v>
      </c>
      <c r="P38" s="632">
        <f>+P10*(1+'.c12_inputs.hr'!$E$15)+(P24*(1+'.c12_inputs.hr'!$E$16))</f>
        <v>0</v>
      </c>
      <c r="Q38" s="632">
        <f>+Q10*(1+'.c12_inputs.hr'!$E$15)+(Q24*(1+'.c12_inputs.hr'!$E$16))</f>
        <v>0</v>
      </c>
      <c r="R38" s="632"/>
      <c r="S38" s="632"/>
      <c r="T38" s="624"/>
      <c r="U38" s="580"/>
      <c r="V38" s="580"/>
      <c r="W38" s="580"/>
      <c r="X38" s="580"/>
      <c r="Y38" s="580"/>
      <c r="Z38" s="580"/>
      <c r="AA38" s="580"/>
      <c r="AB38" s="580"/>
      <c r="AC38" s="580"/>
      <c r="AD38" s="580"/>
      <c r="AE38" s="580"/>
      <c r="AF38" s="580"/>
      <c r="AG38" s="580"/>
      <c r="AH38" s="580"/>
      <c r="AI38" s="580"/>
      <c r="AJ38" s="580"/>
      <c r="AK38" s="580"/>
      <c r="AL38" s="580"/>
      <c r="AM38" s="580"/>
      <c r="AN38" s="580"/>
      <c r="AO38" s="580"/>
      <c r="AP38" s="580"/>
      <c r="AQ38" s="580"/>
      <c r="AR38" s="580"/>
      <c r="AS38" s="580"/>
    </row>
    <row r="39" spans="1:45">
      <c r="A39" s="580" t="str">
        <f t="shared" si="2"/>
        <v>Banker (tBD)</v>
      </c>
      <c r="B39" s="607" t="s">
        <v>805</v>
      </c>
      <c r="C39" s="607" t="s">
        <v>1067</v>
      </c>
      <c r="D39" s="607" t="s">
        <v>1093</v>
      </c>
      <c r="E39" s="632"/>
      <c r="F39" s="631">
        <f>+F11*(1+'.c12_inputs.hr'!$E$15)+(F25*(1+'.c12_inputs.hr'!$E$16))</f>
        <v>86400</v>
      </c>
      <c r="G39" s="631">
        <f>+G11*(1+'.c12_inputs.hr'!$E$15)+(G25*(1+'.c12_inputs.hr'!$E$16))</f>
        <v>86400</v>
      </c>
      <c r="H39" s="631">
        <f>+H11*(1+'.c12_inputs.hr'!$E$15)+(H25*(1+'.c12_inputs.hr'!$E$16))</f>
        <v>86400</v>
      </c>
      <c r="I39" s="631">
        <f>+I11*(1+'.c12_inputs.hr'!$E$15)+(I25*(1+'.c12_inputs.hr'!$E$16))</f>
        <v>138350</v>
      </c>
      <c r="J39" s="631">
        <f>+J11*(1+'.c12_inputs.hr'!$E$15)+(J25*(1+'.c12_inputs.hr'!$E$16))</f>
        <v>0</v>
      </c>
      <c r="K39" s="631">
        <f>+K11*(1+'.c12_inputs.hr'!$E$15)+(K25*(1+'.c12_inputs.hr'!$E$16))</f>
        <v>0</v>
      </c>
      <c r="L39" s="631">
        <f>+L11*(1+'.c12_inputs.hr'!$E$15)+(L25*(1+'.c12_inputs.hr'!$E$16))</f>
        <v>0</v>
      </c>
      <c r="M39" s="631">
        <f>+M11*(1+'.c12_inputs.hr'!$E$15)+(M25*(1+'.c12_inputs.hr'!$E$16))</f>
        <v>103899.99999999999</v>
      </c>
      <c r="N39" s="632">
        <f>+N11*(1+'.c12_inputs.hr'!$E$15)+(N25*(1+'.c12_inputs.hr'!$E$16))</f>
        <v>0</v>
      </c>
      <c r="O39" s="632">
        <f>+O11*(1+'.c12_inputs.hr'!$E$15)+(O25*(1+'.c12_inputs.hr'!$E$16))</f>
        <v>0</v>
      </c>
      <c r="P39" s="632">
        <f>+P11*(1+'.c12_inputs.hr'!$E$15)+(P25*(1+'.c12_inputs.hr'!$E$16))</f>
        <v>0</v>
      </c>
      <c r="Q39" s="632">
        <f>+Q11*(1+'.c12_inputs.hr'!$E$15)+(Q25*(1+'.c12_inputs.hr'!$E$16))</f>
        <v>0</v>
      </c>
      <c r="R39" s="632"/>
      <c r="S39" s="632"/>
      <c r="T39" s="624"/>
      <c r="U39" s="580"/>
      <c r="V39" s="580"/>
      <c r="W39" s="580"/>
      <c r="X39" s="580"/>
      <c r="Y39" s="580"/>
      <c r="Z39" s="580"/>
      <c r="AA39" s="580"/>
      <c r="AB39" s="580"/>
      <c r="AC39" s="580"/>
      <c r="AD39" s="580"/>
      <c r="AE39" s="580"/>
      <c r="AF39" s="580"/>
      <c r="AG39" s="580"/>
      <c r="AH39" s="580"/>
      <c r="AI39" s="580"/>
      <c r="AJ39" s="580"/>
      <c r="AK39" s="580"/>
      <c r="AL39" s="580"/>
      <c r="AM39" s="580"/>
      <c r="AN39" s="580"/>
      <c r="AO39" s="580"/>
      <c r="AP39" s="580"/>
      <c r="AQ39" s="580"/>
      <c r="AR39" s="580"/>
      <c r="AS39" s="580"/>
    </row>
    <row r="40" spans="1:45">
      <c r="A40" s="580" t="str">
        <f t="shared" si="2"/>
        <v>Senior Design Manager (AM)</v>
      </c>
      <c r="B40" s="607" t="s">
        <v>805</v>
      </c>
      <c r="C40" s="607" t="s">
        <v>1067</v>
      </c>
      <c r="D40" s="607" t="s">
        <v>1095</v>
      </c>
      <c r="E40" s="632"/>
      <c r="F40" s="631">
        <f>+F12*(1+'.c12_inputs.hr'!$E$15)+(F26*(1+'.c12_inputs.hr'!$E$16))</f>
        <v>51839.999999999993</v>
      </c>
      <c r="G40" s="631">
        <f>+G12*(1+'.c12_inputs.hr'!$E$15)+(G26*(1+'.c12_inputs.hr'!$E$16))</f>
        <v>51839.999999999993</v>
      </c>
      <c r="H40" s="631">
        <f>+H12*(1+'.c12_inputs.hr'!$E$15)+(H26*(1+'.c12_inputs.hr'!$E$16))</f>
        <v>51839.999999999993</v>
      </c>
      <c r="I40" s="631">
        <f>+I12*(1+'.c12_inputs.hr'!$E$15)+(I26*(1+'.c12_inputs.hr'!$E$16))</f>
        <v>119375</v>
      </c>
      <c r="J40" s="631">
        <f>+J12*(1+'.c12_inputs.hr'!$E$15)+(J26*(1+'.c12_inputs.hr'!$E$16))</f>
        <v>54719.999999999993</v>
      </c>
      <c r="K40" s="631">
        <f>+K12*(1+'.c12_inputs.hr'!$E$15)+(K26*(1+'.c12_inputs.hr'!$E$16))</f>
        <v>54719.999999999993</v>
      </c>
      <c r="L40" s="631">
        <f>+L12*(1+'.c12_inputs.hr'!$E$15)+(L26*(1+'.c12_inputs.hr'!$E$16))</f>
        <v>54719.999999999993</v>
      </c>
      <c r="M40" s="631">
        <f>+M12*(1+'.c12_inputs.hr'!$E$15)+(M26*(1+'.c12_inputs.hr'!$E$16))</f>
        <v>111864.99999999999</v>
      </c>
      <c r="N40" s="632">
        <f>+N12*(1+'.c12_inputs.hr'!$E$15)+(N26*(1+'.c12_inputs.hr'!$E$16))</f>
        <v>276024.99999999994</v>
      </c>
      <c r="O40" s="632">
        <f>+O12*(1+'.c12_inputs.hr'!$E$15)+(O26*(1+'.c12_inputs.hr'!$E$16))</f>
        <v>276024.99999999994</v>
      </c>
      <c r="P40" s="632">
        <f>+P12*(1+'.c12_inputs.hr'!$E$15)+(P26*(1+'.c12_inputs.hr'!$E$16))</f>
        <v>276024.99999999994</v>
      </c>
      <c r="Q40" s="632">
        <f>+Q12*(1+'.c12_inputs.hr'!$E$15)+(Q26*(1+'.c12_inputs.hr'!$E$16))</f>
        <v>276024.99999999994</v>
      </c>
      <c r="R40" s="632"/>
      <c r="S40" s="632"/>
      <c r="T40" s="624"/>
      <c r="U40" s="580"/>
      <c r="V40" s="580"/>
      <c r="W40" s="580"/>
      <c r="X40" s="580"/>
      <c r="Y40" s="580"/>
      <c r="Z40" s="580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  <c r="AK40" s="580"/>
      <c r="AL40" s="580"/>
      <c r="AM40" s="580"/>
      <c r="AN40" s="580"/>
      <c r="AO40" s="580"/>
      <c r="AP40" s="580"/>
      <c r="AQ40" s="580"/>
      <c r="AR40" s="580"/>
      <c r="AS40" s="580"/>
    </row>
    <row r="41" spans="1:45">
      <c r="A41" s="580" t="str">
        <f t="shared" si="2"/>
        <v>Design Manager (AL) (gone)</v>
      </c>
      <c r="B41" s="607" t="s">
        <v>805</v>
      </c>
      <c r="C41" s="607" t="s">
        <v>1067</v>
      </c>
      <c r="D41" s="607" t="s">
        <v>1097</v>
      </c>
      <c r="E41" s="632"/>
      <c r="F41" s="631">
        <f>+F13*(1+'.c12_inputs.hr'!$E$15)+(F27*(1+'.c12_inputs.hr'!$E$16))</f>
        <v>37440</v>
      </c>
      <c r="G41" s="631">
        <f>+G13*(1+'.c12_inputs.hr'!$E$15)+(G27*(1+'.c12_inputs.hr'!$E$16))</f>
        <v>37440</v>
      </c>
      <c r="H41" s="631">
        <f>+H13*(1+'.c12_inputs.hr'!$E$15)+(H27*(1+'.c12_inputs.hr'!$E$16))</f>
        <v>37440</v>
      </c>
      <c r="I41" s="631">
        <f>+I13*(1+'.c12_inputs.hr'!$E$15)+(I27*(1+'.c12_inputs.hr'!$E$16))</f>
        <v>63415</v>
      </c>
      <c r="J41" s="631">
        <f>+J13*(1+'.c12_inputs.hr'!$E$15)+(J27*(1+'.c12_inputs.hr'!$E$16))</f>
        <v>39600</v>
      </c>
      <c r="K41" s="631">
        <f>+K13*(1+'.c12_inputs.hr'!$E$15)+(K27*(1+'.c12_inputs.hr'!$E$16))</f>
        <v>0</v>
      </c>
      <c r="L41" s="631">
        <f>+L13*(1+'.c12_inputs.hr'!$E$15)+(L27*(1+'.c12_inputs.hr'!$E$16))</f>
        <v>0</v>
      </c>
      <c r="M41" s="631">
        <f>+M13*(1+'.c12_inputs.hr'!$E$15)+(M27*(1+'.c12_inputs.hr'!$E$16))</f>
        <v>0</v>
      </c>
      <c r="N41" s="632">
        <f>+N13*(1+'.c12_inputs.hr'!$E$15)+(N27*(1+'.c12_inputs.hr'!$E$16))</f>
        <v>0</v>
      </c>
      <c r="O41" s="632">
        <f>+O13*(1+'.c12_inputs.hr'!$E$15)+(O27*(1+'.c12_inputs.hr'!$E$16))</f>
        <v>0</v>
      </c>
      <c r="P41" s="632">
        <f>+P13*(1+'.c12_inputs.hr'!$E$15)+(P27*(1+'.c12_inputs.hr'!$E$16))</f>
        <v>0</v>
      </c>
      <c r="Q41" s="632">
        <f>+Q13*(1+'.c12_inputs.hr'!$E$15)+(Q27*(1+'.c12_inputs.hr'!$E$16))</f>
        <v>0</v>
      </c>
      <c r="R41" s="632"/>
      <c r="S41" s="632"/>
      <c r="T41" s="580"/>
      <c r="U41" s="580"/>
      <c r="V41" s="580"/>
      <c r="W41" s="580"/>
      <c r="X41" s="580"/>
      <c r="Y41" s="580"/>
      <c r="Z41" s="580"/>
      <c r="AA41" s="580"/>
      <c r="AB41" s="580"/>
      <c r="AC41" s="580"/>
      <c r="AD41" s="580"/>
      <c r="AE41" s="580"/>
      <c r="AF41" s="580"/>
      <c r="AG41" s="580"/>
      <c r="AH41" s="580"/>
      <c r="AI41" s="580"/>
      <c r="AJ41" s="580"/>
      <c r="AK41" s="580"/>
      <c r="AL41" s="580"/>
      <c r="AM41" s="580"/>
      <c r="AN41" s="580"/>
      <c r="AO41" s="580"/>
      <c r="AP41" s="580"/>
      <c r="AQ41" s="580"/>
      <c r="AR41" s="580"/>
      <c r="AS41" s="580"/>
    </row>
    <row r="42" spans="1:45">
      <c r="A42" s="580" t="str">
        <f t="shared" si="2"/>
        <v>new design manager (TBD)</v>
      </c>
      <c r="B42" s="607" t="s">
        <v>805</v>
      </c>
      <c r="C42" s="607" t="s">
        <v>1067</v>
      </c>
      <c r="D42" s="607" t="s">
        <v>1099</v>
      </c>
      <c r="E42" s="632"/>
      <c r="F42" s="631">
        <f>+F14*(1+'.c12_inputs.hr'!$E$15)+(F28*(1+'.c12_inputs.hr'!$E$16))</f>
        <v>0</v>
      </c>
      <c r="G42" s="631">
        <f>+G14*(1+'.c12_inputs.hr'!$E$15)+(G28*(1+'.c12_inputs.hr'!$E$16))</f>
        <v>0</v>
      </c>
      <c r="H42" s="631">
        <f>+H14*(1+'.c12_inputs.hr'!$E$15)+(H28*(1+'.c12_inputs.hr'!$E$16))</f>
        <v>0</v>
      </c>
      <c r="I42" s="631">
        <f>+I14*(1+'.c12_inputs.hr'!$E$15)+(I28*(1+'.c12_inputs.hr'!$E$16))</f>
        <v>0</v>
      </c>
      <c r="J42" s="631">
        <f>+J14*(1+'.c12_inputs.hr'!$E$15)+(J28*(1+'.c12_inputs.hr'!$E$16))</f>
        <v>0</v>
      </c>
      <c r="K42" s="631">
        <f>+K14*(1+'.c12_inputs.hr'!$E$15)+(K28*(1+'.c12_inputs.hr'!$E$16))</f>
        <v>0</v>
      </c>
      <c r="L42" s="631">
        <f>+L14*(1+'.c12_inputs.hr'!$E$15)+(L28*(1+'.c12_inputs.hr'!$E$16))</f>
        <v>39600</v>
      </c>
      <c r="M42" s="631">
        <f>+M14*(1+'.c12_inputs.hr'!$E$15)+(M28*(1+'.c12_inputs.hr'!$E$16))</f>
        <v>51288.75</v>
      </c>
      <c r="N42" s="632">
        <f>+N14*(1+'.c12_inputs.hr'!$E$15)+(N28*(1+'.c12_inputs.hr'!$E$16))</f>
        <v>181777.5</v>
      </c>
      <c r="O42" s="632">
        <f>+O14*(1+'.c12_inputs.hr'!$E$15)+(O28*(1+'.c12_inputs.hr'!$E$16))</f>
        <v>181777.5</v>
      </c>
      <c r="P42" s="632">
        <f>+P14*(1+'.c12_inputs.hr'!$E$15)+(P28*(1+'.c12_inputs.hr'!$E$16))</f>
        <v>181777.5</v>
      </c>
      <c r="Q42" s="632">
        <f>+Q14*(1+'.c12_inputs.hr'!$E$15)+(Q28*(1+'.c12_inputs.hr'!$E$16))</f>
        <v>181777.5</v>
      </c>
      <c r="R42" s="632"/>
      <c r="S42" s="632"/>
      <c r="T42" s="580"/>
      <c r="U42" s="580"/>
      <c r="V42" s="580"/>
      <c r="W42" s="580"/>
      <c r="X42" s="580"/>
      <c r="Y42" s="580"/>
      <c r="Z42" s="580"/>
      <c r="AA42" s="580"/>
      <c r="AB42" s="580"/>
      <c r="AC42" s="580"/>
      <c r="AD42" s="580"/>
      <c r="AE42" s="580"/>
      <c r="AF42" s="580"/>
      <c r="AG42" s="580"/>
      <c r="AH42" s="580"/>
      <c r="AI42" s="580"/>
      <c r="AJ42" s="580"/>
      <c r="AK42" s="580"/>
      <c r="AL42" s="580"/>
      <c r="AM42" s="580"/>
      <c r="AN42" s="580"/>
      <c r="AO42" s="580"/>
      <c r="AP42" s="580"/>
      <c r="AQ42" s="580"/>
      <c r="AR42" s="580"/>
      <c r="AS42" s="580"/>
    </row>
    <row r="43" spans="1:45">
      <c r="A43" s="580" t="str">
        <f t="shared" si="2"/>
        <v>FF&amp;E (SB)</v>
      </c>
      <c r="B43" s="607" t="s">
        <v>805</v>
      </c>
      <c r="C43" s="607" t="s">
        <v>1067</v>
      </c>
      <c r="D43" s="607" t="s">
        <v>1101</v>
      </c>
      <c r="E43" s="632"/>
      <c r="F43" s="631">
        <f>+F15*(1+'.c12_inputs.hr'!$E$15)+(F29*(1+'.c12_inputs.hr'!$E$16))</f>
        <v>31679.999999999996</v>
      </c>
      <c r="G43" s="631">
        <f>+G15*(1+'.c12_inputs.hr'!$E$15)+(G29*(1+'.c12_inputs.hr'!$E$16))</f>
        <v>31679.999999999996</v>
      </c>
      <c r="H43" s="631">
        <f>+H15*(1+'.c12_inputs.hr'!$E$15)+(H29*(1+'.c12_inputs.hr'!$E$16))</f>
        <v>31679.999999999996</v>
      </c>
      <c r="I43" s="631">
        <f>+I15*(1+'.c12_inputs.hr'!$E$15)+(I29*(1+'.c12_inputs.hr'!$E$16))</f>
        <v>31679.999999999996</v>
      </c>
      <c r="J43" s="631">
        <f>+J15*(1+'.c12_inputs.hr'!$E$15)+(J29*(1+'.c12_inputs.hr'!$E$16))</f>
        <v>31679.999999999996</v>
      </c>
      <c r="K43" s="631">
        <f>+K15*(1+'.c12_inputs.hr'!$E$15)+(K29*(1+'.c12_inputs.hr'!$E$16))</f>
        <v>31679.999999999996</v>
      </c>
      <c r="L43" s="631">
        <f>+L15*(1+'.c12_inputs.hr'!$E$15)+(L29*(1+'.c12_inputs.hr'!$E$16))</f>
        <v>31679.999999999996</v>
      </c>
      <c r="M43" s="631">
        <f>+M15*(1+'.c12_inputs.hr'!$E$15)+(M29*(1+'.c12_inputs.hr'!$E$16))</f>
        <v>47264.999999999993</v>
      </c>
      <c r="N43" s="632">
        <f>+N15*(1+'.c12_inputs.hr'!$E$15)+(N29*(1+'.c12_inputs.hr'!$E$16))</f>
        <v>142304.99999999997</v>
      </c>
      <c r="O43" s="632">
        <f>+O15*(1+'.c12_inputs.hr'!$E$15)+(O29*(1+'.c12_inputs.hr'!$E$16))</f>
        <v>142304.99999999997</v>
      </c>
      <c r="P43" s="632">
        <f>+P15*(1+'.c12_inputs.hr'!$E$15)+(P29*(1+'.c12_inputs.hr'!$E$16))</f>
        <v>142304.99999999997</v>
      </c>
      <c r="Q43" s="632">
        <f>+Q15*(1+'.c12_inputs.hr'!$E$15)+(Q29*(1+'.c12_inputs.hr'!$E$16))</f>
        <v>142304.99999999997</v>
      </c>
      <c r="R43" s="632"/>
      <c r="S43" s="632"/>
      <c r="T43" s="580"/>
      <c r="U43" s="580"/>
      <c r="V43" s="580"/>
      <c r="W43" s="580"/>
      <c r="X43" s="580"/>
      <c r="Y43" s="580"/>
      <c r="Z43" s="580"/>
      <c r="AA43" s="580"/>
      <c r="AB43" s="580"/>
      <c r="AC43" s="580"/>
      <c r="AD43" s="580"/>
      <c r="AE43" s="580"/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</row>
    <row r="44" spans="1:45" ht="14.65" customHeight="1">
      <c r="A44" s="580" t="str">
        <f t="shared" si="2"/>
        <v>Senior Financial Analyst (KS)</v>
      </c>
      <c r="B44" s="607" t="s">
        <v>805</v>
      </c>
      <c r="C44" s="607" t="s">
        <v>1067</v>
      </c>
      <c r="D44" s="607" t="s">
        <v>1103</v>
      </c>
      <c r="E44" s="632"/>
      <c r="F44" s="631">
        <f>+F16*(1+'.c12_inputs.hr'!$E$15)+(F30*(1+'.c12_inputs.hr'!$E$16))</f>
        <v>0</v>
      </c>
      <c r="G44" s="631">
        <f>+G16*(1+'.c12_inputs.hr'!$E$15)+(G30*(1+'.c12_inputs.hr'!$E$16))</f>
        <v>0</v>
      </c>
      <c r="H44" s="631">
        <f>+H16*(1+'.c12_inputs.hr'!$E$15)+(H30*(1+'.c12_inputs.hr'!$E$16))</f>
        <v>0</v>
      </c>
      <c r="I44" s="631">
        <f>+I16*(1+'.c12_inputs.hr'!$E$15)+(I30*(1+'.c12_inputs.hr'!$E$16))</f>
        <v>51949.999999999993</v>
      </c>
      <c r="J44" s="631">
        <f>+J16*(1+'.c12_inputs.hr'!$E$15)+(J30*(1+'.c12_inputs.hr'!$E$16))</f>
        <v>57599.999999999993</v>
      </c>
      <c r="K44" s="631">
        <f>+K16*(1+'.c12_inputs.hr'!$E$15)+(K30*(1+'.c12_inputs.hr'!$E$16))</f>
        <v>57599.999999999993</v>
      </c>
      <c r="L44" s="631">
        <f>+L16*(1+'.c12_inputs.hr'!$E$15)+(L30*(1+'.c12_inputs.hr'!$E$16))</f>
        <v>57599.999999999993</v>
      </c>
      <c r="M44" s="631">
        <f>+M16*(1+'.c12_inputs.hr'!$E$15)+(M30*(1+'.c12_inputs.hr'!$E$16))</f>
        <v>109549.99999999999</v>
      </c>
      <c r="N44" s="632">
        <f>+N16*(1+'.c12_inputs.hr'!$E$15)+(N30*(1+'.c12_inputs.hr'!$E$16))</f>
        <v>282349.99999999994</v>
      </c>
      <c r="O44" s="632">
        <f>+O16*(1+'.c12_inputs.hr'!$E$15)+(O30*(1+'.c12_inputs.hr'!$E$16))</f>
        <v>282349.99999999994</v>
      </c>
      <c r="P44" s="632">
        <f>+P16*(1+'.c12_inputs.hr'!$E$15)+(P30*(1+'.c12_inputs.hr'!$E$16))</f>
        <v>282349.99999999994</v>
      </c>
      <c r="Q44" s="632">
        <f>+Q16*(1+'.c12_inputs.hr'!$E$15)+(Q30*(1+'.c12_inputs.hr'!$E$16))</f>
        <v>282349.99999999994</v>
      </c>
      <c r="R44" s="632"/>
      <c r="S44" s="632"/>
      <c r="T44" s="580"/>
      <c r="U44" s="580"/>
      <c r="V44" s="580"/>
      <c r="W44" s="580"/>
      <c r="X44" s="580"/>
      <c r="Y44" s="580"/>
      <c r="Z44" s="580"/>
      <c r="AA44" s="580"/>
      <c r="AB44" s="580"/>
      <c r="AC44" s="580"/>
      <c r="AD44" s="580"/>
      <c r="AE44" s="580"/>
      <c r="AF44" s="580"/>
      <c r="AG44" s="580"/>
      <c r="AH44" s="580"/>
      <c r="AI44" s="580"/>
      <c r="AJ44" s="580"/>
      <c r="AK44" s="580"/>
      <c r="AL44" s="580"/>
      <c r="AM44" s="580"/>
      <c r="AN44" s="580"/>
      <c r="AO44" s="580"/>
      <c r="AP44" s="580"/>
      <c r="AQ44" s="580"/>
      <c r="AR44" s="580"/>
      <c r="AS44" s="580"/>
    </row>
    <row r="45" spans="1:45" ht="14.65" customHeight="1">
      <c r="A45" s="627" t="s">
        <v>1005</v>
      </c>
      <c r="B45" s="607" t="s">
        <v>805</v>
      </c>
      <c r="C45" s="607" t="s">
        <v>1006</v>
      </c>
      <c r="D45" s="607"/>
      <c r="E45" s="632"/>
      <c r="F45" s="631">
        <f t="shared" ref="E45:Q45" si="3">SUM(F34:F44)</f>
        <v>515519.99999999994</v>
      </c>
      <c r="G45" s="631">
        <f t="shared" si="3"/>
        <v>515519.99999999994</v>
      </c>
      <c r="H45" s="631">
        <f t="shared" si="3"/>
        <v>515519.99999999994</v>
      </c>
      <c r="I45" s="631">
        <f t="shared" si="3"/>
        <v>1652177.5</v>
      </c>
      <c r="J45" s="631">
        <f t="shared" si="3"/>
        <v>560159.99999999988</v>
      </c>
      <c r="K45" s="631">
        <f t="shared" si="3"/>
        <v>520559.99999999994</v>
      </c>
      <c r="L45" s="631">
        <f t="shared" si="3"/>
        <v>560159.99999999988</v>
      </c>
      <c r="M45" s="631">
        <f t="shared" si="3"/>
        <v>1221223.75</v>
      </c>
      <c r="N45" s="632">
        <f t="shared" si="3"/>
        <v>2809492.4999999995</v>
      </c>
      <c r="O45" s="632">
        <f t="shared" si="3"/>
        <v>2809492.4999999995</v>
      </c>
      <c r="P45" s="632">
        <f t="shared" si="3"/>
        <v>2809492.4999999995</v>
      </c>
      <c r="Q45" s="632">
        <f t="shared" si="3"/>
        <v>2809492.4999999995</v>
      </c>
      <c r="R45" s="632"/>
      <c r="S45" s="624"/>
      <c r="T45" s="580"/>
      <c r="U45" s="580"/>
      <c r="V45" s="580"/>
      <c r="W45" s="580"/>
      <c r="X45" s="580"/>
      <c r="Y45" s="580"/>
      <c r="Z45" s="580"/>
      <c r="AA45" s="580"/>
      <c r="AB45" s="580"/>
      <c r="AC45" s="580"/>
      <c r="AD45" s="580"/>
      <c r="AE45" s="580"/>
      <c r="AF45" s="580"/>
      <c r="AG45" s="580"/>
      <c r="AH45" s="580"/>
      <c r="AI45" s="580"/>
      <c r="AJ45" s="580"/>
      <c r="AK45" s="580"/>
      <c r="AL45" s="580"/>
      <c r="AM45" s="580"/>
      <c r="AN45" s="580"/>
      <c r="AO45" s="580"/>
      <c r="AP45" s="580"/>
      <c r="AQ45" s="580"/>
      <c r="AR45" s="580"/>
      <c r="AS45" s="580"/>
    </row>
    <row r="46" spans="1:45">
      <c r="A46" s="609" t="s">
        <v>1007</v>
      </c>
      <c r="B46" s="607" t="s">
        <v>805</v>
      </c>
      <c r="C46" s="607" t="s">
        <v>1008</v>
      </c>
      <c r="D46" s="607"/>
      <c r="E46" s="611"/>
      <c r="F46" s="613">
        <f>SUMPRODUCT('.c12_alloc'!$H$25:$H$35,'.c12_d&amp;s_hr'!F$34:F$44)</f>
        <v>84959.999999999985</v>
      </c>
      <c r="G46" s="613">
        <f>SUMPRODUCT('.c12_alloc'!$H$25:$H$35,'.c12_d&amp;s_hr'!G$34:G$44)</f>
        <v>84959.999999999985</v>
      </c>
      <c r="H46" s="613">
        <f>SUMPRODUCT('.c12_alloc'!$H$25:$H$35,'.c12_d&amp;s_hr'!H$34:H$44)</f>
        <v>84959.999999999985</v>
      </c>
      <c r="I46" s="613">
        <f>SUMPRODUCT('.c12_alloc'!$H$25:$H$35,'.c12_d&amp;s_hr'!I$34:I$44)</f>
        <v>123922.5</v>
      </c>
      <c r="J46" s="613">
        <f>SUMPRODUCT('.c12_alloc'!$H$25:$H$35,'.c12_d&amp;s_hr'!J$34:J$44)</f>
        <v>85679.999999999985</v>
      </c>
      <c r="K46" s="613">
        <f>SUMPRODUCT('.c12_alloc'!$H$25:$H$35,'.c12_d&amp;s_hr'!K$34:K$44)</f>
        <v>85679.999999999985</v>
      </c>
      <c r="L46" s="613">
        <f>SUMPRODUCT('.c12_alloc'!$H$25:$H$35,'.c12_d&amp;s_hr'!L$34:L$44)</f>
        <v>85679.999999999985</v>
      </c>
      <c r="M46" s="613">
        <f>SUMPRODUCT('.c12_alloc'!$H$25:$H$35,'.c12_d&amp;s_hr'!M$34:M$44)</f>
        <v>116849.99999999997</v>
      </c>
      <c r="N46" s="611">
        <f>SUMPRODUCT('.c12_alloc'!$H$25:$H$35,'.c12_d&amp;s_hr'!N$34:N$44)</f>
        <v>373889.99999999994</v>
      </c>
      <c r="O46" s="611">
        <f>SUMPRODUCT('.c12_alloc'!$H$25:$H$35,'.c12_d&amp;s_hr'!O$34:O$44)</f>
        <v>373889.99999999994</v>
      </c>
      <c r="P46" s="611">
        <f>SUMPRODUCT('.c12_alloc'!$H$25:$H$35,'.c12_d&amp;s_hr'!P$34:P$44)</f>
        <v>373889.99999999994</v>
      </c>
      <c r="Q46" s="611">
        <f>SUMPRODUCT('.c12_alloc'!$H$25:$H$35,'.c12_d&amp;s_hr'!Q$34:Q$44)</f>
        <v>373889.99999999994</v>
      </c>
      <c r="R46" s="580"/>
      <c r="S46" s="580"/>
      <c r="T46" s="580"/>
      <c r="U46" s="580"/>
      <c r="V46" s="580"/>
      <c r="W46" s="580"/>
      <c r="X46" s="580"/>
      <c r="Y46" s="580"/>
      <c r="Z46" s="580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</row>
    <row r="47" spans="1:45">
      <c r="A47" s="609" t="s">
        <v>1009</v>
      </c>
      <c r="B47" s="607" t="s">
        <v>805</v>
      </c>
      <c r="C47" s="607" t="s">
        <v>1010</v>
      </c>
      <c r="D47" s="607"/>
      <c r="E47" s="611"/>
      <c r="F47" s="613">
        <f>SUMPRODUCT('.c12_alloc'!$G$25:$G$35,'.c12_d&amp;s_hr'!F$34:F$44)</f>
        <v>430560</v>
      </c>
      <c r="G47" s="613">
        <f>SUMPRODUCT('.c12_alloc'!$G$25:$G$35,'.c12_d&amp;s_hr'!G$34:G$44)</f>
        <v>430560</v>
      </c>
      <c r="H47" s="613">
        <f>SUMPRODUCT('.c12_alloc'!$G$25:$G$35,'.c12_d&amp;s_hr'!H$34:H$44)</f>
        <v>430560</v>
      </c>
      <c r="I47" s="613">
        <f>SUMPRODUCT('.c12_alloc'!$G$25:$G$35,'.c12_d&amp;s_hr'!I$34:I$44)</f>
        <v>1528255</v>
      </c>
      <c r="J47" s="613">
        <f>SUMPRODUCT('.c12_alloc'!$G$25:$G$35,'.c12_d&amp;s_hr'!J$34:J$44)</f>
        <v>474480</v>
      </c>
      <c r="K47" s="613">
        <f>SUMPRODUCT('.c12_alloc'!$G$25:$G$35,'.c12_d&amp;s_hr'!K$34:K$44)</f>
        <v>434880</v>
      </c>
      <c r="L47" s="613">
        <f>SUMPRODUCT('.c12_alloc'!$G$25:$G$35,'.c12_d&amp;s_hr'!L$34:L$44)</f>
        <v>474480</v>
      </c>
      <c r="M47" s="613">
        <f>SUMPRODUCT('.c12_alloc'!$G$25:$G$35,'.c12_d&amp;s_hr'!M$34:M$44)</f>
        <v>1104373.75</v>
      </c>
      <c r="N47" s="611">
        <f>SUMPRODUCT('.c12_alloc'!$G$25:$G$35,'.c12_d&amp;s_hr'!N$34:N$44)</f>
        <v>2435602.4999999995</v>
      </c>
      <c r="O47" s="611">
        <f>SUMPRODUCT('.c12_alloc'!$G$25:$G$35,'.c12_d&amp;s_hr'!O$34:O$44)</f>
        <v>2435602.4999999995</v>
      </c>
      <c r="P47" s="611">
        <f>SUMPRODUCT('.c12_alloc'!$G$25:$G$35,'.c12_d&amp;s_hr'!P$34:P$44)</f>
        <v>2435602.4999999995</v>
      </c>
      <c r="Q47" s="611">
        <f>SUMPRODUCT('.c12_alloc'!$G$25:$G$35,'.c12_d&amp;s_hr'!Q$34:Q$44)</f>
        <v>2435602.4999999995</v>
      </c>
      <c r="R47" s="580"/>
      <c r="S47" s="580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</row>
    <row r="48" spans="1:45">
      <c r="A48" s="609" t="s">
        <v>1011</v>
      </c>
      <c r="B48" s="607" t="s">
        <v>805</v>
      </c>
      <c r="C48" s="607" t="s">
        <v>1012</v>
      </c>
      <c r="D48" s="607"/>
      <c r="E48" s="611"/>
      <c r="F48" s="613">
        <f>SUMPRODUCT('.c12_alloc'!$E$25:$E$35,'.c12_d&amp;s_hr'!F$34:F$44)</f>
        <v>0</v>
      </c>
      <c r="G48" s="613">
        <f>SUMPRODUCT('.c12_alloc'!$E$25:$E$35,'.c12_d&amp;s_hr'!G$34:G$44)</f>
        <v>0</v>
      </c>
      <c r="H48" s="613">
        <f>SUMPRODUCT('.c12_alloc'!$E$25:$E$35,'.c12_d&amp;s_hr'!H$34:H$44)</f>
        <v>0</v>
      </c>
      <c r="I48" s="613">
        <f>SUMPRODUCT('.c12_alloc'!$E$25:$E$35,'.c12_d&amp;s_hr'!I$34:I$44)</f>
        <v>0</v>
      </c>
      <c r="J48" s="613">
        <f>SUMPRODUCT('.c12_alloc'!$E$25:$E$35,'.c12_d&amp;s_hr'!J$34:J$44)</f>
        <v>0</v>
      </c>
      <c r="K48" s="613">
        <f>SUMPRODUCT('.c12_alloc'!$E$25:$E$35,'.c12_d&amp;s_hr'!K$34:K$44)</f>
        <v>0</v>
      </c>
      <c r="L48" s="613">
        <f>SUMPRODUCT('.c12_alloc'!$E$25:$E$35,'.c12_d&amp;s_hr'!L$34:L$44)</f>
        <v>0</v>
      </c>
      <c r="M48" s="613">
        <f>SUMPRODUCT('.c12_alloc'!$E$25:$E$35,'.c12_d&amp;s_hr'!M$34:M$44)</f>
        <v>0</v>
      </c>
      <c r="N48" s="611">
        <f>SUMPRODUCT('.c12_alloc'!$E$25:$E$35,'.c12_d&amp;s_hr'!N$34:N$44)</f>
        <v>0</v>
      </c>
      <c r="O48" s="611">
        <f>SUMPRODUCT('.c12_alloc'!$E$25:$E$35,'.c12_d&amp;s_hr'!O$34:O$44)</f>
        <v>0</v>
      </c>
      <c r="P48" s="611">
        <f>SUMPRODUCT('.c12_alloc'!$E$25:$E$35,'.c12_d&amp;s_hr'!P$34:P$44)</f>
        <v>0</v>
      </c>
      <c r="Q48" s="611">
        <f>SUMPRODUCT('.c12_alloc'!$E$25:$E$35,'.c12_d&amp;s_hr'!Q$34:Q$44)</f>
        <v>0</v>
      </c>
      <c r="R48" s="580"/>
      <c r="S48" s="580"/>
      <c r="T48" s="580"/>
      <c r="U48" s="580"/>
      <c r="V48" s="580"/>
      <c r="W48" s="580"/>
      <c r="X48" s="580"/>
      <c r="Y48" s="580"/>
      <c r="Z48" s="580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</row>
    <row r="49" spans="1:45">
      <c r="A49" s="580"/>
      <c r="B49" s="580"/>
      <c r="C49" s="580"/>
      <c r="D49" s="580"/>
      <c r="E49" s="611"/>
      <c r="F49" s="611"/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1"/>
      <c r="R49" s="580"/>
      <c r="S49" s="580"/>
      <c r="T49" s="580"/>
      <c r="U49" s="580"/>
      <c r="V49" s="580"/>
      <c r="W49" s="580"/>
      <c r="X49" s="580"/>
      <c r="Y49" s="580"/>
      <c r="Z49" s="580"/>
      <c r="AA49" s="580"/>
      <c r="AB49" s="580"/>
      <c r="AC49" s="580"/>
      <c r="AD49" s="580"/>
      <c r="AE49" s="580"/>
      <c r="AF49" s="580"/>
      <c r="AG49" s="580"/>
      <c r="AH49" s="580"/>
      <c r="AI49" s="580"/>
      <c r="AJ49" s="580"/>
      <c r="AK49" s="580"/>
      <c r="AL49" s="580"/>
      <c r="AM49" s="580"/>
      <c r="AN49" s="580"/>
      <c r="AO49" s="580"/>
      <c r="AP49" s="580"/>
      <c r="AQ49" s="580"/>
      <c r="AR49" s="580"/>
      <c r="AS49" s="580"/>
    </row>
    <row r="50" spans="1:45">
      <c r="A50" s="580"/>
      <c r="B50" s="580"/>
      <c r="C50" s="580"/>
      <c r="D50" s="580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580"/>
      <c r="S50" s="580"/>
      <c r="T50" s="580"/>
      <c r="U50" s="580"/>
      <c r="V50" s="580"/>
      <c r="W50" s="580"/>
      <c r="X50" s="580"/>
      <c r="Y50" s="580"/>
      <c r="Z50" s="580"/>
      <c r="AA50" s="580"/>
      <c r="AB50" s="580"/>
      <c r="AC50" s="580"/>
      <c r="AD50" s="580"/>
      <c r="AE50" s="580"/>
      <c r="AF50" s="580"/>
      <c r="AG50" s="580"/>
      <c r="AH50" s="580"/>
      <c r="AI50" s="580"/>
      <c r="AJ50" s="580"/>
      <c r="AK50" s="580"/>
      <c r="AL50" s="580"/>
      <c r="AM50" s="580"/>
      <c r="AN50" s="580"/>
      <c r="AO50" s="580"/>
      <c r="AP50" s="580"/>
      <c r="AQ50" s="580"/>
      <c r="AR50" s="580"/>
      <c r="AS50" s="580"/>
    </row>
    <row r="51" spans="1:45">
      <c r="A51" s="580"/>
      <c r="B51" s="580"/>
      <c r="C51" s="580"/>
      <c r="D51" s="580"/>
      <c r="E51" s="580"/>
      <c r="F51" s="580"/>
      <c r="G51" s="580"/>
      <c r="H51" s="580"/>
      <c r="I51" s="580"/>
      <c r="J51" s="580"/>
      <c r="K51" s="580"/>
      <c r="L51" s="580"/>
      <c r="M51" s="580"/>
      <c r="N51" s="580"/>
      <c r="O51" s="580"/>
      <c r="P51" s="580"/>
      <c r="Q51" s="580"/>
      <c r="R51" s="580"/>
      <c r="S51" s="580"/>
      <c r="T51" s="580"/>
      <c r="U51" s="580"/>
      <c r="V51" s="580"/>
      <c r="W51" s="580"/>
      <c r="X51" s="580"/>
      <c r="Y51" s="580"/>
      <c r="Z51" s="580"/>
      <c r="AA51" s="580"/>
      <c r="AB51" s="580"/>
      <c r="AC51" s="580"/>
      <c r="AD51" s="580"/>
      <c r="AE51" s="580"/>
      <c r="AF51" s="580"/>
      <c r="AG51" s="580"/>
      <c r="AH51" s="580"/>
      <c r="AI51" s="580"/>
      <c r="AJ51" s="580"/>
      <c r="AK51" s="580"/>
      <c r="AL51" s="580"/>
      <c r="AM51" s="580"/>
      <c r="AN51" s="580"/>
      <c r="AO51" s="580"/>
      <c r="AP51" s="580"/>
      <c r="AQ51" s="580"/>
      <c r="AR51" s="580"/>
      <c r="AS51" s="580"/>
    </row>
    <row r="52" spans="1:45">
      <c r="A52" s="580"/>
      <c r="B52" s="580"/>
      <c r="C52" s="580"/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580"/>
      <c r="AQ52" s="580"/>
      <c r="AR52" s="580"/>
      <c r="AS52" s="580"/>
    </row>
    <row r="53" spans="1:45">
      <c r="A53" s="580"/>
      <c r="B53" s="580"/>
      <c r="C53" s="580"/>
      <c r="D53" s="580"/>
      <c r="E53" s="580"/>
      <c r="F53" s="580"/>
      <c r="G53" s="580"/>
      <c r="H53" s="580"/>
      <c r="I53" s="580"/>
      <c r="J53" s="580"/>
      <c r="K53" s="580"/>
      <c r="L53" s="580"/>
      <c r="M53" s="580"/>
      <c r="N53" s="580"/>
      <c r="O53" s="580"/>
      <c r="P53" s="580"/>
      <c r="Q53" s="580"/>
      <c r="R53" s="580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580"/>
      <c r="AQ53" s="580"/>
      <c r="AR53" s="580"/>
      <c r="AS53" s="580"/>
    </row>
    <row r="54" spans="1:45">
      <c r="A54" s="580"/>
      <c r="B54" s="580"/>
      <c r="C54" s="580"/>
      <c r="D54" s="580"/>
      <c r="E54" s="580"/>
      <c r="F54" s="580"/>
      <c r="G54" s="580"/>
      <c r="H54" s="580"/>
      <c r="I54" s="580"/>
      <c r="J54" s="580"/>
      <c r="K54" s="580"/>
      <c r="L54" s="580"/>
      <c r="M54" s="580"/>
      <c r="N54" s="580"/>
      <c r="O54" s="580"/>
      <c r="P54" s="580"/>
      <c r="Q54" s="580"/>
      <c r="R54" s="580"/>
      <c r="S54" s="580"/>
      <c r="T54" s="580"/>
      <c r="U54" s="580"/>
      <c r="V54" s="580"/>
      <c r="W54" s="580"/>
      <c r="X54" s="580"/>
      <c r="Y54" s="580"/>
      <c r="Z54" s="580"/>
      <c r="AA54" s="580"/>
      <c r="AB54" s="580"/>
      <c r="AC54" s="580"/>
      <c r="AD54" s="580"/>
      <c r="AE54" s="580"/>
      <c r="AF54" s="580"/>
      <c r="AG54" s="580"/>
      <c r="AH54" s="580"/>
      <c r="AI54" s="580"/>
      <c r="AJ54" s="580"/>
      <c r="AK54" s="580"/>
      <c r="AL54" s="580"/>
      <c r="AM54" s="580"/>
      <c r="AN54" s="580"/>
      <c r="AO54" s="580"/>
      <c r="AP54" s="580"/>
      <c r="AQ54" s="580"/>
      <c r="AR54" s="580"/>
      <c r="AS54" s="580"/>
    </row>
    <row r="55" spans="1:45">
      <c r="A55" s="580"/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580"/>
      <c r="N55" s="580"/>
      <c r="O55" s="580"/>
      <c r="P55" s="580"/>
      <c r="Q55" s="580"/>
      <c r="R55" s="580"/>
      <c r="S55" s="580"/>
      <c r="T55" s="580"/>
      <c r="U55" s="580"/>
      <c r="V55" s="580"/>
      <c r="W55" s="580"/>
      <c r="X55" s="580"/>
      <c r="Y55" s="580"/>
      <c r="Z55" s="580"/>
      <c r="AA55" s="580"/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/>
      <c r="AO55" s="580"/>
      <c r="AP55" s="580"/>
      <c r="AQ55" s="580"/>
      <c r="AR55" s="580"/>
      <c r="AS55" s="580"/>
    </row>
    <row r="56" spans="1:45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580"/>
      <c r="P56" s="580"/>
      <c r="Q56" s="580"/>
      <c r="R56" s="580"/>
      <c r="S56" s="580"/>
      <c r="T56" s="580"/>
      <c r="U56" s="580"/>
      <c r="V56" s="580"/>
      <c r="W56" s="580"/>
      <c r="X56" s="580"/>
      <c r="Y56" s="580"/>
      <c r="Z56" s="580"/>
      <c r="AA56" s="580"/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/>
      <c r="AO56" s="580"/>
      <c r="AP56" s="580"/>
      <c r="AQ56" s="580"/>
      <c r="AR56" s="580"/>
      <c r="AS56" s="580"/>
    </row>
    <row r="57" spans="1:45">
      <c r="A57" s="580"/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  <c r="M57" s="580"/>
      <c r="N57" s="580"/>
      <c r="O57" s="580"/>
      <c r="P57" s="580"/>
      <c r="Q57" s="580"/>
      <c r="R57" s="580"/>
      <c r="S57" s="580"/>
      <c r="T57" s="580"/>
      <c r="U57" s="580"/>
      <c r="V57" s="580"/>
      <c r="W57" s="580"/>
      <c r="X57" s="580"/>
      <c r="Y57" s="580"/>
      <c r="Z57" s="580"/>
      <c r="AA57" s="580"/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/>
      <c r="AO57" s="580"/>
      <c r="AP57" s="580"/>
      <c r="AQ57" s="580"/>
      <c r="AR57" s="580"/>
      <c r="AS57" s="580"/>
    </row>
    <row r="58" spans="1:45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  <c r="M58" s="580"/>
      <c r="N58" s="580"/>
      <c r="O58" s="580"/>
      <c r="P58" s="580"/>
      <c r="Q58" s="580"/>
      <c r="R58" s="580"/>
      <c r="S58" s="580"/>
      <c r="T58" s="580"/>
      <c r="U58" s="580"/>
      <c r="V58" s="580"/>
      <c r="W58" s="580"/>
      <c r="X58" s="580"/>
      <c r="Y58" s="580"/>
      <c r="Z58" s="580"/>
      <c r="AA58" s="580"/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/>
      <c r="AO58" s="580"/>
      <c r="AP58" s="580"/>
      <c r="AQ58" s="580"/>
      <c r="AR58" s="580"/>
      <c r="AS58" s="580"/>
    </row>
    <row r="59" spans="1:45">
      <c r="A59" s="580"/>
      <c r="B59" s="580"/>
      <c r="C59" s="580"/>
      <c r="D59" s="580"/>
      <c r="E59" s="580"/>
      <c r="F59" s="580"/>
      <c r="G59" s="580"/>
      <c r="H59" s="580"/>
      <c r="I59" s="580"/>
      <c r="J59" s="580"/>
      <c r="K59" s="580"/>
      <c r="L59" s="580"/>
      <c r="M59" s="580"/>
      <c r="N59" s="580"/>
      <c r="O59" s="580"/>
      <c r="P59" s="580"/>
      <c r="Q59" s="580"/>
      <c r="R59" s="580"/>
      <c r="S59" s="580"/>
      <c r="T59" s="580"/>
      <c r="U59" s="580"/>
      <c r="V59" s="580"/>
      <c r="W59" s="580"/>
      <c r="X59" s="580"/>
      <c r="Y59" s="580"/>
      <c r="Z59" s="580"/>
      <c r="AA59" s="580"/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/>
      <c r="AO59" s="580"/>
      <c r="AP59" s="580"/>
      <c r="AQ59" s="580"/>
      <c r="AR59" s="580"/>
      <c r="AS59" s="580"/>
    </row>
    <row r="60" spans="1:45">
      <c r="A60" s="580"/>
      <c r="B60" s="580"/>
      <c r="C60" s="580"/>
      <c r="D60" s="580"/>
      <c r="E60" s="580"/>
      <c r="F60" s="580"/>
      <c r="G60" s="580"/>
      <c r="H60" s="580"/>
      <c r="I60" s="580"/>
      <c r="J60" s="580"/>
      <c r="K60" s="580"/>
      <c r="L60" s="580"/>
      <c r="M60" s="580"/>
      <c r="N60" s="580"/>
      <c r="O60" s="580"/>
      <c r="P60" s="580"/>
      <c r="Q60" s="580"/>
      <c r="R60" s="580"/>
      <c r="S60" s="580"/>
      <c r="T60" s="580"/>
      <c r="U60" s="580"/>
      <c r="V60" s="580"/>
      <c r="W60" s="580"/>
      <c r="X60" s="580"/>
      <c r="Y60" s="580"/>
      <c r="Z60" s="580"/>
      <c r="AA60" s="580"/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/>
      <c r="AO60" s="580"/>
      <c r="AP60" s="580"/>
      <c r="AQ60" s="580"/>
      <c r="AR60" s="580"/>
      <c r="AS60" s="580"/>
    </row>
    <row r="61" spans="1:45">
      <c r="A61" s="580"/>
      <c r="B61" s="580"/>
      <c r="C61" s="580"/>
      <c r="D61" s="580"/>
      <c r="E61" s="580"/>
      <c r="F61" s="580"/>
      <c r="G61" s="580"/>
      <c r="H61" s="580"/>
      <c r="I61" s="580"/>
      <c r="J61" s="580"/>
      <c r="K61" s="580"/>
      <c r="L61" s="580"/>
      <c r="M61" s="580"/>
      <c r="N61" s="580"/>
      <c r="O61" s="580"/>
      <c r="P61" s="580"/>
      <c r="Q61" s="580"/>
      <c r="R61" s="580"/>
      <c r="S61" s="580"/>
      <c r="T61" s="580"/>
      <c r="U61" s="580"/>
      <c r="V61" s="580"/>
      <c r="W61" s="580"/>
      <c r="X61" s="580"/>
      <c r="Y61" s="580"/>
      <c r="Z61" s="580"/>
      <c r="AA61" s="580"/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/>
      <c r="AO61" s="580"/>
      <c r="AP61" s="580"/>
      <c r="AQ61" s="580"/>
      <c r="AR61" s="580"/>
      <c r="AS61" s="580"/>
    </row>
    <row r="62" spans="1:45">
      <c r="A62" s="580"/>
      <c r="B62" s="580"/>
      <c r="C62" s="580"/>
      <c r="D62" s="580"/>
      <c r="E62" s="580"/>
      <c r="F62" s="580"/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580"/>
      <c r="R62" s="580"/>
      <c r="S62" s="580"/>
      <c r="T62" s="580"/>
      <c r="U62" s="580"/>
      <c r="V62" s="580"/>
      <c r="W62" s="580"/>
      <c r="X62" s="580"/>
      <c r="Y62" s="580"/>
      <c r="Z62" s="580"/>
      <c r="AA62" s="580"/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/>
      <c r="AO62" s="580"/>
      <c r="AP62" s="580"/>
      <c r="AQ62" s="580"/>
      <c r="AR62" s="580"/>
      <c r="AS62" s="580"/>
    </row>
    <row r="63" spans="1:45">
      <c r="A63" s="580"/>
      <c r="B63" s="580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0"/>
      <c r="AO63" s="580"/>
      <c r="AP63" s="580"/>
      <c r="AQ63" s="580"/>
      <c r="AR63" s="580"/>
      <c r="AS63" s="580"/>
    </row>
    <row r="64" spans="1:45">
      <c r="A64" s="580"/>
      <c r="B64" s="580"/>
      <c r="C64" s="580"/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/>
      <c r="AO64" s="580"/>
      <c r="AP64" s="580"/>
      <c r="AQ64" s="580"/>
      <c r="AR64" s="580"/>
      <c r="AS64" s="580"/>
    </row>
    <row r="65" spans="1:45">
      <c r="A65" s="580"/>
      <c r="B65" s="580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  <c r="X65" s="580"/>
      <c r="Y65" s="580"/>
      <c r="Z65" s="580"/>
      <c r="AA65" s="580"/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0"/>
      <c r="AO65" s="580"/>
      <c r="AP65" s="580"/>
      <c r="AQ65" s="580"/>
      <c r="AR65" s="580"/>
      <c r="AS65" s="580"/>
    </row>
    <row r="66" spans="1:45">
      <c r="A66" s="580"/>
      <c r="B66" s="580"/>
      <c r="C66" s="580"/>
      <c r="D66" s="580"/>
      <c r="E66" s="580"/>
      <c r="F66" s="580"/>
      <c r="G66" s="580"/>
      <c r="H66" s="580"/>
      <c r="I66" s="580"/>
      <c r="J66" s="580"/>
      <c r="K66" s="580"/>
      <c r="L66" s="580"/>
      <c r="M66" s="580"/>
      <c r="N66" s="580"/>
      <c r="O66" s="580"/>
      <c r="P66" s="580"/>
      <c r="Q66" s="580"/>
      <c r="R66" s="580"/>
      <c r="S66" s="580"/>
      <c r="T66" s="580"/>
      <c r="U66" s="580"/>
      <c r="V66" s="580"/>
      <c r="W66" s="580"/>
      <c r="X66" s="580"/>
      <c r="Y66" s="580"/>
      <c r="Z66" s="580"/>
      <c r="AA66" s="580"/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/>
      <c r="AO66" s="580"/>
      <c r="AP66" s="580"/>
      <c r="AQ66" s="580"/>
      <c r="AR66" s="580"/>
      <c r="AS66" s="580"/>
    </row>
    <row r="67" spans="1:45">
      <c r="A67" s="580"/>
      <c r="B67" s="580"/>
      <c r="C67" s="580"/>
      <c r="D67" s="580"/>
      <c r="E67" s="580"/>
      <c r="F67" s="580"/>
      <c r="G67" s="580"/>
      <c r="H67" s="580"/>
      <c r="I67" s="580"/>
      <c r="J67" s="580"/>
      <c r="K67" s="580"/>
      <c r="L67" s="580"/>
      <c r="M67" s="580"/>
      <c r="N67" s="580"/>
      <c r="O67" s="580"/>
      <c r="P67" s="580"/>
      <c r="Q67" s="580"/>
      <c r="R67" s="580"/>
      <c r="S67" s="580"/>
      <c r="T67" s="580"/>
      <c r="U67" s="580"/>
      <c r="V67" s="580"/>
      <c r="W67" s="580"/>
      <c r="X67" s="580"/>
      <c r="Y67" s="580"/>
      <c r="Z67" s="580"/>
      <c r="AA67" s="580"/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/>
      <c r="AO67" s="580"/>
      <c r="AP67" s="580"/>
      <c r="AQ67" s="580"/>
      <c r="AR67" s="580"/>
      <c r="AS67" s="580"/>
    </row>
    <row r="68" spans="1:45">
      <c r="A68" s="580"/>
      <c r="B68" s="580"/>
      <c r="C68" s="580"/>
      <c r="D68" s="580"/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0"/>
      <c r="Q68" s="580"/>
      <c r="R68" s="580"/>
      <c r="S68" s="580"/>
      <c r="T68" s="580"/>
      <c r="U68" s="580"/>
      <c r="V68" s="580"/>
      <c r="W68" s="580"/>
      <c r="X68" s="580"/>
      <c r="Y68" s="580"/>
      <c r="Z68" s="580"/>
      <c r="AA68" s="580"/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/>
      <c r="AO68" s="580"/>
      <c r="AP68" s="580"/>
      <c r="AQ68" s="580"/>
      <c r="AR68" s="580"/>
      <c r="AS68" s="580"/>
    </row>
    <row r="69" spans="1:45">
      <c r="A69" s="580"/>
      <c r="B69" s="580"/>
      <c r="C69" s="580"/>
      <c r="D69" s="580"/>
      <c r="E69" s="580"/>
      <c r="F69" s="580"/>
      <c r="G69" s="580"/>
      <c r="H69" s="580"/>
      <c r="I69" s="580"/>
      <c r="J69" s="580"/>
      <c r="K69" s="580"/>
      <c r="L69" s="580"/>
      <c r="M69" s="580"/>
      <c r="N69" s="580"/>
      <c r="O69" s="580"/>
      <c r="P69" s="580"/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/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/>
      <c r="AO69" s="580"/>
      <c r="AP69" s="580"/>
      <c r="AQ69" s="580"/>
      <c r="AR69" s="580"/>
      <c r="AS69" s="580"/>
    </row>
    <row r="70" spans="1:45">
      <c r="A70" s="580"/>
      <c r="B70" s="580"/>
      <c r="C70" s="580"/>
      <c r="D70" s="580"/>
      <c r="E70" s="580"/>
      <c r="F70" s="580"/>
      <c r="G70" s="580"/>
      <c r="H70" s="580"/>
      <c r="I70" s="580"/>
      <c r="J70" s="580"/>
      <c r="K70" s="580"/>
      <c r="L70" s="580"/>
      <c r="M70" s="580"/>
      <c r="N70" s="580"/>
      <c r="O70" s="580"/>
      <c r="P70" s="580"/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/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/>
      <c r="AO70" s="580"/>
      <c r="AP70" s="580"/>
      <c r="AQ70" s="580"/>
      <c r="AR70" s="580"/>
      <c r="AS70" s="580"/>
    </row>
    <row r="71" spans="1:45">
      <c r="A71" s="580"/>
      <c r="B71" s="580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580"/>
      <c r="AQ71" s="580"/>
      <c r="AR71" s="580"/>
      <c r="AS71" s="580"/>
    </row>
    <row r="72" spans="1:45">
      <c r="A72" s="580"/>
      <c r="B72" s="580"/>
      <c r="C72" s="580"/>
      <c r="D72" s="580"/>
      <c r="E72" s="580"/>
      <c r="F72" s="580"/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</row>
    <row r="73" spans="1:45">
      <c r="A73" s="580"/>
      <c r="B73" s="580"/>
      <c r="C73" s="580"/>
      <c r="D73" s="580"/>
      <c r="E73" s="580"/>
      <c r="F73" s="580"/>
      <c r="G73" s="580"/>
      <c r="H73" s="580"/>
      <c r="I73" s="580"/>
      <c r="J73" s="580"/>
      <c r="K73" s="580"/>
      <c r="L73" s="580"/>
      <c r="M73" s="580"/>
      <c r="N73" s="580"/>
      <c r="O73" s="580"/>
      <c r="P73" s="580"/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</row>
    <row r="74" spans="1:45">
      <c r="A74" s="580"/>
      <c r="B74" s="580"/>
      <c r="C74" s="580"/>
      <c r="D74" s="580"/>
      <c r="E74" s="580"/>
      <c r="F74" s="580"/>
      <c r="G74" s="580"/>
      <c r="H74" s="580"/>
      <c r="I74" s="580"/>
      <c r="J74" s="580"/>
      <c r="K74" s="580"/>
      <c r="L74" s="580"/>
      <c r="M74" s="580"/>
      <c r="N74" s="580"/>
      <c r="O74" s="580"/>
      <c r="P74" s="580"/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0"/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</row>
    <row r="75" spans="1:45">
      <c r="A75" s="580"/>
      <c r="B75" s="580"/>
      <c r="C75" s="580"/>
      <c r="D75" s="580"/>
      <c r="E75" s="580"/>
      <c r="F75" s="580"/>
      <c r="G75" s="580"/>
      <c r="H75" s="580"/>
      <c r="I75" s="580"/>
      <c r="J75" s="580"/>
      <c r="K75" s="580"/>
      <c r="L75" s="580"/>
      <c r="M75" s="580"/>
      <c r="N75" s="580"/>
      <c r="O75" s="580"/>
      <c r="P75" s="580"/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/>
      <c r="AB75" s="580"/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</row>
    <row r="76" spans="1:45">
      <c r="A76" s="580"/>
      <c r="B76" s="580"/>
      <c r="C76" s="580"/>
      <c r="D76" s="580"/>
      <c r="E76" s="580"/>
      <c r="F76" s="580"/>
      <c r="G76" s="580"/>
      <c r="H76" s="580"/>
      <c r="I76" s="580"/>
      <c r="J76" s="580"/>
      <c r="K76" s="580"/>
      <c r="L76" s="580"/>
      <c r="M76" s="580"/>
      <c r="N76" s="580"/>
      <c r="O76" s="580"/>
      <c r="P76" s="580"/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/>
      <c r="AB76" s="580"/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</row>
    <row r="77" spans="1:45">
      <c r="A77" s="580"/>
      <c r="B77" s="580"/>
      <c r="C77" s="580"/>
      <c r="D77" s="580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</row>
    <row r="78" spans="1:45">
      <c r="A78" s="580"/>
      <c r="B78" s="580"/>
      <c r="C78" s="580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580"/>
      <c r="O78" s="580"/>
      <c r="P78" s="580"/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</row>
    <row r="79" spans="1:45">
      <c r="A79" s="580"/>
      <c r="B79" s="580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/>
      <c r="AB79" s="580"/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</row>
    <row r="80" spans="1:45">
      <c r="A80" s="580"/>
      <c r="B80" s="580"/>
      <c r="C80" s="580"/>
      <c r="D80" s="580"/>
      <c r="E80" s="580"/>
      <c r="F80" s="580"/>
      <c r="G80" s="580"/>
      <c r="H80" s="580"/>
      <c r="I80" s="580"/>
      <c r="J80" s="580"/>
      <c r="K80" s="580"/>
      <c r="L80" s="580"/>
      <c r="M80" s="580"/>
      <c r="N80" s="580"/>
      <c r="O80" s="580"/>
      <c r="P80" s="580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/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</row>
    <row r="81" spans="1:45">
      <c r="A81" s="580"/>
      <c r="B81" s="580"/>
      <c r="C81" s="580"/>
      <c r="D81" s="580"/>
      <c r="E81" s="580"/>
      <c r="F81" s="580"/>
      <c r="G81" s="580"/>
      <c r="H81" s="580"/>
      <c r="I81" s="580"/>
      <c r="J81" s="580"/>
      <c r="K81" s="580"/>
      <c r="L81" s="580"/>
      <c r="M81" s="580"/>
      <c r="N81" s="580"/>
      <c r="O81" s="580"/>
      <c r="P81" s="580"/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/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</row>
    <row r="82" spans="1:45">
      <c r="A82" s="580"/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  <c r="W82" s="580"/>
      <c r="X82" s="580"/>
      <c r="Y82" s="580"/>
      <c r="Z82" s="580"/>
      <c r="AA82" s="580"/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</row>
    <row r="83" spans="1:45">
      <c r="A83" s="580"/>
      <c r="B83" s="580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580"/>
      <c r="O83" s="580"/>
      <c r="P83" s="580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/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</row>
    <row r="84" spans="1:45">
      <c r="A84" s="580"/>
      <c r="B84" s="580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580"/>
      <c r="O84" s="580"/>
      <c r="P84" s="580"/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/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</row>
    <row r="85" spans="1:45">
      <c r="A85" s="580"/>
      <c r="B85" s="580"/>
      <c r="C85" s="580"/>
      <c r="D85" s="580"/>
      <c r="E85" s="580"/>
      <c r="F85" s="580"/>
      <c r="G85" s="580"/>
      <c r="H85" s="580"/>
      <c r="I85" s="580"/>
      <c r="J85" s="580"/>
      <c r="K85" s="580"/>
      <c r="L85" s="580"/>
      <c r="M85" s="580"/>
      <c r="N85" s="580"/>
      <c r="O85" s="580"/>
      <c r="P85" s="580"/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/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</row>
    <row r="86" spans="1:45">
      <c r="A86" s="580"/>
      <c r="B86" s="580"/>
      <c r="C86" s="580"/>
      <c r="D86" s="580"/>
      <c r="E86" s="580"/>
      <c r="F86" s="580"/>
      <c r="G86" s="580"/>
      <c r="H86" s="580"/>
      <c r="I86" s="580"/>
      <c r="J86" s="580"/>
      <c r="K86" s="580"/>
      <c r="L86" s="580"/>
      <c r="M86" s="580"/>
      <c r="N86" s="580"/>
      <c r="O86" s="580"/>
      <c r="P86" s="580"/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/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</row>
    <row r="87" spans="1:45">
      <c r="A87" s="580"/>
      <c r="B87" s="580"/>
      <c r="C87" s="580"/>
      <c r="D87" s="580"/>
      <c r="E87" s="580"/>
      <c r="F87" s="580"/>
      <c r="G87" s="580"/>
      <c r="H87" s="580"/>
      <c r="I87" s="580"/>
      <c r="J87" s="580"/>
      <c r="K87" s="580"/>
      <c r="L87" s="580"/>
      <c r="M87" s="580"/>
      <c r="N87" s="580"/>
      <c r="O87" s="580"/>
      <c r="P87" s="580"/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/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</row>
    <row r="88" spans="1:45">
      <c r="A88" s="580"/>
      <c r="B88" s="580"/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/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</row>
    <row r="89" spans="1:45">
      <c r="A89" s="580"/>
      <c r="B89" s="580"/>
      <c r="C89" s="580"/>
      <c r="D89" s="580"/>
      <c r="E89" s="580"/>
      <c r="F89" s="580"/>
      <c r="G89" s="580"/>
      <c r="H89" s="580"/>
      <c r="I89" s="580"/>
      <c r="J89" s="580"/>
      <c r="K89" s="580"/>
      <c r="L89" s="580"/>
      <c r="M89" s="580"/>
      <c r="N89" s="580"/>
      <c r="O89" s="580"/>
      <c r="P89" s="580"/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/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580"/>
      <c r="AQ89" s="580"/>
      <c r="AR89" s="580"/>
      <c r="AS89" s="580"/>
    </row>
    <row r="90" spans="1:45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/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580"/>
      <c r="AQ90" s="580"/>
      <c r="AR90" s="580"/>
      <c r="AS90" s="580"/>
    </row>
    <row r="91" spans="1:45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/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580"/>
      <c r="AQ91" s="580"/>
      <c r="AR91" s="580"/>
      <c r="AS91" s="580"/>
    </row>
    <row r="92" spans="1:45">
      <c r="A92" s="580"/>
      <c r="B92" s="580"/>
      <c r="C92" s="580"/>
      <c r="D92" s="580"/>
      <c r="E92" s="580"/>
      <c r="F92" s="580"/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/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580"/>
      <c r="AQ92" s="580"/>
      <c r="AR92" s="580"/>
      <c r="AS92" s="580"/>
    </row>
    <row r="93" spans="1:45">
      <c r="A93" s="580"/>
      <c r="B93" s="580"/>
      <c r="C93" s="580"/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/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580"/>
      <c r="AQ93" s="580"/>
      <c r="AR93" s="580"/>
      <c r="AS93" s="580"/>
    </row>
    <row r="94" spans="1:45">
      <c r="A94" s="580"/>
      <c r="B94" s="580"/>
      <c r="C94" s="580"/>
      <c r="D94" s="580"/>
      <c r="E94" s="580"/>
      <c r="F94" s="580"/>
      <c r="G94" s="580"/>
      <c r="H94" s="580"/>
      <c r="I94" s="580"/>
      <c r="J94" s="580"/>
      <c r="K94" s="580"/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/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580"/>
      <c r="AQ94" s="580"/>
      <c r="AR94" s="580"/>
      <c r="AS94" s="580"/>
    </row>
    <row r="95" spans="1:45">
      <c r="A95" s="580"/>
      <c r="B95" s="580"/>
      <c r="C95" s="580"/>
      <c r="D95" s="580"/>
      <c r="E95" s="580"/>
      <c r="F95" s="580"/>
      <c r="G95" s="580"/>
      <c r="H95" s="580"/>
      <c r="I95" s="580"/>
      <c r="J95" s="580"/>
      <c r="K95" s="580"/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580"/>
      <c r="AQ95" s="580"/>
      <c r="AR95" s="580"/>
      <c r="AS95" s="580"/>
    </row>
    <row r="96" spans="1:45">
      <c r="A96" s="580"/>
      <c r="B96" s="580"/>
      <c r="C96" s="580"/>
      <c r="D96" s="580"/>
      <c r="E96" s="580"/>
      <c r="F96" s="580"/>
      <c r="G96" s="580"/>
      <c r="H96" s="580"/>
      <c r="I96" s="580"/>
      <c r="J96" s="580"/>
      <c r="K96" s="580"/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/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580"/>
      <c r="AQ96" s="580"/>
      <c r="AR96" s="580"/>
      <c r="AS96" s="580"/>
    </row>
    <row r="97" spans="1:45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/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/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580"/>
      <c r="AQ97" s="580"/>
      <c r="AR97" s="580"/>
      <c r="AS97" s="580"/>
    </row>
    <row r="98" spans="1:45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/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580"/>
      <c r="AQ98" s="580"/>
      <c r="AR98" s="580"/>
      <c r="AS98" s="580"/>
    </row>
    <row r="99" spans="1:45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580"/>
      <c r="AQ99" s="580"/>
      <c r="AR99" s="580"/>
      <c r="AS99" s="580"/>
    </row>
    <row r="100" spans="1:45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/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580"/>
      <c r="AQ100" s="580"/>
      <c r="AR100" s="580"/>
      <c r="AS100" s="580"/>
    </row>
    <row r="101" spans="1:45">
      <c r="A101" s="580"/>
      <c r="B101" s="580"/>
      <c r="C101" s="580"/>
      <c r="D101" s="580"/>
      <c r="E101" s="580"/>
      <c r="F101" s="580"/>
      <c r="G101" s="580"/>
      <c r="H101" s="580"/>
      <c r="I101" s="580"/>
      <c r="J101" s="580"/>
      <c r="K101" s="580"/>
      <c r="L101" s="580"/>
      <c r="M101" s="580"/>
      <c r="N101" s="580"/>
      <c r="O101" s="580"/>
      <c r="P101" s="580"/>
      <c r="Q101" s="580"/>
      <c r="R101" s="580"/>
      <c r="S101" s="580"/>
      <c r="T101" s="580"/>
      <c r="U101" s="580"/>
      <c r="V101" s="580"/>
      <c r="W101" s="580"/>
      <c r="X101" s="580"/>
      <c r="Y101" s="580"/>
      <c r="Z101" s="580"/>
      <c r="AA101" s="580"/>
      <c r="AB101" s="580"/>
      <c r="AC101" s="580"/>
      <c r="AD101" s="580"/>
      <c r="AE101" s="580"/>
      <c r="AF101" s="580"/>
      <c r="AG101" s="580"/>
      <c r="AH101" s="580"/>
      <c r="AI101" s="580"/>
      <c r="AJ101" s="580"/>
      <c r="AK101" s="580"/>
      <c r="AL101" s="580"/>
      <c r="AM101" s="580"/>
      <c r="AN101" s="580"/>
      <c r="AO101" s="580"/>
      <c r="AP101" s="580"/>
      <c r="AQ101" s="580"/>
      <c r="AR101" s="580"/>
      <c r="AS101" s="580"/>
    </row>
    <row r="102" spans="1:45">
      <c r="A102" s="580"/>
      <c r="B102" s="580"/>
      <c r="C102" s="580"/>
      <c r="D102" s="580"/>
      <c r="E102" s="580"/>
      <c r="F102" s="580"/>
      <c r="G102" s="580"/>
      <c r="H102" s="580"/>
      <c r="I102" s="580"/>
      <c r="J102" s="580"/>
      <c r="K102" s="580"/>
      <c r="L102" s="580"/>
      <c r="M102" s="580"/>
      <c r="N102" s="580"/>
      <c r="O102" s="580"/>
      <c r="P102" s="580"/>
      <c r="Q102" s="580"/>
      <c r="R102" s="580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0"/>
      <c r="AD102" s="580"/>
      <c r="AE102" s="580"/>
      <c r="AF102" s="580"/>
      <c r="AG102" s="580"/>
      <c r="AH102" s="580"/>
      <c r="AI102" s="580"/>
      <c r="AJ102" s="580"/>
      <c r="AK102" s="580"/>
      <c r="AL102" s="580"/>
      <c r="AM102" s="580"/>
      <c r="AN102" s="580"/>
      <c r="AO102" s="580"/>
      <c r="AP102" s="580"/>
      <c r="AQ102" s="580"/>
      <c r="AR102" s="580"/>
      <c r="AS102" s="580"/>
    </row>
    <row r="103" spans="1:45">
      <c r="A103" s="580"/>
      <c r="B103" s="580"/>
      <c r="C103" s="580"/>
      <c r="D103" s="580"/>
      <c r="E103" s="580"/>
      <c r="F103" s="580"/>
      <c r="G103" s="580"/>
      <c r="H103" s="580"/>
      <c r="I103" s="580"/>
      <c r="J103" s="580"/>
      <c r="K103" s="580"/>
      <c r="L103" s="580"/>
      <c r="M103" s="580"/>
      <c r="N103" s="580"/>
      <c r="O103" s="580"/>
      <c r="P103" s="580"/>
      <c r="Q103" s="580"/>
      <c r="R103" s="580"/>
      <c r="S103" s="580"/>
      <c r="T103" s="580"/>
      <c r="U103" s="580"/>
      <c r="V103" s="580"/>
      <c r="W103" s="580"/>
      <c r="X103" s="580"/>
      <c r="Y103" s="580"/>
      <c r="Z103" s="580"/>
      <c r="AA103" s="580"/>
      <c r="AB103" s="580"/>
      <c r="AC103" s="580"/>
      <c r="AD103" s="580"/>
      <c r="AE103" s="580"/>
      <c r="AF103" s="580"/>
      <c r="AG103" s="580"/>
      <c r="AH103" s="580"/>
      <c r="AI103" s="580"/>
      <c r="AJ103" s="580"/>
      <c r="AK103" s="580"/>
      <c r="AL103" s="580"/>
      <c r="AM103" s="580"/>
      <c r="AN103" s="580"/>
      <c r="AO103" s="580"/>
      <c r="AP103" s="580"/>
      <c r="AQ103" s="580"/>
      <c r="AR103" s="580"/>
      <c r="AS103" s="580"/>
    </row>
    <row r="104" spans="1:45">
      <c r="A104" s="580"/>
      <c r="B104" s="580"/>
      <c r="C104" s="580"/>
      <c r="D104" s="580"/>
      <c r="E104" s="580"/>
      <c r="F104" s="580"/>
      <c r="G104" s="580"/>
      <c r="H104" s="580"/>
      <c r="I104" s="580"/>
      <c r="J104" s="580"/>
      <c r="K104" s="580"/>
      <c r="L104" s="580"/>
      <c r="M104" s="580"/>
      <c r="N104" s="580"/>
      <c r="O104" s="580"/>
      <c r="P104" s="580"/>
      <c r="Q104" s="580"/>
      <c r="R104" s="580"/>
      <c r="S104" s="580"/>
      <c r="T104" s="580"/>
      <c r="U104" s="580"/>
      <c r="V104" s="580"/>
      <c r="W104" s="580"/>
      <c r="X104" s="580"/>
      <c r="Y104" s="580"/>
      <c r="Z104" s="580"/>
      <c r="AA104" s="580"/>
      <c r="AB104" s="580"/>
      <c r="AC104" s="580"/>
      <c r="AD104" s="580"/>
      <c r="AE104" s="580"/>
      <c r="AF104" s="580"/>
      <c r="AG104" s="580"/>
      <c r="AH104" s="580"/>
      <c r="AI104" s="580"/>
      <c r="AJ104" s="580"/>
      <c r="AK104" s="580"/>
      <c r="AL104" s="580"/>
      <c r="AM104" s="580"/>
      <c r="AN104" s="580"/>
      <c r="AO104" s="580"/>
      <c r="AP104" s="580"/>
      <c r="AQ104" s="580"/>
      <c r="AR104" s="580"/>
      <c r="AS104" s="580"/>
    </row>
    <row r="105" spans="1:45">
      <c r="A105" s="580"/>
      <c r="B105" s="580"/>
      <c r="C105" s="580"/>
      <c r="D105" s="580"/>
      <c r="E105" s="580"/>
      <c r="F105" s="580"/>
      <c r="G105" s="580"/>
      <c r="H105" s="580"/>
      <c r="I105" s="580"/>
      <c r="J105" s="580"/>
      <c r="K105" s="580"/>
      <c r="L105" s="580"/>
      <c r="M105" s="580"/>
      <c r="N105" s="580"/>
      <c r="O105" s="580"/>
      <c r="P105" s="580"/>
      <c r="Q105" s="580"/>
      <c r="R105" s="580"/>
      <c r="S105" s="580"/>
      <c r="T105" s="580"/>
      <c r="U105" s="580"/>
      <c r="V105" s="580"/>
      <c r="W105" s="580"/>
      <c r="X105" s="580"/>
      <c r="Y105" s="580"/>
      <c r="Z105" s="580"/>
      <c r="AA105" s="580"/>
      <c r="AB105" s="580"/>
      <c r="AC105" s="580"/>
      <c r="AD105" s="580"/>
      <c r="AE105" s="580"/>
      <c r="AF105" s="580"/>
      <c r="AG105" s="580"/>
      <c r="AH105" s="580"/>
      <c r="AI105" s="580"/>
      <c r="AJ105" s="580"/>
      <c r="AK105" s="580"/>
      <c r="AL105" s="580"/>
      <c r="AM105" s="580"/>
      <c r="AN105" s="580"/>
      <c r="AO105" s="580"/>
      <c r="AP105" s="580"/>
      <c r="AQ105" s="580"/>
      <c r="AR105" s="580"/>
      <c r="AS105" s="580"/>
    </row>
    <row r="106" spans="1:45">
      <c r="A106" s="580"/>
      <c r="B106" s="580"/>
      <c r="C106" s="580"/>
      <c r="D106" s="580"/>
      <c r="E106" s="580"/>
      <c r="F106" s="580"/>
      <c r="G106" s="580"/>
      <c r="H106" s="580"/>
      <c r="I106" s="580"/>
      <c r="J106" s="580"/>
      <c r="K106" s="580"/>
      <c r="L106" s="580"/>
      <c r="M106" s="580"/>
      <c r="N106" s="580"/>
      <c r="O106" s="580"/>
      <c r="P106" s="580"/>
      <c r="Q106" s="580"/>
      <c r="R106" s="580"/>
      <c r="S106" s="580"/>
      <c r="T106" s="580"/>
      <c r="U106" s="580"/>
      <c r="V106" s="580"/>
      <c r="W106" s="580"/>
      <c r="X106" s="580"/>
      <c r="Y106" s="580"/>
      <c r="Z106" s="580"/>
      <c r="AA106" s="580"/>
      <c r="AB106" s="580"/>
      <c r="AC106" s="580"/>
      <c r="AD106" s="580"/>
      <c r="AE106" s="580"/>
      <c r="AF106" s="580"/>
      <c r="AG106" s="580"/>
      <c r="AH106" s="580"/>
      <c r="AI106" s="580"/>
      <c r="AJ106" s="580"/>
      <c r="AK106" s="580"/>
      <c r="AL106" s="580"/>
      <c r="AM106" s="580"/>
      <c r="AN106" s="580"/>
      <c r="AO106" s="580"/>
      <c r="AP106" s="580"/>
      <c r="AQ106" s="580"/>
      <c r="AR106" s="580"/>
      <c r="AS106" s="580"/>
    </row>
    <row r="107" spans="1:45">
      <c r="A107" s="580"/>
      <c r="B107" s="580"/>
      <c r="C107" s="580"/>
      <c r="D107" s="580"/>
      <c r="E107" s="580"/>
      <c r="F107" s="580"/>
      <c r="G107" s="580"/>
      <c r="H107" s="580"/>
      <c r="I107" s="580"/>
      <c r="J107" s="580"/>
      <c r="K107" s="580"/>
      <c r="L107" s="580"/>
      <c r="M107" s="580"/>
      <c r="N107" s="580"/>
      <c r="O107" s="580"/>
      <c r="P107" s="580"/>
      <c r="Q107" s="580"/>
      <c r="R107" s="580"/>
      <c r="S107" s="580"/>
      <c r="T107" s="580"/>
      <c r="U107" s="580"/>
      <c r="V107" s="580"/>
      <c r="W107" s="580"/>
      <c r="X107" s="580"/>
      <c r="Y107" s="580"/>
      <c r="Z107" s="580"/>
      <c r="AA107" s="580"/>
      <c r="AB107" s="580"/>
      <c r="AC107" s="580"/>
      <c r="AD107" s="580"/>
      <c r="AE107" s="580"/>
      <c r="AF107" s="580"/>
      <c r="AG107" s="580"/>
      <c r="AH107" s="580"/>
      <c r="AI107" s="580"/>
      <c r="AJ107" s="580"/>
      <c r="AK107" s="580"/>
      <c r="AL107" s="580"/>
      <c r="AM107" s="580"/>
      <c r="AN107" s="580"/>
      <c r="AO107" s="580"/>
      <c r="AP107" s="580"/>
      <c r="AQ107" s="580"/>
      <c r="AR107" s="580"/>
      <c r="AS107" s="580"/>
    </row>
    <row r="108" spans="1:45">
      <c r="A108" s="580"/>
      <c r="B108" s="580"/>
      <c r="C108" s="580"/>
      <c r="D108" s="580"/>
      <c r="E108" s="580"/>
      <c r="F108" s="580"/>
      <c r="G108" s="580"/>
      <c r="H108" s="580"/>
      <c r="I108" s="580"/>
      <c r="J108" s="580"/>
      <c r="K108" s="580"/>
      <c r="L108" s="580"/>
      <c r="M108" s="580"/>
      <c r="N108" s="580"/>
      <c r="O108" s="580"/>
      <c r="P108" s="580"/>
      <c r="Q108" s="580"/>
      <c r="R108" s="580"/>
      <c r="S108" s="580"/>
      <c r="T108" s="580"/>
      <c r="U108" s="580"/>
      <c r="V108" s="580"/>
      <c r="W108" s="580"/>
      <c r="X108" s="580"/>
      <c r="Y108" s="580"/>
      <c r="Z108" s="580"/>
      <c r="AA108" s="580"/>
      <c r="AB108" s="580"/>
      <c r="AC108" s="580"/>
      <c r="AD108" s="580"/>
      <c r="AE108" s="580"/>
      <c r="AF108" s="580"/>
      <c r="AG108" s="580"/>
      <c r="AH108" s="580"/>
      <c r="AI108" s="580"/>
      <c r="AJ108" s="580"/>
      <c r="AK108" s="580"/>
      <c r="AL108" s="580"/>
      <c r="AM108" s="580"/>
      <c r="AN108" s="580"/>
      <c r="AO108" s="580"/>
      <c r="AP108" s="580"/>
      <c r="AQ108" s="580"/>
      <c r="AR108" s="580"/>
      <c r="AS108" s="580"/>
    </row>
    <row r="109" spans="1:45">
      <c r="A109" s="580"/>
      <c r="B109" s="580"/>
      <c r="C109" s="580"/>
      <c r="D109" s="580"/>
      <c r="E109" s="580"/>
      <c r="F109" s="580"/>
      <c r="G109" s="580"/>
      <c r="H109" s="580"/>
      <c r="I109" s="580"/>
      <c r="J109" s="580"/>
      <c r="K109" s="580"/>
      <c r="L109" s="580"/>
      <c r="M109" s="580"/>
      <c r="N109" s="580"/>
      <c r="O109" s="580"/>
      <c r="P109" s="580"/>
      <c r="Q109" s="580"/>
      <c r="R109" s="580"/>
      <c r="S109" s="580"/>
      <c r="T109" s="580"/>
      <c r="U109" s="580"/>
      <c r="V109" s="580"/>
      <c r="W109" s="580"/>
      <c r="X109" s="580"/>
      <c r="Y109" s="580"/>
      <c r="Z109" s="580"/>
      <c r="AA109" s="580"/>
      <c r="AB109" s="580"/>
      <c r="AC109" s="580"/>
      <c r="AD109" s="580"/>
      <c r="AE109" s="580"/>
      <c r="AF109" s="580"/>
      <c r="AG109" s="580"/>
      <c r="AH109" s="580"/>
      <c r="AI109" s="580"/>
      <c r="AJ109" s="580"/>
      <c r="AK109" s="580"/>
      <c r="AL109" s="580"/>
      <c r="AM109" s="580"/>
      <c r="AN109" s="580"/>
      <c r="AO109" s="580"/>
      <c r="AP109" s="580"/>
      <c r="AQ109" s="580"/>
      <c r="AR109" s="580"/>
      <c r="AS109" s="580"/>
    </row>
    <row r="110" spans="1:45">
      <c r="A110" s="580"/>
      <c r="B110" s="580"/>
      <c r="C110" s="580"/>
      <c r="D110" s="580"/>
      <c r="E110" s="580"/>
      <c r="F110" s="580"/>
      <c r="G110" s="580"/>
      <c r="H110" s="580"/>
      <c r="I110" s="580"/>
      <c r="J110" s="580"/>
      <c r="K110" s="580"/>
      <c r="L110" s="580"/>
      <c r="M110" s="580"/>
      <c r="N110" s="580"/>
      <c r="O110" s="580"/>
      <c r="P110" s="580"/>
      <c r="Q110" s="580"/>
      <c r="R110" s="580"/>
      <c r="S110" s="580"/>
      <c r="T110" s="580"/>
      <c r="U110" s="580"/>
      <c r="V110" s="580"/>
      <c r="W110" s="580"/>
      <c r="X110" s="580"/>
      <c r="Y110" s="580"/>
      <c r="Z110" s="580"/>
      <c r="AA110" s="580"/>
      <c r="AB110" s="580"/>
      <c r="AC110" s="580"/>
      <c r="AD110" s="580"/>
      <c r="AE110" s="580"/>
      <c r="AF110" s="580"/>
      <c r="AG110" s="580"/>
      <c r="AH110" s="580"/>
      <c r="AI110" s="580"/>
      <c r="AJ110" s="580"/>
      <c r="AK110" s="580"/>
      <c r="AL110" s="580"/>
      <c r="AM110" s="580"/>
      <c r="AN110" s="580"/>
      <c r="AO110" s="580"/>
      <c r="AP110" s="580"/>
      <c r="AQ110" s="580"/>
      <c r="AR110" s="580"/>
      <c r="AS110" s="580"/>
    </row>
    <row r="111" spans="1:45">
      <c r="A111" s="580"/>
      <c r="B111" s="616"/>
      <c r="C111" s="580"/>
      <c r="D111" s="616"/>
      <c r="E111" s="580"/>
      <c r="F111" s="580"/>
      <c r="G111" s="580"/>
      <c r="H111" s="580"/>
      <c r="I111" s="580"/>
      <c r="J111" s="580"/>
      <c r="K111" s="580"/>
      <c r="L111" s="580"/>
      <c r="M111" s="580"/>
      <c r="N111" s="580"/>
      <c r="O111" s="580"/>
      <c r="P111" s="580"/>
      <c r="Q111" s="580"/>
      <c r="R111" s="580"/>
      <c r="S111" s="580"/>
      <c r="T111" s="580"/>
      <c r="U111" s="580"/>
      <c r="V111" s="580"/>
      <c r="W111" s="580"/>
      <c r="X111" s="580"/>
      <c r="Y111" s="580"/>
      <c r="Z111" s="580"/>
      <c r="AA111" s="580"/>
      <c r="AB111" s="580"/>
      <c r="AC111" s="580"/>
      <c r="AD111" s="580"/>
      <c r="AE111" s="580"/>
      <c r="AF111" s="580"/>
      <c r="AG111" s="580"/>
      <c r="AH111" s="580"/>
      <c r="AI111" s="580"/>
      <c r="AJ111" s="580"/>
      <c r="AK111" s="580"/>
      <c r="AL111" s="580"/>
      <c r="AM111" s="580"/>
      <c r="AN111" s="580"/>
      <c r="AO111" s="580"/>
      <c r="AP111" s="580"/>
      <c r="AQ111" s="580"/>
      <c r="AR111" s="580"/>
      <c r="AS111" s="580"/>
    </row>
    <row r="112" spans="1:45">
      <c r="A112" s="580"/>
      <c r="B112" s="616"/>
      <c r="C112" s="580"/>
      <c r="D112" s="616"/>
      <c r="E112" s="580"/>
      <c r="F112" s="580"/>
      <c r="G112" s="580"/>
      <c r="H112" s="580"/>
      <c r="I112" s="580"/>
      <c r="J112" s="580"/>
      <c r="K112" s="580"/>
      <c r="L112" s="580"/>
      <c r="M112" s="580"/>
      <c r="N112" s="580"/>
      <c r="O112" s="580"/>
      <c r="P112" s="580"/>
      <c r="Q112" s="580"/>
      <c r="R112" s="580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0"/>
      <c r="AD112" s="580"/>
      <c r="AE112" s="580"/>
      <c r="AF112" s="580"/>
      <c r="AG112" s="580"/>
      <c r="AH112" s="580"/>
      <c r="AI112" s="580"/>
      <c r="AJ112" s="580"/>
      <c r="AK112" s="580"/>
      <c r="AL112" s="580"/>
      <c r="AM112" s="580"/>
      <c r="AN112" s="580"/>
      <c r="AO112" s="580"/>
      <c r="AP112" s="580"/>
      <c r="AQ112" s="580"/>
      <c r="AR112" s="580"/>
      <c r="AS112" s="580"/>
    </row>
    <row r="113" spans="1:45">
      <c r="A113" s="580"/>
      <c r="B113" s="616"/>
      <c r="C113" s="580"/>
      <c r="D113" s="616"/>
      <c r="E113" s="580"/>
      <c r="F113" s="580"/>
      <c r="G113" s="580"/>
      <c r="H113" s="580"/>
      <c r="I113" s="580"/>
      <c r="J113" s="580"/>
      <c r="K113" s="580"/>
      <c r="L113" s="580"/>
      <c r="M113" s="580"/>
      <c r="N113" s="580"/>
      <c r="O113" s="580"/>
      <c r="P113" s="580"/>
      <c r="Q113" s="580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0"/>
      <c r="AD113" s="580"/>
      <c r="AE113" s="580"/>
      <c r="AF113" s="580"/>
      <c r="AG113" s="580"/>
      <c r="AH113" s="580"/>
      <c r="AI113" s="580"/>
      <c r="AJ113" s="580"/>
      <c r="AK113" s="580"/>
      <c r="AL113" s="580"/>
      <c r="AM113" s="580"/>
      <c r="AN113" s="580"/>
      <c r="AO113" s="580"/>
      <c r="AP113" s="580"/>
      <c r="AQ113" s="580"/>
      <c r="AR113" s="580"/>
      <c r="AS113" s="580"/>
    </row>
    <row r="114" spans="1:45">
      <c r="A114" s="580"/>
      <c r="B114" s="616"/>
      <c r="C114" s="580"/>
      <c r="D114" s="616"/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580"/>
      <c r="P114" s="580"/>
      <c r="Q114" s="580"/>
      <c r="R114" s="580"/>
      <c r="S114" s="580"/>
      <c r="T114" s="580"/>
      <c r="U114" s="580"/>
      <c r="V114" s="580"/>
      <c r="W114" s="580"/>
      <c r="X114" s="580"/>
      <c r="Y114" s="580"/>
      <c r="Z114" s="580"/>
      <c r="AA114" s="580"/>
      <c r="AB114" s="580"/>
      <c r="AC114" s="580"/>
      <c r="AD114" s="580"/>
      <c r="AE114" s="580"/>
      <c r="AF114" s="580"/>
      <c r="AG114" s="580"/>
      <c r="AH114" s="580"/>
      <c r="AI114" s="580"/>
      <c r="AJ114" s="580"/>
      <c r="AK114" s="580"/>
      <c r="AL114" s="580"/>
      <c r="AM114" s="580"/>
      <c r="AN114" s="580"/>
      <c r="AO114" s="580"/>
      <c r="AP114" s="580"/>
      <c r="AQ114" s="580"/>
      <c r="AR114" s="580"/>
      <c r="AS114" s="580"/>
    </row>
    <row r="115" spans="1:45">
      <c r="A115" s="580"/>
      <c r="B115" s="616"/>
      <c r="C115" s="580"/>
      <c r="D115" s="616"/>
      <c r="E115" s="580"/>
      <c r="F115" s="580"/>
      <c r="G115" s="580"/>
      <c r="H115" s="580"/>
      <c r="I115" s="580"/>
      <c r="J115" s="580"/>
      <c r="K115" s="580"/>
      <c r="L115" s="580"/>
      <c r="M115" s="580"/>
      <c r="N115" s="580"/>
      <c r="O115" s="580"/>
      <c r="P115" s="580"/>
      <c r="Q115" s="580"/>
      <c r="R115" s="580"/>
      <c r="S115" s="580"/>
      <c r="T115" s="580"/>
      <c r="U115" s="580"/>
      <c r="V115" s="580"/>
      <c r="W115" s="580"/>
      <c r="X115" s="580"/>
      <c r="Y115" s="580"/>
      <c r="Z115" s="580"/>
      <c r="AA115" s="580"/>
      <c r="AB115" s="580"/>
      <c r="AC115" s="580"/>
      <c r="AD115" s="580"/>
      <c r="AE115" s="580"/>
      <c r="AF115" s="580"/>
      <c r="AG115" s="580"/>
      <c r="AH115" s="580"/>
      <c r="AI115" s="580"/>
      <c r="AJ115" s="580"/>
      <c r="AK115" s="580"/>
      <c r="AL115" s="580"/>
      <c r="AM115" s="580"/>
      <c r="AN115" s="580"/>
      <c r="AO115" s="580"/>
      <c r="AP115" s="580"/>
      <c r="AQ115" s="580"/>
      <c r="AR115" s="580"/>
      <c r="AS115" s="580"/>
    </row>
    <row r="116" spans="1:45">
      <c r="A116" s="580"/>
      <c r="B116" s="616"/>
      <c r="C116" s="580"/>
      <c r="D116" s="616"/>
      <c r="E116" s="580"/>
      <c r="F116" s="580"/>
      <c r="G116" s="580"/>
      <c r="H116" s="580"/>
      <c r="I116" s="580"/>
      <c r="J116" s="580"/>
      <c r="K116" s="580"/>
      <c r="L116" s="580"/>
      <c r="M116" s="580"/>
      <c r="N116" s="580"/>
      <c r="O116" s="580"/>
      <c r="P116" s="580"/>
      <c r="Q116" s="580"/>
      <c r="R116" s="580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0"/>
      <c r="AD116" s="580"/>
      <c r="AE116" s="580"/>
      <c r="AF116" s="580"/>
      <c r="AG116" s="580"/>
      <c r="AH116" s="580"/>
      <c r="AI116" s="580"/>
      <c r="AJ116" s="580"/>
      <c r="AK116" s="580"/>
      <c r="AL116" s="580"/>
      <c r="AM116" s="580"/>
      <c r="AN116" s="580"/>
      <c r="AO116" s="580"/>
      <c r="AP116" s="580"/>
      <c r="AQ116" s="580"/>
      <c r="AR116" s="580"/>
      <c r="AS116" s="580"/>
    </row>
    <row r="117" spans="1:45">
      <c r="A117" s="580"/>
      <c r="B117" s="616"/>
      <c r="C117" s="580"/>
      <c r="D117" s="616"/>
      <c r="E117" s="580"/>
      <c r="F117" s="580"/>
      <c r="G117" s="580"/>
      <c r="H117" s="580"/>
      <c r="I117" s="580"/>
      <c r="J117" s="580"/>
      <c r="K117" s="580"/>
      <c r="L117" s="580"/>
      <c r="M117" s="580"/>
      <c r="N117" s="580"/>
      <c r="O117" s="580"/>
      <c r="P117" s="580"/>
      <c r="Q117" s="580"/>
      <c r="R117" s="580"/>
      <c r="S117" s="580"/>
      <c r="T117" s="580"/>
      <c r="U117" s="580"/>
      <c r="V117" s="580"/>
      <c r="W117" s="580"/>
      <c r="X117" s="580"/>
      <c r="Y117" s="580"/>
      <c r="Z117" s="580"/>
      <c r="AA117" s="580"/>
      <c r="AB117" s="580"/>
      <c r="AC117" s="580"/>
      <c r="AD117" s="580"/>
      <c r="AE117" s="580"/>
      <c r="AF117" s="580"/>
      <c r="AG117" s="580"/>
      <c r="AH117" s="580"/>
      <c r="AI117" s="580"/>
      <c r="AJ117" s="580"/>
      <c r="AK117" s="580"/>
      <c r="AL117" s="580"/>
      <c r="AM117" s="580"/>
      <c r="AN117" s="580"/>
      <c r="AO117" s="580"/>
      <c r="AP117" s="580"/>
      <c r="AQ117" s="580"/>
      <c r="AR117" s="580"/>
      <c r="AS117" s="580"/>
    </row>
    <row r="118" spans="1:45">
      <c r="A118" s="580"/>
      <c r="B118" s="616"/>
      <c r="C118" s="580"/>
      <c r="D118" s="616"/>
      <c r="E118" s="580"/>
      <c r="F118" s="580"/>
      <c r="G118" s="580"/>
      <c r="H118" s="580"/>
      <c r="I118" s="580"/>
      <c r="J118" s="580"/>
      <c r="K118" s="580"/>
      <c r="L118" s="580"/>
      <c r="M118" s="580"/>
      <c r="N118" s="580"/>
      <c r="O118" s="580"/>
      <c r="P118" s="580"/>
      <c r="Q118" s="580"/>
      <c r="R118" s="580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0"/>
      <c r="AD118" s="580"/>
      <c r="AE118" s="580"/>
      <c r="AF118" s="580"/>
      <c r="AG118" s="580"/>
      <c r="AH118" s="580"/>
      <c r="AI118" s="580"/>
      <c r="AJ118" s="580"/>
      <c r="AK118" s="580"/>
      <c r="AL118" s="580"/>
      <c r="AM118" s="580"/>
      <c r="AN118" s="580"/>
      <c r="AO118" s="580"/>
      <c r="AP118" s="580"/>
      <c r="AQ118" s="580"/>
      <c r="AR118" s="580"/>
      <c r="AS118" s="580"/>
    </row>
    <row r="119" spans="1:45">
      <c r="A119" s="580"/>
      <c r="B119" s="616"/>
      <c r="C119" s="580"/>
      <c r="D119" s="616"/>
      <c r="E119" s="580"/>
      <c r="F119" s="580"/>
      <c r="G119" s="580"/>
      <c r="H119" s="580"/>
      <c r="I119" s="580"/>
      <c r="J119" s="580"/>
      <c r="K119" s="580"/>
      <c r="L119" s="580"/>
      <c r="M119" s="580"/>
      <c r="N119" s="580"/>
      <c r="O119" s="580"/>
      <c r="P119" s="580"/>
      <c r="Q119" s="580"/>
      <c r="R119" s="580"/>
      <c r="S119" s="580"/>
      <c r="T119" s="580"/>
      <c r="U119" s="580"/>
      <c r="V119" s="580"/>
      <c r="W119" s="580"/>
      <c r="X119" s="580"/>
      <c r="Y119" s="580"/>
      <c r="Z119" s="580"/>
      <c r="AA119" s="580"/>
      <c r="AB119" s="580"/>
      <c r="AC119" s="580"/>
      <c r="AD119" s="580"/>
      <c r="AE119" s="580"/>
      <c r="AF119" s="580"/>
      <c r="AG119" s="580"/>
      <c r="AH119" s="580"/>
      <c r="AI119" s="580"/>
      <c r="AJ119" s="580"/>
      <c r="AK119" s="580"/>
      <c r="AL119" s="580"/>
      <c r="AM119" s="580"/>
      <c r="AN119" s="580"/>
      <c r="AO119" s="580"/>
      <c r="AP119" s="580"/>
      <c r="AQ119" s="580"/>
      <c r="AR119" s="580"/>
      <c r="AS119" s="580"/>
    </row>
    <row r="120" spans="1:45">
      <c r="A120" s="580"/>
      <c r="B120" s="616"/>
      <c r="C120" s="580"/>
      <c r="D120" s="616"/>
      <c r="E120" s="580"/>
      <c r="F120" s="580"/>
      <c r="G120" s="580"/>
      <c r="H120" s="580"/>
      <c r="I120" s="580"/>
      <c r="J120" s="580"/>
      <c r="K120" s="580"/>
      <c r="L120" s="580"/>
      <c r="M120" s="580"/>
      <c r="N120" s="580"/>
      <c r="O120" s="580"/>
      <c r="P120" s="580"/>
      <c r="Q120" s="580"/>
      <c r="R120" s="580"/>
      <c r="S120" s="580"/>
      <c r="T120" s="580"/>
      <c r="U120" s="580"/>
      <c r="V120" s="580"/>
      <c r="W120" s="580"/>
      <c r="X120" s="580"/>
      <c r="Y120" s="580"/>
      <c r="Z120" s="580"/>
      <c r="AA120" s="580"/>
      <c r="AB120" s="580"/>
      <c r="AC120" s="580"/>
      <c r="AD120" s="580"/>
      <c r="AE120" s="580"/>
      <c r="AF120" s="580"/>
      <c r="AG120" s="580"/>
      <c r="AH120" s="580"/>
      <c r="AI120" s="580"/>
      <c r="AJ120" s="580"/>
      <c r="AK120" s="580"/>
      <c r="AL120" s="580"/>
      <c r="AM120" s="580"/>
      <c r="AN120" s="580"/>
      <c r="AO120" s="580"/>
      <c r="AP120" s="580"/>
      <c r="AQ120" s="580"/>
      <c r="AR120" s="580"/>
      <c r="AS120" s="580"/>
    </row>
    <row r="121" spans="1:45">
      <c r="A121" s="580"/>
      <c r="B121" s="616"/>
      <c r="C121" s="580"/>
      <c r="D121" s="616"/>
      <c r="E121" s="580"/>
      <c r="F121" s="580"/>
      <c r="G121" s="580"/>
      <c r="H121" s="580"/>
      <c r="I121" s="580"/>
      <c r="J121" s="580"/>
      <c r="K121" s="580"/>
      <c r="L121" s="580"/>
      <c r="M121" s="580"/>
      <c r="N121" s="580"/>
      <c r="O121" s="580"/>
      <c r="P121" s="580"/>
      <c r="Q121" s="580"/>
      <c r="R121" s="580"/>
      <c r="S121" s="580"/>
      <c r="T121" s="580"/>
      <c r="U121" s="580"/>
      <c r="V121" s="580"/>
      <c r="W121" s="580"/>
      <c r="X121" s="580"/>
      <c r="Y121" s="580"/>
      <c r="Z121" s="580"/>
      <c r="AA121" s="580"/>
      <c r="AB121" s="580"/>
      <c r="AC121" s="580"/>
      <c r="AD121" s="580"/>
      <c r="AE121" s="580"/>
      <c r="AF121" s="580"/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</row>
    <row r="122" spans="1:45">
      <c r="A122" s="580"/>
      <c r="B122" s="616"/>
      <c r="C122" s="580"/>
      <c r="D122" s="616"/>
      <c r="E122" s="580"/>
      <c r="F122" s="580"/>
      <c r="G122" s="580"/>
      <c r="H122" s="580"/>
      <c r="I122" s="580"/>
      <c r="J122" s="580"/>
      <c r="K122" s="580"/>
      <c r="L122" s="580"/>
      <c r="M122" s="580"/>
      <c r="N122" s="580"/>
      <c r="O122" s="580"/>
      <c r="P122" s="580"/>
      <c r="Q122" s="580"/>
      <c r="R122" s="580"/>
      <c r="S122" s="580"/>
      <c r="T122" s="580"/>
      <c r="U122" s="580"/>
      <c r="V122" s="580"/>
      <c r="W122" s="580"/>
      <c r="X122" s="580"/>
      <c r="Y122" s="580"/>
      <c r="Z122" s="580"/>
      <c r="AA122" s="580"/>
      <c r="AB122" s="580"/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</row>
    <row r="123" spans="1:45">
      <c r="A123" s="580"/>
      <c r="B123" s="616"/>
      <c r="C123" s="580"/>
      <c r="D123" s="616"/>
      <c r="E123" s="580"/>
      <c r="F123" s="580"/>
      <c r="G123" s="580"/>
      <c r="H123" s="580"/>
      <c r="I123" s="580"/>
      <c r="J123" s="580"/>
      <c r="K123" s="580"/>
      <c r="L123" s="580"/>
      <c r="M123" s="580"/>
      <c r="N123" s="580"/>
      <c r="O123" s="580"/>
      <c r="P123" s="580"/>
      <c r="Q123" s="580"/>
      <c r="R123" s="580"/>
      <c r="S123" s="580"/>
      <c r="T123" s="580"/>
      <c r="U123" s="580"/>
      <c r="V123" s="580"/>
      <c r="W123" s="580"/>
      <c r="X123" s="580"/>
      <c r="Y123" s="580"/>
      <c r="Z123" s="580"/>
      <c r="AA123" s="580"/>
      <c r="AB123" s="580"/>
      <c r="AC123" s="580"/>
      <c r="AD123" s="580"/>
      <c r="AE123" s="580"/>
      <c r="AF123" s="580"/>
      <c r="AG123" s="580"/>
      <c r="AH123" s="580"/>
      <c r="AI123" s="580"/>
      <c r="AJ123" s="580"/>
      <c r="AK123" s="580"/>
      <c r="AL123" s="580"/>
      <c r="AM123" s="580"/>
      <c r="AN123" s="580"/>
      <c r="AO123" s="580"/>
      <c r="AP123" s="580"/>
      <c r="AQ123" s="580"/>
      <c r="AR123" s="580"/>
      <c r="AS123" s="580"/>
    </row>
    <row r="124" spans="1:45">
      <c r="A124" s="580"/>
      <c r="B124" s="616"/>
      <c r="C124" s="580"/>
      <c r="D124" s="616"/>
      <c r="E124" s="580"/>
      <c r="F124" s="580"/>
      <c r="G124" s="580"/>
      <c r="H124" s="580"/>
      <c r="I124" s="580"/>
      <c r="J124" s="580"/>
      <c r="K124" s="580"/>
      <c r="L124" s="580"/>
      <c r="M124" s="580"/>
      <c r="N124" s="580"/>
      <c r="O124" s="580"/>
      <c r="P124" s="580"/>
      <c r="Q124" s="580"/>
      <c r="R124" s="580"/>
      <c r="S124" s="580"/>
      <c r="T124" s="580"/>
      <c r="U124" s="580"/>
      <c r="V124" s="580"/>
      <c r="W124" s="580"/>
      <c r="X124" s="580"/>
      <c r="Y124" s="580"/>
      <c r="Z124" s="580"/>
      <c r="AA124" s="580"/>
      <c r="AB124" s="580"/>
      <c r="AC124" s="580"/>
      <c r="AD124" s="580"/>
      <c r="AE124" s="580"/>
      <c r="AF124" s="580"/>
      <c r="AG124" s="580"/>
      <c r="AH124" s="580"/>
      <c r="AI124" s="580"/>
      <c r="AJ124" s="580"/>
      <c r="AK124" s="580"/>
      <c r="AL124" s="580"/>
      <c r="AM124" s="580"/>
      <c r="AN124" s="580"/>
      <c r="AO124" s="580"/>
      <c r="AP124" s="580"/>
      <c r="AQ124" s="580"/>
      <c r="AR124" s="580"/>
      <c r="AS124" s="580"/>
    </row>
    <row r="125" spans="1:45">
      <c r="A125" s="580"/>
      <c r="B125" s="616"/>
      <c r="C125" s="580"/>
      <c r="D125" s="616"/>
      <c r="E125" s="580"/>
      <c r="F125" s="580"/>
      <c r="G125" s="580"/>
      <c r="H125" s="580"/>
      <c r="I125" s="580"/>
      <c r="J125" s="580"/>
      <c r="K125" s="580"/>
      <c r="L125" s="580"/>
      <c r="M125" s="580"/>
      <c r="N125" s="580"/>
      <c r="O125" s="580"/>
      <c r="P125" s="580"/>
      <c r="Q125" s="580"/>
      <c r="R125" s="580"/>
      <c r="S125" s="580"/>
      <c r="T125" s="580"/>
      <c r="U125" s="580"/>
      <c r="V125" s="580"/>
      <c r="W125" s="580"/>
      <c r="X125" s="580"/>
      <c r="Y125" s="580"/>
      <c r="Z125" s="580"/>
      <c r="AA125" s="580"/>
      <c r="AB125" s="580"/>
      <c r="AC125" s="580"/>
      <c r="AD125" s="580"/>
      <c r="AE125" s="580"/>
      <c r="AF125" s="580"/>
      <c r="AG125" s="580"/>
      <c r="AH125" s="580"/>
      <c r="AI125" s="580"/>
      <c r="AJ125" s="580"/>
      <c r="AK125" s="580"/>
      <c r="AL125" s="580"/>
      <c r="AM125" s="580"/>
      <c r="AN125" s="580"/>
      <c r="AO125" s="580"/>
      <c r="AP125" s="580"/>
      <c r="AQ125" s="580"/>
      <c r="AR125" s="580"/>
      <c r="AS125" s="580"/>
    </row>
    <row r="126" spans="1:45">
      <c r="A126" s="580"/>
      <c r="B126" s="616"/>
      <c r="C126" s="580"/>
      <c r="D126" s="616"/>
      <c r="E126" s="580"/>
      <c r="F126" s="580"/>
      <c r="G126" s="580"/>
      <c r="H126" s="580"/>
      <c r="I126" s="580"/>
      <c r="J126" s="580"/>
      <c r="K126" s="580"/>
      <c r="L126" s="580"/>
      <c r="M126" s="580"/>
      <c r="N126" s="580"/>
      <c r="O126" s="580"/>
      <c r="P126" s="580"/>
      <c r="Q126" s="580"/>
      <c r="R126" s="580"/>
      <c r="S126" s="580"/>
      <c r="T126" s="580"/>
      <c r="U126" s="580"/>
      <c r="V126" s="580"/>
      <c r="W126" s="580"/>
      <c r="X126" s="580"/>
      <c r="Y126" s="580"/>
      <c r="Z126" s="580"/>
      <c r="AA126" s="580"/>
      <c r="AB126" s="580"/>
      <c r="AC126" s="580"/>
      <c r="AD126" s="580"/>
      <c r="AE126" s="580"/>
      <c r="AF126" s="580"/>
      <c r="AG126" s="580"/>
      <c r="AH126" s="580"/>
      <c r="AI126" s="580"/>
      <c r="AJ126" s="580"/>
      <c r="AK126" s="580"/>
      <c r="AL126" s="580"/>
      <c r="AM126" s="580"/>
      <c r="AN126" s="580"/>
      <c r="AO126" s="580"/>
      <c r="AP126" s="580"/>
      <c r="AQ126" s="580"/>
      <c r="AR126" s="580"/>
      <c r="AS126" s="580"/>
    </row>
    <row r="127" spans="1:45">
      <c r="A127" s="580"/>
      <c r="B127" s="616"/>
      <c r="C127" s="580"/>
      <c r="D127" s="616"/>
      <c r="E127" s="580"/>
      <c r="F127" s="580"/>
      <c r="G127" s="580"/>
      <c r="H127" s="580"/>
      <c r="I127" s="580"/>
      <c r="J127" s="580"/>
      <c r="K127" s="580"/>
      <c r="L127" s="580"/>
      <c r="M127" s="580"/>
      <c r="N127" s="580"/>
      <c r="O127" s="580"/>
      <c r="P127" s="580"/>
      <c r="Q127" s="580"/>
      <c r="R127" s="580"/>
      <c r="S127" s="580"/>
      <c r="T127" s="580"/>
      <c r="U127" s="580"/>
      <c r="V127" s="580"/>
      <c r="W127" s="580"/>
      <c r="X127" s="580"/>
      <c r="Y127" s="580"/>
      <c r="Z127" s="580"/>
      <c r="AA127" s="580"/>
      <c r="AB127" s="580"/>
      <c r="AC127" s="580"/>
      <c r="AD127" s="580"/>
      <c r="AE127" s="580"/>
      <c r="AF127" s="580"/>
      <c r="AG127" s="580"/>
      <c r="AH127" s="580"/>
      <c r="AI127" s="580"/>
      <c r="AJ127" s="580"/>
      <c r="AK127" s="580"/>
      <c r="AL127" s="580"/>
      <c r="AM127" s="580"/>
      <c r="AN127" s="580"/>
      <c r="AO127" s="580"/>
      <c r="AP127" s="580"/>
      <c r="AQ127" s="580"/>
      <c r="AR127" s="580"/>
      <c r="AS127" s="580"/>
    </row>
    <row r="128" spans="1:45">
      <c r="A128" s="580"/>
      <c r="B128" s="616"/>
      <c r="C128" s="580"/>
      <c r="D128" s="616"/>
      <c r="E128" s="580"/>
      <c r="F128" s="580"/>
      <c r="G128" s="580"/>
      <c r="H128" s="580"/>
      <c r="I128" s="580"/>
      <c r="J128" s="580"/>
      <c r="K128" s="580"/>
      <c r="L128" s="580"/>
      <c r="M128" s="580"/>
      <c r="N128" s="580"/>
      <c r="O128" s="580"/>
      <c r="P128" s="580"/>
      <c r="Q128" s="580"/>
      <c r="R128" s="580"/>
      <c r="S128" s="580"/>
      <c r="T128" s="580"/>
      <c r="U128" s="580"/>
      <c r="V128" s="580"/>
      <c r="W128" s="580"/>
      <c r="X128" s="580"/>
      <c r="Y128" s="580"/>
      <c r="Z128" s="580"/>
      <c r="AA128" s="580"/>
      <c r="AB128" s="580"/>
      <c r="AC128" s="580"/>
      <c r="AD128" s="580"/>
      <c r="AE128" s="580"/>
      <c r="AF128" s="580"/>
      <c r="AG128" s="580"/>
      <c r="AH128" s="580"/>
      <c r="AI128" s="580"/>
      <c r="AJ128" s="580"/>
      <c r="AK128" s="580"/>
      <c r="AL128" s="580"/>
      <c r="AM128" s="580"/>
      <c r="AN128" s="580"/>
      <c r="AO128" s="580"/>
      <c r="AP128" s="580"/>
      <c r="AQ128" s="580"/>
      <c r="AR128" s="580"/>
      <c r="AS128" s="580"/>
    </row>
    <row r="129" spans="1:45">
      <c r="A129" s="580"/>
      <c r="B129" s="616"/>
      <c r="C129" s="580"/>
      <c r="D129" s="616"/>
      <c r="E129" s="580"/>
      <c r="F129" s="580"/>
      <c r="G129" s="580"/>
      <c r="H129" s="580"/>
      <c r="I129" s="580"/>
      <c r="J129" s="580"/>
      <c r="K129" s="580"/>
      <c r="L129" s="580"/>
      <c r="M129" s="580"/>
      <c r="N129" s="580"/>
      <c r="O129" s="580"/>
      <c r="P129" s="580"/>
      <c r="Q129" s="580"/>
      <c r="R129" s="580"/>
      <c r="S129" s="580"/>
      <c r="T129" s="580"/>
      <c r="U129" s="580"/>
      <c r="V129" s="580"/>
      <c r="W129" s="580"/>
      <c r="X129" s="580"/>
      <c r="Y129" s="580"/>
      <c r="Z129" s="580"/>
      <c r="AA129" s="580"/>
      <c r="AB129" s="580"/>
      <c r="AC129" s="580"/>
      <c r="AD129" s="580"/>
      <c r="AE129" s="580"/>
      <c r="AF129" s="580"/>
      <c r="AG129" s="580"/>
      <c r="AH129" s="580"/>
      <c r="AI129" s="580"/>
      <c r="AJ129" s="580"/>
      <c r="AK129" s="580"/>
      <c r="AL129" s="580"/>
      <c r="AM129" s="580"/>
      <c r="AN129" s="580"/>
      <c r="AO129" s="580"/>
      <c r="AP129" s="580"/>
      <c r="AQ129" s="580"/>
      <c r="AR129" s="580"/>
      <c r="AS129" s="580"/>
    </row>
    <row r="130" spans="1:45">
      <c r="A130" s="580"/>
      <c r="B130" s="616"/>
      <c r="C130" s="580"/>
      <c r="D130" s="616"/>
      <c r="E130" s="580"/>
      <c r="F130" s="580"/>
      <c r="G130" s="580"/>
      <c r="H130" s="580"/>
      <c r="I130" s="580"/>
      <c r="J130" s="580"/>
      <c r="K130" s="580"/>
      <c r="L130" s="580"/>
      <c r="M130" s="580"/>
      <c r="N130" s="580"/>
      <c r="O130" s="580"/>
      <c r="P130" s="580"/>
      <c r="Q130" s="580"/>
      <c r="R130" s="580"/>
      <c r="S130" s="580"/>
      <c r="T130" s="580"/>
      <c r="U130" s="580"/>
      <c r="V130" s="580"/>
      <c r="W130" s="580"/>
      <c r="X130" s="580"/>
      <c r="Y130" s="580"/>
      <c r="Z130" s="580"/>
      <c r="AA130" s="580"/>
      <c r="AB130" s="580"/>
      <c r="AC130" s="580"/>
      <c r="AD130" s="580"/>
      <c r="AE130" s="580"/>
      <c r="AF130" s="580"/>
      <c r="AG130" s="580"/>
      <c r="AH130" s="580"/>
      <c r="AI130" s="580"/>
      <c r="AJ130" s="580"/>
      <c r="AK130" s="580"/>
      <c r="AL130" s="580"/>
      <c r="AM130" s="580"/>
      <c r="AN130" s="580"/>
      <c r="AO130" s="580"/>
      <c r="AP130" s="580"/>
      <c r="AQ130" s="580"/>
      <c r="AR130" s="580"/>
      <c r="AS130" s="580"/>
    </row>
    <row r="131" spans="1:45">
      <c r="A131" s="580"/>
      <c r="B131" s="616"/>
      <c r="C131" s="580"/>
      <c r="D131" s="616"/>
      <c r="E131" s="580"/>
      <c r="F131" s="580"/>
      <c r="G131" s="580"/>
      <c r="H131" s="580"/>
      <c r="I131" s="580"/>
      <c r="J131" s="580"/>
      <c r="K131" s="580"/>
      <c r="L131" s="580"/>
      <c r="M131" s="580"/>
      <c r="N131" s="580"/>
      <c r="O131" s="580"/>
      <c r="P131" s="580"/>
      <c r="Q131" s="580"/>
      <c r="R131" s="580"/>
      <c r="S131" s="580"/>
      <c r="T131" s="580"/>
      <c r="U131" s="580"/>
      <c r="V131" s="580"/>
      <c r="W131" s="580"/>
      <c r="X131" s="580"/>
      <c r="Y131" s="580"/>
      <c r="Z131" s="580"/>
      <c r="AA131" s="580"/>
      <c r="AB131" s="580"/>
      <c r="AC131" s="580"/>
      <c r="AD131" s="580"/>
      <c r="AE131" s="580"/>
      <c r="AF131" s="580"/>
      <c r="AG131" s="580"/>
      <c r="AH131" s="580"/>
      <c r="AI131" s="580"/>
      <c r="AJ131" s="580"/>
      <c r="AK131" s="580"/>
      <c r="AL131" s="580"/>
      <c r="AM131" s="580"/>
      <c r="AN131" s="580"/>
      <c r="AO131" s="580"/>
      <c r="AP131" s="580"/>
      <c r="AQ131" s="580"/>
      <c r="AR131" s="580"/>
      <c r="AS131" s="580"/>
    </row>
    <row r="132" spans="1:45">
      <c r="A132" s="580"/>
      <c r="B132" s="616"/>
      <c r="C132" s="580"/>
      <c r="D132" s="616"/>
      <c r="E132" s="580"/>
      <c r="F132" s="580"/>
      <c r="G132" s="580"/>
      <c r="H132" s="580"/>
      <c r="I132" s="580"/>
      <c r="J132" s="580"/>
      <c r="K132" s="580"/>
      <c r="L132" s="580"/>
      <c r="M132" s="580"/>
      <c r="N132" s="580"/>
      <c r="O132" s="580"/>
      <c r="P132" s="580"/>
      <c r="Q132" s="580"/>
      <c r="R132" s="580"/>
      <c r="S132" s="580"/>
      <c r="T132" s="580"/>
      <c r="U132" s="580"/>
      <c r="V132" s="580"/>
      <c r="W132" s="580"/>
      <c r="X132" s="580"/>
      <c r="Y132" s="580"/>
      <c r="Z132" s="580"/>
      <c r="AA132" s="580"/>
      <c r="AB132" s="580"/>
      <c r="AC132" s="580"/>
      <c r="AD132" s="580"/>
      <c r="AE132" s="580"/>
      <c r="AF132" s="580"/>
      <c r="AG132" s="580"/>
      <c r="AH132" s="580"/>
      <c r="AI132" s="580"/>
      <c r="AJ132" s="580"/>
      <c r="AK132" s="580"/>
      <c r="AL132" s="580"/>
      <c r="AM132" s="580"/>
      <c r="AN132" s="580"/>
      <c r="AO132" s="580"/>
      <c r="AP132" s="580"/>
      <c r="AQ132" s="580"/>
      <c r="AR132" s="580"/>
      <c r="AS132" s="580"/>
    </row>
    <row r="133" spans="1:45">
      <c r="A133" s="580"/>
      <c r="B133" s="616"/>
      <c r="C133" s="580"/>
      <c r="D133" s="616"/>
      <c r="E133" s="580"/>
      <c r="F133" s="580"/>
      <c r="G133" s="580"/>
      <c r="H133" s="580"/>
      <c r="I133" s="580"/>
      <c r="J133" s="580"/>
      <c r="K133" s="580"/>
      <c r="L133" s="580"/>
      <c r="M133" s="580"/>
      <c r="N133" s="580"/>
      <c r="O133" s="580"/>
      <c r="P133" s="580"/>
      <c r="Q133" s="580"/>
      <c r="R133" s="580"/>
      <c r="S133" s="580"/>
      <c r="T133" s="580"/>
      <c r="U133" s="580"/>
      <c r="V133" s="580"/>
      <c r="W133" s="580"/>
      <c r="X133" s="580"/>
      <c r="Y133" s="580"/>
      <c r="Z133" s="580"/>
      <c r="AA133" s="580"/>
      <c r="AB133" s="580"/>
      <c r="AC133" s="580"/>
      <c r="AD133" s="580"/>
      <c r="AE133" s="580"/>
      <c r="AF133" s="580"/>
      <c r="AG133" s="580"/>
      <c r="AH133" s="580"/>
      <c r="AI133" s="580"/>
      <c r="AJ133" s="580"/>
      <c r="AK133" s="580"/>
      <c r="AL133" s="580"/>
      <c r="AM133" s="580"/>
      <c r="AN133" s="580"/>
      <c r="AO133" s="580"/>
      <c r="AP133" s="580"/>
      <c r="AQ133" s="580"/>
      <c r="AR133" s="580"/>
      <c r="AS133" s="580"/>
    </row>
    <row r="134" spans="1:45">
      <c r="A134" s="580"/>
      <c r="B134" s="616"/>
      <c r="C134" s="580"/>
      <c r="D134" s="616"/>
      <c r="E134" s="580"/>
      <c r="F134" s="580"/>
      <c r="G134" s="580"/>
      <c r="H134" s="580"/>
      <c r="I134" s="580"/>
      <c r="J134" s="580"/>
      <c r="K134" s="580"/>
      <c r="L134" s="580"/>
      <c r="M134" s="580"/>
      <c r="N134" s="580"/>
      <c r="O134" s="580"/>
      <c r="P134" s="580"/>
      <c r="Q134" s="580"/>
      <c r="R134" s="580"/>
      <c r="S134" s="580"/>
      <c r="T134" s="580"/>
      <c r="U134" s="580"/>
      <c r="V134" s="580"/>
      <c r="W134" s="580"/>
      <c r="X134" s="580"/>
      <c r="Y134" s="580"/>
      <c r="Z134" s="580"/>
      <c r="AA134" s="580"/>
      <c r="AB134" s="580"/>
      <c r="AC134" s="580"/>
      <c r="AD134" s="580"/>
      <c r="AE134" s="580"/>
      <c r="AF134" s="580"/>
      <c r="AG134" s="580"/>
      <c r="AH134" s="580"/>
      <c r="AI134" s="580"/>
      <c r="AJ134" s="580"/>
      <c r="AK134" s="580"/>
      <c r="AL134" s="580"/>
      <c r="AM134" s="580"/>
      <c r="AN134" s="580"/>
      <c r="AO134" s="580"/>
      <c r="AP134" s="580"/>
      <c r="AQ134" s="580"/>
      <c r="AR134" s="580"/>
      <c r="AS134" s="580"/>
    </row>
    <row r="135" spans="1:45">
      <c r="A135" s="580"/>
      <c r="B135" s="616"/>
      <c r="C135" s="580"/>
      <c r="D135" s="616"/>
      <c r="E135" s="580"/>
      <c r="F135" s="580"/>
      <c r="G135" s="580"/>
      <c r="H135" s="580"/>
      <c r="I135" s="580"/>
      <c r="J135" s="580"/>
      <c r="K135" s="580"/>
      <c r="L135" s="580"/>
      <c r="M135" s="580"/>
      <c r="N135" s="580"/>
      <c r="O135" s="580"/>
      <c r="P135" s="580"/>
      <c r="Q135" s="580"/>
      <c r="R135" s="580"/>
      <c r="S135" s="580"/>
      <c r="T135" s="580"/>
      <c r="U135" s="580"/>
      <c r="V135" s="580"/>
      <c r="W135" s="580"/>
      <c r="X135" s="580"/>
      <c r="Y135" s="580"/>
      <c r="Z135" s="580"/>
      <c r="AA135" s="580"/>
      <c r="AB135" s="580"/>
      <c r="AC135" s="580"/>
      <c r="AD135" s="580"/>
      <c r="AE135" s="580"/>
      <c r="AF135" s="580"/>
      <c r="AG135" s="580"/>
      <c r="AH135" s="580"/>
      <c r="AI135" s="580"/>
      <c r="AJ135" s="580"/>
      <c r="AK135" s="580"/>
      <c r="AL135" s="580"/>
      <c r="AM135" s="580"/>
      <c r="AN135" s="580"/>
      <c r="AO135" s="580"/>
      <c r="AP135" s="580"/>
      <c r="AQ135" s="580"/>
      <c r="AR135" s="580"/>
      <c r="AS135" s="580"/>
    </row>
    <row r="136" spans="1:45">
      <c r="A136" s="580"/>
      <c r="B136" s="616"/>
      <c r="C136" s="580"/>
      <c r="D136" s="616"/>
      <c r="E136" s="580"/>
      <c r="F136" s="580"/>
      <c r="G136" s="580"/>
      <c r="H136" s="580"/>
      <c r="I136" s="580"/>
      <c r="J136" s="580"/>
      <c r="K136" s="580"/>
      <c r="L136" s="580"/>
      <c r="M136" s="580"/>
      <c r="N136" s="580"/>
      <c r="O136" s="580"/>
      <c r="P136" s="580"/>
      <c r="Q136" s="580"/>
      <c r="R136" s="580"/>
      <c r="S136" s="580"/>
      <c r="T136" s="580"/>
      <c r="U136" s="580"/>
      <c r="V136" s="580"/>
      <c r="W136" s="580"/>
      <c r="X136" s="580"/>
      <c r="Y136" s="580"/>
      <c r="Z136" s="580"/>
      <c r="AA136" s="580"/>
      <c r="AB136" s="580"/>
      <c r="AC136" s="580"/>
      <c r="AD136" s="580"/>
      <c r="AE136" s="580"/>
      <c r="AF136" s="580"/>
      <c r="AG136" s="580"/>
      <c r="AH136" s="580"/>
      <c r="AI136" s="580"/>
      <c r="AJ136" s="580"/>
      <c r="AK136" s="580"/>
      <c r="AL136" s="580"/>
      <c r="AM136" s="580"/>
      <c r="AN136" s="580"/>
      <c r="AO136" s="580"/>
      <c r="AP136" s="580"/>
      <c r="AQ136" s="580"/>
      <c r="AR136" s="580"/>
      <c r="AS136" s="580"/>
    </row>
    <row r="137" spans="1:45">
      <c r="A137" s="580"/>
      <c r="B137" s="616"/>
      <c r="C137" s="580"/>
      <c r="D137" s="616"/>
      <c r="E137" s="580"/>
      <c r="F137" s="580"/>
      <c r="G137" s="580"/>
      <c r="H137" s="580"/>
      <c r="I137" s="580"/>
      <c r="J137" s="580"/>
      <c r="K137" s="580"/>
      <c r="L137" s="580"/>
      <c r="M137" s="580"/>
      <c r="N137" s="580"/>
      <c r="O137" s="580"/>
      <c r="P137" s="580"/>
      <c r="Q137" s="580"/>
      <c r="R137" s="580"/>
      <c r="S137" s="580"/>
      <c r="T137" s="580"/>
      <c r="U137" s="580"/>
      <c r="V137" s="580"/>
      <c r="W137" s="580"/>
      <c r="X137" s="580"/>
      <c r="Y137" s="580"/>
      <c r="Z137" s="580"/>
      <c r="AA137" s="580"/>
      <c r="AB137" s="580"/>
      <c r="AC137" s="580"/>
      <c r="AD137" s="580"/>
      <c r="AE137" s="580"/>
      <c r="AF137" s="580"/>
      <c r="AG137" s="580"/>
      <c r="AH137" s="580"/>
      <c r="AI137" s="580"/>
      <c r="AJ137" s="580"/>
      <c r="AK137" s="580"/>
      <c r="AL137" s="580"/>
      <c r="AM137" s="580"/>
      <c r="AN137" s="580"/>
      <c r="AO137" s="580"/>
      <c r="AP137" s="580"/>
      <c r="AQ137" s="580"/>
      <c r="AR137" s="580"/>
      <c r="AS137" s="580"/>
    </row>
    <row r="138" spans="1:45">
      <c r="A138" s="580"/>
      <c r="B138" s="616"/>
      <c r="C138" s="580"/>
      <c r="D138" s="616"/>
      <c r="E138" s="580"/>
      <c r="F138" s="580"/>
      <c r="G138" s="580"/>
      <c r="H138" s="580"/>
      <c r="I138" s="580"/>
      <c r="J138" s="580"/>
      <c r="K138" s="580"/>
      <c r="L138" s="580"/>
      <c r="M138" s="580"/>
      <c r="N138" s="580"/>
      <c r="O138" s="580"/>
      <c r="P138" s="580"/>
      <c r="Q138" s="580"/>
      <c r="R138" s="580"/>
      <c r="S138" s="580"/>
      <c r="T138" s="580"/>
      <c r="U138" s="580"/>
      <c r="V138" s="580"/>
      <c r="W138" s="580"/>
      <c r="X138" s="580"/>
      <c r="Y138" s="580"/>
      <c r="Z138" s="580"/>
      <c r="AA138" s="580"/>
      <c r="AB138" s="580"/>
      <c r="AC138" s="580"/>
      <c r="AD138" s="580"/>
      <c r="AE138" s="580"/>
      <c r="AF138" s="580"/>
      <c r="AG138" s="580"/>
      <c r="AH138" s="580"/>
      <c r="AI138" s="580"/>
      <c r="AJ138" s="580"/>
      <c r="AK138" s="580"/>
      <c r="AL138" s="580"/>
      <c r="AM138" s="580"/>
      <c r="AN138" s="580"/>
      <c r="AO138" s="580"/>
      <c r="AP138" s="580"/>
      <c r="AQ138" s="580"/>
      <c r="AR138" s="580"/>
      <c r="AS138" s="580"/>
    </row>
    <row r="139" spans="1:45">
      <c r="A139" s="580"/>
      <c r="B139" s="616"/>
      <c r="C139" s="580"/>
      <c r="D139" s="616"/>
      <c r="E139" s="580"/>
      <c r="F139" s="580"/>
      <c r="G139" s="580"/>
      <c r="H139" s="580"/>
      <c r="I139" s="580"/>
      <c r="J139" s="580"/>
      <c r="K139" s="580"/>
      <c r="L139" s="580"/>
      <c r="M139" s="580"/>
      <c r="N139" s="580"/>
      <c r="O139" s="580"/>
      <c r="P139" s="580"/>
      <c r="Q139" s="580"/>
      <c r="R139" s="580"/>
      <c r="S139" s="580"/>
      <c r="T139" s="580"/>
      <c r="U139" s="580"/>
      <c r="V139" s="580"/>
      <c r="W139" s="580"/>
      <c r="X139" s="580"/>
      <c r="Y139" s="580"/>
      <c r="Z139" s="580"/>
      <c r="AA139" s="580"/>
      <c r="AB139" s="580"/>
      <c r="AC139" s="580"/>
      <c r="AD139" s="580"/>
      <c r="AE139" s="580"/>
      <c r="AF139" s="580"/>
      <c r="AG139" s="580"/>
      <c r="AH139" s="580"/>
      <c r="AI139" s="580"/>
      <c r="AJ139" s="580"/>
      <c r="AK139" s="580"/>
      <c r="AL139" s="580"/>
      <c r="AM139" s="580"/>
      <c r="AN139" s="580"/>
      <c r="AO139" s="580"/>
      <c r="AP139" s="580"/>
      <c r="AQ139" s="580"/>
      <c r="AR139" s="580"/>
      <c r="AS139" s="580"/>
    </row>
    <row r="140" spans="1:45">
      <c r="A140" s="580"/>
      <c r="B140" s="616"/>
      <c r="C140" s="580"/>
      <c r="D140" s="616"/>
      <c r="E140" s="580"/>
      <c r="F140" s="580"/>
      <c r="G140" s="580"/>
      <c r="H140" s="580"/>
      <c r="I140" s="580"/>
      <c r="J140" s="580"/>
      <c r="K140" s="580"/>
      <c r="L140" s="580"/>
      <c r="M140" s="580"/>
      <c r="N140" s="580"/>
      <c r="O140" s="580"/>
      <c r="P140" s="580"/>
      <c r="Q140" s="580"/>
      <c r="R140" s="580"/>
      <c r="S140" s="580"/>
      <c r="T140" s="580"/>
      <c r="U140" s="580"/>
      <c r="V140" s="580"/>
      <c r="W140" s="580"/>
      <c r="X140" s="580"/>
      <c r="Y140" s="580"/>
      <c r="Z140" s="580"/>
      <c r="AA140" s="580"/>
      <c r="AB140" s="580"/>
      <c r="AC140" s="580"/>
      <c r="AD140" s="580"/>
      <c r="AE140" s="580"/>
      <c r="AF140" s="580"/>
      <c r="AG140" s="580"/>
      <c r="AH140" s="580"/>
      <c r="AI140" s="580"/>
      <c r="AJ140" s="580"/>
      <c r="AK140" s="580"/>
      <c r="AL140" s="580"/>
      <c r="AM140" s="580"/>
      <c r="AN140" s="580"/>
      <c r="AO140" s="580"/>
      <c r="AP140" s="580"/>
      <c r="AQ140" s="580"/>
      <c r="AR140" s="580"/>
      <c r="AS140" s="580"/>
    </row>
    <row r="141" spans="1:45">
      <c r="A141" s="580"/>
      <c r="B141" s="616"/>
      <c r="C141" s="580"/>
      <c r="D141" s="616"/>
      <c r="E141" s="580"/>
      <c r="F141" s="580"/>
      <c r="G141" s="580"/>
      <c r="H141" s="580"/>
      <c r="I141" s="580"/>
      <c r="J141" s="580"/>
      <c r="K141" s="580"/>
      <c r="L141" s="580"/>
      <c r="M141" s="580"/>
      <c r="N141" s="580"/>
      <c r="O141" s="580"/>
      <c r="P141" s="580"/>
      <c r="Q141" s="580"/>
      <c r="R141" s="580"/>
      <c r="S141" s="580"/>
      <c r="T141" s="580"/>
      <c r="U141" s="580"/>
      <c r="V141" s="580"/>
      <c r="W141" s="580"/>
      <c r="X141" s="580"/>
      <c r="Y141" s="580"/>
      <c r="Z141" s="580"/>
      <c r="AA141" s="580"/>
      <c r="AB141" s="580"/>
      <c r="AC141" s="580"/>
      <c r="AD141" s="580"/>
      <c r="AE141" s="580"/>
      <c r="AF141" s="580"/>
      <c r="AG141" s="580"/>
      <c r="AH141" s="580"/>
      <c r="AI141" s="580"/>
      <c r="AJ141" s="580"/>
      <c r="AK141" s="580"/>
      <c r="AL141" s="580"/>
      <c r="AM141" s="580"/>
      <c r="AN141" s="580"/>
      <c r="AO141" s="580"/>
      <c r="AP141" s="580"/>
      <c r="AQ141" s="580"/>
      <c r="AR141" s="580"/>
      <c r="AS141" s="580"/>
    </row>
    <row r="142" spans="1:45">
      <c r="A142" s="580"/>
      <c r="B142" s="616"/>
      <c r="C142" s="580"/>
      <c r="D142" s="616"/>
      <c r="E142" s="580"/>
      <c r="F142" s="580"/>
      <c r="G142" s="580"/>
      <c r="H142" s="580"/>
      <c r="I142" s="580"/>
      <c r="J142" s="580"/>
      <c r="K142" s="580"/>
      <c r="L142" s="580"/>
      <c r="M142" s="580"/>
      <c r="N142" s="580"/>
      <c r="O142" s="580"/>
      <c r="P142" s="580"/>
      <c r="Q142" s="580"/>
      <c r="R142" s="580"/>
      <c r="S142" s="580"/>
      <c r="T142" s="580"/>
      <c r="U142" s="580"/>
      <c r="V142" s="580"/>
      <c r="W142" s="580"/>
      <c r="X142" s="580"/>
      <c r="Y142" s="580"/>
      <c r="Z142" s="580"/>
      <c r="AA142" s="580"/>
      <c r="AB142" s="580"/>
      <c r="AC142" s="580"/>
      <c r="AD142" s="580"/>
      <c r="AE142" s="580"/>
      <c r="AF142" s="580"/>
      <c r="AG142" s="580"/>
      <c r="AH142" s="580"/>
      <c r="AI142" s="580"/>
      <c r="AJ142" s="580"/>
      <c r="AK142" s="580"/>
      <c r="AL142" s="580"/>
      <c r="AM142" s="580"/>
      <c r="AN142" s="580"/>
      <c r="AO142" s="580"/>
      <c r="AP142" s="580"/>
      <c r="AQ142" s="580"/>
      <c r="AR142" s="580"/>
      <c r="AS142" s="580"/>
    </row>
    <row r="143" spans="1:45">
      <c r="A143" s="580"/>
      <c r="B143" s="616"/>
      <c r="C143" s="580"/>
      <c r="D143" s="616"/>
      <c r="E143" s="580"/>
      <c r="F143" s="580"/>
      <c r="G143" s="580"/>
      <c r="H143" s="580"/>
      <c r="I143" s="580"/>
      <c r="J143" s="580"/>
      <c r="K143" s="580"/>
      <c r="L143" s="580"/>
      <c r="M143" s="580"/>
      <c r="N143" s="580"/>
      <c r="O143" s="580"/>
      <c r="P143" s="580"/>
      <c r="Q143" s="580"/>
      <c r="R143" s="580"/>
      <c r="S143" s="580"/>
      <c r="T143" s="580"/>
      <c r="U143" s="580"/>
      <c r="V143" s="580"/>
      <c r="W143" s="580"/>
      <c r="X143" s="580"/>
      <c r="Y143" s="580"/>
      <c r="Z143" s="580"/>
      <c r="AA143" s="580"/>
      <c r="AB143" s="580"/>
      <c r="AC143" s="580"/>
      <c r="AD143" s="580"/>
      <c r="AE143" s="580"/>
      <c r="AF143" s="580"/>
      <c r="AG143" s="580"/>
      <c r="AH143" s="580"/>
      <c r="AI143" s="580"/>
      <c r="AJ143" s="580"/>
      <c r="AK143" s="580"/>
      <c r="AL143" s="580"/>
      <c r="AM143" s="580"/>
      <c r="AN143" s="580"/>
      <c r="AO143" s="580"/>
      <c r="AP143" s="580"/>
      <c r="AQ143" s="580"/>
      <c r="AR143" s="580"/>
      <c r="AS143" s="580"/>
    </row>
    <row r="144" spans="1:45">
      <c r="A144" s="580"/>
      <c r="B144" s="616"/>
      <c r="C144" s="580"/>
      <c r="D144" s="616"/>
      <c r="E144" s="580"/>
      <c r="F144" s="580"/>
      <c r="G144" s="580"/>
      <c r="H144" s="580"/>
      <c r="I144" s="580"/>
      <c r="J144" s="580"/>
      <c r="K144" s="580"/>
      <c r="L144" s="580"/>
      <c r="M144" s="580"/>
      <c r="N144" s="580"/>
      <c r="O144" s="580"/>
      <c r="P144" s="580"/>
      <c r="Q144" s="580"/>
      <c r="R144" s="580"/>
      <c r="S144" s="580"/>
      <c r="T144" s="580"/>
      <c r="U144" s="580"/>
      <c r="V144" s="580"/>
      <c r="W144" s="580"/>
      <c r="X144" s="580"/>
      <c r="Y144" s="580"/>
      <c r="Z144" s="580"/>
      <c r="AA144" s="580"/>
      <c r="AB144" s="580"/>
      <c r="AC144" s="580"/>
      <c r="AD144" s="580"/>
      <c r="AE144" s="580"/>
      <c r="AF144" s="580"/>
      <c r="AG144" s="580"/>
      <c r="AH144" s="580"/>
      <c r="AI144" s="580"/>
      <c r="AJ144" s="580"/>
      <c r="AK144" s="580"/>
      <c r="AL144" s="580"/>
      <c r="AM144" s="580"/>
      <c r="AN144" s="580"/>
      <c r="AO144" s="580"/>
      <c r="AP144" s="580"/>
      <c r="AQ144" s="580"/>
      <c r="AR144" s="580"/>
      <c r="AS144" s="580"/>
    </row>
    <row r="145" spans="1:45">
      <c r="A145" s="580"/>
      <c r="B145" s="616"/>
      <c r="C145" s="580"/>
      <c r="D145" s="616"/>
      <c r="E145" s="580"/>
      <c r="F145" s="580"/>
      <c r="G145" s="580"/>
      <c r="H145" s="580"/>
      <c r="I145" s="580"/>
      <c r="J145" s="580"/>
      <c r="K145" s="580"/>
      <c r="L145" s="580"/>
      <c r="M145" s="580"/>
      <c r="N145" s="580"/>
      <c r="O145" s="580"/>
      <c r="P145" s="580"/>
      <c r="Q145" s="580"/>
      <c r="R145" s="580"/>
      <c r="S145" s="580"/>
      <c r="T145" s="580"/>
      <c r="U145" s="580"/>
      <c r="V145" s="580"/>
      <c r="W145" s="580"/>
      <c r="X145" s="580"/>
      <c r="Y145" s="580"/>
      <c r="Z145" s="580"/>
      <c r="AA145" s="580"/>
      <c r="AB145" s="580"/>
      <c r="AC145" s="580"/>
      <c r="AD145" s="580"/>
      <c r="AE145" s="580"/>
      <c r="AF145" s="580"/>
      <c r="AG145" s="580"/>
      <c r="AH145" s="580"/>
      <c r="AI145" s="580"/>
      <c r="AJ145" s="580"/>
      <c r="AK145" s="580"/>
      <c r="AL145" s="580"/>
      <c r="AM145" s="580"/>
      <c r="AN145" s="580"/>
      <c r="AO145" s="580"/>
      <c r="AP145" s="580"/>
      <c r="AQ145" s="580"/>
      <c r="AR145" s="580"/>
      <c r="AS145" s="580"/>
    </row>
    <row r="146" spans="1:45">
      <c r="A146" s="580"/>
      <c r="B146" s="616"/>
      <c r="C146" s="580"/>
      <c r="D146" s="616"/>
      <c r="E146" s="580"/>
      <c r="F146" s="580"/>
      <c r="G146" s="580"/>
      <c r="H146" s="580"/>
      <c r="I146" s="580"/>
      <c r="J146" s="580"/>
      <c r="K146" s="580"/>
      <c r="L146" s="580"/>
      <c r="M146" s="580"/>
      <c r="N146" s="580"/>
      <c r="O146" s="580"/>
      <c r="P146" s="580"/>
      <c r="Q146" s="580"/>
      <c r="R146" s="580"/>
      <c r="S146" s="580"/>
      <c r="T146" s="580"/>
      <c r="U146" s="580"/>
      <c r="V146" s="580"/>
      <c r="W146" s="580"/>
      <c r="X146" s="580"/>
      <c r="Y146" s="580"/>
      <c r="Z146" s="580"/>
      <c r="AA146" s="580"/>
      <c r="AB146" s="580"/>
      <c r="AC146" s="580"/>
      <c r="AD146" s="580"/>
      <c r="AE146" s="580"/>
      <c r="AF146" s="580"/>
      <c r="AG146" s="580"/>
      <c r="AH146" s="580"/>
      <c r="AI146" s="580"/>
      <c r="AJ146" s="580"/>
      <c r="AK146" s="580"/>
      <c r="AL146" s="580"/>
      <c r="AM146" s="580"/>
      <c r="AN146" s="580"/>
      <c r="AO146" s="580"/>
      <c r="AP146" s="580"/>
      <c r="AQ146" s="580"/>
      <c r="AR146" s="580"/>
      <c r="AS146" s="580"/>
    </row>
    <row r="147" spans="1:45">
      <c r="A147" s="580"/>
      <c r="B147" s="616"/>
      <c r="C147" s="580"/>
      <c r="D147" s="616"/>
      <c r="E147" s="580"/>
      <c r="F147" s="580"/>
      <c r="G147" s="580"/>
      <c r="H147" s="580"/>
      <c r="I147" s="580"/>
      <c r="J147" s="580"/>
      <c r="K147" s="580"/>
      <c r="L147" s="580"/>
      <c r="M147" s="580"/>
      <c r="N147" s="580"/>
      <c r="O147" s="580"/>
      <c r="P147" s="580"/>
      <c r="Q147" s="580"/>
      <c r="R147" s="580"/>
      <c r="S147" s="580"/>
      <c r="T147" s="580"/>
      <c r="U147" s="580"/>
      <c r="V147" s="580"/>
      <c r="W147" s="580"/>
      <c r="X147" s="580"/>
      <c r="Y147" s="580"/>
      <c r="Z147" s="580"/>
      <c r="AA147" s="580"/>
      <c r="AB147" s="580"/>
      <c r="AC147" s="580"/>
      <c r="AD147" s="580"/>
      <c r="AE147" s="580"/>
      <c r="AF147" s="580"/>
      <c r="AG147" s="580"/>
      <c r="AH147" s="580"/>
      <c r="AI147" s="580"/>
      <c r="AJ147" s="580"/>
      <c r="AK147" s="580"/>
      <c r="AL147" s="580"/>
      <c r="AM147" s="580"/>
      <c r="AN147" s="580"/>
      <c r="AO147" s="580"/>
      <c r="AP147" s="580"/>
      <c r="AQ147" s="580"/>
      <c r="AR147" s="580"/>
      <c r="AS147" s="580"/>
    </row>
    <row r="148" spans="1:45">
      <c r="A148" s="580"/>
      <c r="B148" s="616"/>
      <c r="C148" s="580"/>
      <c r="D148" s="616"/>
      <c r="E148" s="580"/>
      <c r="F148" s="580"/>
      <c r="G148" s="580"/>
      <c r="H148" s="580"/>
      <c r="I148" s="580"/>
      <c r="J148" s="580"/>
      <c r="K148" s="580"/>
      <c r="L148" s="580"/>
      <c r="M148" s="580"/>
      <c r="N148" s="580"/>
      <c r="O148" s="580"/>
      <c r="P148" s="580"/>
      <c r="Q148" s="580"/>
      <c r="R148" s="580"/>
      <c r="S148" s="580"/>
      <c r="T148" s="580"/>
      <c r="U148" s="580"/>
      <c r="V148" s="580"/>
      <c r="W148" s="580"/>
      <c r="X148" s="580"/>
      <c r="Y148" s="580"/>
      <c r="Z148" s="580"/>
      <c r="AA148" s="580"/>
      <c r="AB148" s="580"/>
      <c r="AC148" s="580"/>
      <c r="AD148" s="580"/>
      <c r="AE148" s="580"/>
      <c r="AF148" s="580"/>
      <c r="AG148" s="580"/>
      <c r="AH148" s="580"/>
      <c r="AI148" s="580"/>
      <c r="AJ148" s="580"/>
      <c r="AK148" s="580"/>
      <c r="AL148" s="580"/>
      <c r="AM148" s="580"/>
      <c r="AN148" s="580"/>
      <c r="AO148" s="580"/>
      <c r="AP148" s="580"/>
      <c r="AQ148" s="580"/>
      <c r="AR148" s="580"/>
      <c r="AS148" s="580"/>
    </row>
    <row r="149" spans="1:45">
      <c r="A149" s="580"/>
      <c r="B149" s="616"/>
      <c r="C149" s="580"/>
      <c r="D149" s="616"/>
      <c r="E149" s="580"/>
      <c r="F149" s="580"/>
      <c r="G149" s="580"/>
      <c r="H149" s="580"/>
      <c r="I149" s="580"/>
      <c r="J149" s="580"/>
      <c r="K149" s="580"/>
      <c r="L149" s="580"/>
      <c r="M149" s="580"/>
      <c r="N149" s="580"/>
      <c r="O149" s="580"/>
      <c r="P149" s="580"/>
      <c r="Q149" s="580"/>
      <c r="R149" s="580"/>
      <c r="S149" s="580"/>
      <c r="T149" s="580"/>
      <c r="U149" s="580"/>
      <c r="V149" s="580"/>
      <c r="W149" s="580"/>
      <c r="X149" s="580"/>
      <c r="Y149" s="580"/>
      <c r="Z149" s="580"/>
      <c r="AA149" s="580"/>
      <c r="AB149" s="580"/>
      <c r="AC149" s="580"/>
      <c r="AD149" s="580"/>
      <c r="AE149" s="580"/>
      <c r="AF149" s="580"/>
      <c r="AG149" s="580"/>
      <c r="AH149" s="580"/>
      <c r="AI149" s="580"/>
      <c r="AJ149" s="580"/>
      <c r="AK149" s="580"/>
      <c r="AL149" s="580"/>
      <c r="AM149" s="580"/>
      <c r="AN149" s="580"/>
      <c r="AO149" s="580"/>
      <c r="AP149" s="580"/>
      <c r="AQ149" s="580"/>
      <c r="AR149" s="580"/>
      <c r="AS149" s="58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BE149"/>
  <sheetViews>
    <sheetView zoomScale="98" workbookViewId="0">
      <selection activeCell="E49" sqref="E36:E49"/>
    </sheetView>
  </sheetViews>
  <sheetFormatPr defaultRowHeight="14.5"/>
  <cols>
    <col min="1" max="1" width="42.08984375" customWidth="1"/>
    <col min="2" max="2" width="4.453125" style="424" customWidth="1"/>
    <col min="3" max="3" width="19.90625" style="418" customWidth="1"/>
    <col min="4" max="4" width="7.6328125" style="424" customWidth="1"/>
    <col min="5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  <c r="W1" s="580"/>
      <c r="X1" s="580"/>
      <c r="Y1" s="580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80"/>
      <c r="BE1" s="580"/>
    </row>
    <row r="2" spans="1:57">
      <c r="A2" s="583"/>
      <c r="B2" s="584"/>
      <c r="C2" s="584"/>
      <c r="D2" s="584"/>
      <c r="E2" s="617">
        <v>45657</v>
      </c>
      <c r="F2" s="617">
        <v>45747</v>
      </c>
      <c r="G2" s="617">
        <v>45838</v>
      </c>
      <c r="H2" s="617">
        <v>45930</v>
      </c>
      <c r="I2" s="617">
        <v>46022</v>
      </c>
      <c r="J2" s="617">
        <v>46112</v>
      </c>
      <c r="K2" s="617">
        <v>46203</v>
      </c>
      <c r="L2" s="617">
        <v>46295</v>
      </c>
      <c r="M2" s="617">
        <v>46387</v>
      </c>
      <c r="N2" s="617">
        <v>46752</v>
      </c>
      <c r="O2" s="617">
        <v>47118</v>
      </c>
      <c r="P2" s="617">
        <v>47483</v>
      </c>
      <c r="Q2" s="617">
        <v>47848</v>
      </c>
      <c r="R2" s="618"/>
      <c r="S2" s="619"/>
      <c r="T2" s="619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  <c r="AT2" s="583"/>
      <c r="AU2" s="583"/>
      <c r="AV2" s="583"/>
      <c r="AW2" s="583"/>
      <c r="AX2" s="583"/>
      <c r="AY2" s="583"/>
      <c r="AZ2" s="583"/>
      <c r="BA2" s="583"/>
      <c r="BB2" s="583"/>
      <c r="BC2" s="583"/>
      <c r="BD2" s="583"/>
      <c r="BE2" s="583"/>
    </row>
    <row r="3" spans="1:57" ht="14.65" customHeight="1">
      <c r="A3" s="583" t="s">
        <v>37</v>
      </c>
      <c r="B3" s="584"/>
      <c r="C3" s="584"/>
      <c r="D3" s="584"/>
      <c r="E3" s="620"/>
      <c r="F3" s="620" t="s">
        <v>130</v>
      </c>
      <c r="G3" s="620" t="s">
        <v>131</v>
      </c>
      <c r="H3" s="620" t="s">
        <v>132</v>
      </c>
      <c r="I3" s="620" t="s">
        <v>129</v>
      </c>
      <c r="J3" s="620" t="s">
        <v>130</v>
      </c>
      <c r="K3" s="620" t="s">
        <v>131</v>
      </c>
      <c r="L3" s="620" t="s">
        <v>132</v>
      </c>
      <c r="M3" s="620" t="s">
        <v>129</v>
      </c>
      <c r="N3" s="620" t="s">
        <v>129</v>
      </c>
      <c r="O3" s="620" t="s">
        <v>129</v>
      </c>
      <c r="P3" s="620" t="s">
        <v>129</v>
      </c>
      <c r="Q3" s="620" t="s">
        <v>129</v>
      </c>
      <c r="R3" s="621"/>
      <c r="S3" s="619"/>
      <c r="T3" s="619"/>
      <c r="U3" s="583"/>
      <c r="V3" s="583"/>
      <c r="W3" s="583"/>
      <c r="X3" s="583"/>
      <c r="Y3" s="583"/>
      <c r="Z3" s="583"/>
      <c r="AA3" s="583"/>
      <c r="AB3" s="583"/>
      <c r="AC3" s="583"/>
      <c r="AD3" s="583"/>
      <c r="AE3" s="583"/>
      <c r="AF3" s="583"/>
      <c r="AG3" s="583"/>
      <c r="AH3" s="583"/>
      <c r="AI3" s="583"/>
      <c r="AJ3" s="583"/>
      <c r="AK3" s="583"/>
      <c r="AL3" s="583"/>
      <c r="AM3" s="583"/>
      <c r="AN3" s="583"/>
      <c r="AO3" s="583"/>
      <c r="AP3" s="583"/>
      <c r="AQ3" s="583"/>
      <c r="AR3" s="583"/>
      <c r="AS3" s="583"/>
      <c r="AT3" s="583"/>
      <c r="AU3" s="583"/>
      <c r="AV3" s="583"/>
      <c r="AW3" s="583"/>
      <c r="AX3" s="583"/>
      <c r="AY3" s="583"/>
      <c r="AZ3" s="583"/>
      <c r="BA3" s="583"/>
      <c r="BB3" s="583"/>
      <c r="BC3" s="583"/>
      <c r="BD3" s="583"/>
      <c r="BE3" s="583"/>
    </row>
    <row r="4" spans="1:57" ht="18.5" customHeight="1">
      <c r="A4" s="580"/>
      <c r="B4" s="592" t="s">
        <v>0</v>
      </c>
      <c r="C4" s="593" t="s">
        <v>1</v>
      </c>
      <c r="D4" s="592" t="s">
        <v>2</v>
      </c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0"/>
      <c r="U4" s="580"/>
      <c r="V4" s="580"/>
      <c r="W4" s="580"/>
      <c r="X4" s="580"/>
      <c r="Y4" s="580"/>
      <c r="Z4" s="580"/>
      <c r="AA4" s="580"/>
      <c r="AB4" s="580"/>
      <c r="AC4" s="580"/>
      <c r="AD4" s="580"/>
      <c r="AE4" s="580"/>
      <c r="AF4" s="580"/>
      <c r="AG4" s="580"/>
      <c r="AH4" s="580"/>
      <c r="AI4" s="580"/>
      <c r="AJ4" s="580"/>
      <c r="AK4" s="580"/>
      <c r="AL4" s="580"/>
      <c r="AM4" s="580"/>
      <c r="AN4" s="580"/>
      <c r="AO4" s="580"/>
      <c r="AP4" s="580"/>
      <c r="AQ4" s="580"/>
      <c r="AR4" s="580"/>
      <c r="AS4" s="580"/>
      <c r="AT4" s="580"/>
      <c r="AU4" s="580"/>
      <c r="AV4" s="580"/>
      <c r="AW4" s="580"/>
      <c r="AX4" s="580"/>
      <c r="AY4" s="580"/>
      <c r="AZ4" s="580"/>
      <c r="BA4" s="580"/>
      <c r="BB4" s="580"/>
      <c r="BC4" s="580"/>
      <c r="BD4" s="580"/>
      <c r="BE4" s="580"/>
    </row>
    <row r="5" spans="1:57">
      <c r="A5" s="622" t="s">
        <v>1068</v>
      </c>
      <c r="B5" s="584"/>
      <c r="C5" s="586"/>
      <c r="D5" s="584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619"/>
      <c r="T5" s="619"/>
      <c r="U5" s="583"/>
      <c r="V5" s="583"/>
      <c r="W5" s="583"/>
      <c r="X5" s="583"/>
      <c r="Y5" s="583"/>
      <c r="Z5" s="583"/>
      <c r="AA5" s="583"/>
      <c r="AB5" s="583"/>
      <c r="AC5" s="583"/>
      <c r="AD5" s="583"/>
      <c r="AE5" s="583"/>
      <c r="AF5" s="583"/>
      <c r="AG5" s="583"/>
      <c r="AH5" s="583"/>
      <c r="AI5" s="583"/>
      <c r="AJ5" s="583"/>
      <c r="AK5" s="583"/>
      <c r="AL5" s="583"/>
      <c r="AM5" s="583"/>
      <c r="AN5" s="583"/>
      <c r="AO5" s="583"/>
      <c r="AP5" s="583"/>
      <c r="AQ5" s="583"/>
      <c r="AR5" s="583"/>
      <c r="AS5" s="583"/>
      <c r="AT5" s="583"/>
      <c r="AU5" s="583"/>
      <c r="AV5" s="583"/>
      <c r="AW5" s="583"/>
      <c r="AX5" s="583"/>
      <c r="AY5" s="583"/>
      <c r="AZ5" s="583"/>
      <c r="BA5" s="583"/>
      <c r="BB5" s="583"/>
      <c r="BC5" s="583"/>
      <c r="BD5" s="583"/>
      <c r="BE5" s="583"/>
    </row>
    <row r="6" spans="1:57" s="5" customFormat="1">
      <c r="A6" s="597" t="s">
        <v>1104</v>
      </c>
      <c r="B6" s="598" t="s">
        <v>17</v>
      </c>
      <c r="C6" s="599" t="s">
        <v>1053</v>
      </c>
      <c r="D6" s="600" t="s">
        <v>1105</v>
      </c>
      <c r="E6" s="580"/>
      <c r="F6" s="602">
        <v>93750</v>
      </c>
      <c r="G6" s="602">
        <v>93750</v>
      </c>
      <c r="H6" s="602">
        <v>93750</v>
      </c>
      <c r="I6" s="602">
        <v>93750</v>
      </c>
      <c r="J6" s="603">
        <v>93750</v>
      </c>
      <c r="K6" s="602">
        <v>93750</v>
      </c>
      <c r="L6" s="602">
        <v>93750</v>
      </c>
      <c r="M6" s="602">
        <v>93750</v>
      </c>
      <c r="N6" s="605">
        <v>375000</v>
      </c>
      <c r="O6" s="605">
        <v>375000</v>
      </c>
      <c r="P6" s="605">
        <v>375000</v>
      </c>
      <c r="Q6" s="605">
        <v>375000</v>
      </c>
      <c r="R6" s="580"/>
      <c r="S6" s="624"/>
      <c r="T6" s="580"/>
      <c r="U6" s="580"/>
      <c r="V6" s="580"/>
      <c r="W6" s="580"/>
      <c r="X6" s="580"/>
      <c r="Y6" s="580"/>
      <c r="Z6" s="580"/>
      <c r="AA6" s="580"/>
      <c r="AB6" s="580"/>
      <c r="AC6" s="580"/>
      <c r="AD6" s="580"/>
      <c r="AE6" s="580"/>
      <c r="AF6" s="580"/>
      <c r="AG6" s="580"/>
      <c r="AH6" s="580"/>
      <c r="AI6" s="580"/>
      <c r="AJ6" s="580"/>
      <c r="AK6" s="580"/>
      <c r="AL6" s="580"/>
      <c r="AM6" s="580"/>
      <c r="AN6" s="580"/>
      <c r="AO6" s="580"/>
      <c r="AP6" s="580"/>
      <c r="AQ6" s="580"/>
      <c r="AR6" s="580"/>
      <c r="AS6" s="580"/>
      <c r="AT6" s="580"/>
      <c r="AU6" s="580"/>
      <c r="AV6" s="580"/>
      <c r="AW6" s="580"/>
      <c r="AX6" s="580"/>
      <c r="AY6" s="580"/>
      <c r="AZ6" s="580"/>
      <c r="BA6" s="580"/>
      <c r="BB6" s="580"/>
      <c r="BC6" s="580"/>
      <c r="BD6" s="580"/>
      <c r="BE6" s="580"/>
    </row>
    <row r="7" spans="1:57" s="5" customFormat="1">
      <c r="A7" s="597" t="s">
        <v>1106</v>
      </c>
      <c r="B7" s="598" t="s">
        <v>17</v>
      </c>
      <c r="C7" s="599" t="s">
        <v>1053</v>
      </c>
      <c r="D7" s="600" t="s">
        <v>1107</v>
      </c>
      <c r="E7" s="580"/>
      <c r="F7" s="602">
        <v>0</v>
      </c>
      <c r="G7" s="602">
        <v>0</v>
      </c>
      <c r="H7" s="602">
        <v>0</v>
      </c>
      <c r="I7" s="602">
        <v>0</v>
      </c>
      <c r="J7" s="602">
        <v>0</v>
      </c>
      <c r="K7" s="602">
        <v>125000</v>
      </c>
      <c r="L7" s="602">
        <v>125000</v>
      </c>
      <c r="M7" s="602">
        <v>125000</v>
      </c>
      <c r="N7" s="605">
        <v>375000</v>
      </c>
      <c r="O7" s="605">
        <v>375000</v>
      </c>
      <c r="P7" s="605">
        <v>375000</v>
      </c>
      <c r="Q7" s="605">
        <v>375000</v>
      </c>
      <c r="R7" s="580"/>
      <c r="S7" s="624"/>
      <c r="T7" s="580"/>
      <c r="U7" s="580"/>
      <c r="V7" s="630"/>
      <c r="W7" s="641"/>
      <c r="X7" s="630"/>
      <c r="Y7" s="630"/>
      <c r="Z7" s="580"/>
      <c r="AA7" s="580"/>
      <c r="AB7" s="580"/>
      <c r="AC7" s="580"/>
      <c r="AD7" s="580"/>
      <c r="AE7" s="580"/>
      <c r="AF7" s="580"/>
      <c r="AG7" s="580"/>
      <c r="AH7" s="580"/>
      <c r="AI7" s="580"/>
      <c r="AJ7" s="580"/>
      <c r="AK7" s="580"/>
      <c r="AL7" s="580"/>
      <c r="AM7" s="580"/>
      <c r="AN7" s="580"/>
      <c r="AO7" s="580"/>
      <c r="AP7" s="580"/>
      <c r="AQ7" s="580"/>
      <c r="AR7" s="580"/>
      <c r="AS7" s="580"/>
      <c r="AT7" s="580"/>
      <c r="AU7" s="580"/>
      <c r="AV7" s="580"/>
      <c r="AW7" s="580"/>
      <c r="AX7" s="580"/>
      <c r="AY7" s="580"/>
      <c r="AZ7" s="580"/>
      <c r="BA7" s="580"/>
      <c r="BB7" s="580"/>
      <c r="BC7" s="580"/>
      <c r="BD7" s="580"/>
      <c r="BE7" s="580"/>
    </row>
    <row r="8" spans="1:57" s="5" customFormat="1">
      <c r="A8" s="597" t="s">
        <v>1108</v>
      </c>
      <c r="B8" s="598" t="s">
        <v>17</v>
      </c>
      <c r="C8" s="599" t="s">
        <v>1053</v>
      </c>
      <c r="D8" s="600" t="s">
        <v>1109</v>
      </c>
      <c r="E8" s="580"/>
      <c r="F8" s="602">
        <v>0</v>
      </c>
      <c r="G8" s="602">
        <v>0</v>
      </c>
      <c r="H8" s="602">
        <v>21250</v>
      </c>
      <c r="I8" s="602">
        <v>21250</v>
      </c>
      <c r="J8" s="603">
        <v>21250</v>
      </c>
      <c r="K8" s="640">
        <v>21250</v>
      </c>
      <c r="L8" s="640">
        <v>21250</v>
      </c>
      <c r="M8" s="640">
        <v>21250</v>
      </c>
      <c r="N8" s="642">
        <v>85000</v>
      </c>
      <c r="O8" s="642">
        <v>85000</v>
      </c>
      <c r="P8" s="642">
        <v>85000</v>
      </c>
      <c r="Q8" s="642">
        <v>85000</v>
      </c>
      <c r="R8" s="580"/>
      <c r="S8" s="624"/>
      <c r="T8" s="580"/>
      <c r="U8" s="580"/>
      <c r="V8" s="580"/>
      <c r="W8" s="581"/>
      <c r="X8" s="580"/>
      <c r="Y8" s="580"/>
      <c r="Z8" s="580"/>
      <c r="AA8" s="580"/>
      <c r="AB8" s="580"/>
      <c r="AC8" s="580"/>
      <c r="AD8" s="580"/>
      <c r="AE8" s="580"/>
      <c r="AF8" s="580"/>
      <c r="AG8" s="580"/>
      <c r="AH8" s="580"/>
      <c r="AI8" s="580"/>
      <c r="AJ8" s="580"/>
      <c r="AK8" s="580"/>
      <c r="AL8" s="580"/>
      <c r="AM8" s="580"/>
      <c r="AN8" s="580"/>
      <c r="AO8" s="580"/>
      <c r="AP8" s="580"/>
      <c r="AQ8" s="580"/>
      <c r="AR8" s="580"/>
      <c r="AS8" s="580"/>
      <c r="AT8" s="580"/>
      <c r="AU8" s="580"/>
      <c r="AV8" s="580"/>
      <c r="AW8" s="580"/>
      <c r="AX8" s="580"/>
      <c r="AY8" s="580"/>
      <c r="AZ8" s="580"/>
      <c r="BA8" s="580"/>
      <c r="BB8" s="580"/>
      <c r="BC8" s="580"/>
      <c r="BD8" s="580"/>
      <c r="BE8" s="580"/>
    </row>
    <row r="9" spans="1:57" s="5" customFormat="1">
      <c r="A9" s="597" t="s">
        <v>1110</v>
      </c>
      <c r="B9" s="625" t="s">
        <v>17</v>
      </c>
      <c r="C9" s="626" t="s">
        <v>1053</v>
      </c>
      <c r="D9" s="625" t="s">
        <v>1111</v>
      </c>
      <c r="E9" s="580"/>
      <c r="F9" s="602">
        <v>46250</v>
      </c>
      <c r="G9" s="602">
        <v>46250</v>
      </c>
      <c r="H9" s="602">
        <v>46250</v>
      </c>
      <c r="I9" s="602">
        <v>46250</v>
      </c>
      <c r="J9" s="603">
        <v>48750</v>
      </c>
      <c r="K9" s="640">
        <v>48750</v>
      </c>
      <c r="L9" s="640">
        <v>48750</v>
      </c>
      <c r="M9" s="640">
        <v>48750</v>
      </c>
      <c r="N9" s="642">
        <v>195000</v>
      </c>
      <c r="O9" s="642">
        <v>195000</v>
      </c>
      <c r="P9" s="642">
        <v>195000</v>
      </c>
      <c r="Q9" s="642">
        <v>195000</v>
      </c>
      <c r="R9" s="580"/>
      <c r="S9" s="624"/>
      <c r="T9" s="580"/>
      <c r="U9" s="580"/>
      <c r="V9" s="643"/>
      <c r="W9" s="644"/>
      <c r="X9" s="645"/>
      <c r="Y9" s="601"/>
      <c r="Z9" s="580"/>
      <c r="AA9" s="580"/>
      <c r="AB9" s="580"/>
      <c r="AC9" s="580"/>
      <c r="AD9" s="580"/>
      <c r="AE9" s="580"/>
      <c r="AF9" s="580"/>
      <c r="AG9" s="580"/>
      <c r="AH9" s="580"/>
      <c r="AI9" s="580"/>
      <c r="AJ9" s="580"/>
      <c r="AK9" s="580"/>
      <c r="AL9" s="580"/>
      <c r="AM9" s="580"/>
      <c r="AN9" s="580"/>
      <c r="AO9" s="580"/>
      <c r="AP9" s="580"/>
      <c r="AQ9" s="580"/>
      <c r="AR9" s="580"/>
      <c r="AS9" s="580"/>
      <c r="AT9" s="580"/>
      <c r="AU9" s="580"/>
      <c r="AV9" s="580"/>
      <c r="AW9" s="580"/>
      <c r="AX9" s="580"/>
      <c r="AY9" s="580"/>
      <c r="AZ9" s="580"/>
      <c r="BA9" s="580"/>
      <c r="BB9" s="580"/>
      <c r="BC9" s="580"/>
      <c r="BD9" s="580"/>
      <c r="BE9" s="580"/>
    </row>
    <row r="10" spans="1:57" s="34" customFormat="1">
      <c r="A10" s="607" t="s">
        <v>1112</v>
      </c>
      <c r="B10" s="625" t="s">
        <v>17</v>
      </c>
      <c r="C10" s="626" t="s">
        <v>1053</v>
      </c>
      <c r="D10" s="625" t="s">
        <v>1095</v>
      </c>
      <c r="E10" s="605"/>
      <c r="F10" s="602">
        <v>37500</v>
      </c>
      <c r="G10" s="602">
        <v>37500</v>
      </c>
      <c r="H10" s="602">
        <v>37500</v>
      </c>
      <c r="I10" s="602">
        <v>31250</v>
      </c>
      <c r="J10" s="602">
        <v>0</v>
      </c>
      <c r="K10" s="602">
        <v>0</v>
      </c>
      <c r="L10" s="602">
        <v>0</v>
      </c>
      <c r="M10" s="602">
        <v>0</v>
      </c>
      <c r="N10" s="642">
        <v>0</v>
      </c>
      <c r="O10" s="642">
        <v>0</v>
      </c>
      <c r="P10" s="642">
        <v>0</v>
      </c>
      <c r="Q10" s="642">
        <v>0</v>
      </c>
      <c r="R10" s="580"/>
      <c r="S10" s="624"/>
      <c r="T10" s="580"/>
      <c r="U10" s="580"/>
      <c r="V10" s="643"/>
      <c r="W10" s="644"/>
      <c r="X10" s="645"/>
      <c r="Y10" s="601"/>
      <c r="Z10" s="580"/>
      <c r="AA10" s="580"/>
      <c r="AB10" s="580"/>
      <c r="AC10" s="580"/>
      <c r="AD10" s="580"/>
      <c r="AE10" s="580"/>
      <c r="AF10" s="580"/>
      <c r="AG10" s="580"/>
      <c r="AH10" s="580"/>
      <c r="AI10" s="580"/>
      <c r="AJ10" s="580"/>
      <c r="AK10" s="580"/>
      <c r="AL10" s="580"/>
      <c r="AM10" s="580"/>
      <c r="AN10" s="580"/>
      <c r="AO10" s="580"/>
      <c r="AP10" s="580"/>
      <c r="AQ10" s="580"/>
      <c r="AR10" s="580"/>
      <c r="AS10" s="580"/>
      <c r="AT10" s="580"/>
      <c r="AU10" s="580"/>
      <c r="AV10" s="580"/>
      <c r="AW10" s="580"/>
      <c r="AX10" s="580"/>
      <c r="AY10" s="580"/>
      <c r="AZ10" s="580"/>
      <c r="BA10" s="580"/>
      <c r="BB10" s="580"/>
      <c r="BC10" s="580"/>
      <c r="BD10" s="580"/>
      <c r="BE10" s="580"/>
    </row>
    <row r="11" spans="1:57">
      <c r="A11" s="597" t="s">
        <v>1113</v>
      </c>
      <c r="B11" s="607" t="s">
        <v>17</v>
      </c>
      <c r="C11" s="607" t="s">
        <v>1053</v>
      </c>
      <c r="D11" s="607" t="s">
        <v>1114</v>
      </c>
      <c r="E11" s="580"/>
      <c r="F11" s="602">
        <v>0</v>
      </c>
      <c r="G11" s="602">
        <v>0</v>
      </c>
      <c r="H11" s="602">
        <v>0</v>
      </c>
      <c r="I11" s="602">
        <v>0</v>
      </c>
      <c r="J11" s="602">
        <v>0</v>
      </c>
      <c r="K11" s="604">
        <v>36250</v>
      </c>
      <c r="L11" s="604">
        <v>36250</v>
      </c>
      <c r="M11" s="604">
        <v>36250</v>
      </c>
      <c r="N11" s="605">
        <v>145000</v>
      </c>
      <c r="O11" s="601">
        <v>145000</v>
      </c>
      <c r="P11" s="601">
        <v>145000</v>
      </c>
      <c r="Q11" s="601">
        <v>145000</v>
      </c>
      <c r="R11" s="605"/>
      <c r="S11" s="581"/>
      <c r="T11" s="581"/>
      <c r="U11" s="580"/>
      <c r="V11" s="580"/>
      <c r="W11" s="580"/>
      <c r="X11" s="580"/>
      <c r="Y11" s="580"/>
      <c r="Z11" s="580"/>
      <c r="AA11" s="580"/>
      <c r="AB11" s="580"/>
      <c r="AC11" s="582"/>
      <c r="AD11" s="580"/>
      <c r="AE11" s="580"/>
      <c r="AF11" s="580"/>
      <c r="AG11" s="580"/>
      <c r="AH11" s="580"/>
      <c r="AI11" s="580"/>
      <c r="AJ11" s="580"/>
      <c r="AK11" s="580"/>
      <c r="AL11" s="580"/>
      <c r="AM11" s="580"/>
      <c r="AN11" s="580"/>
      <c r="AO11" s="580"/>
      <c r="AP11" s="580"/>
      <c r="AQ11" s="580"/>
      <c r="AR11" s="580"/>
      <c r="AS11" s="580"/>
      <c r="AT11" s="580"/>
      <c r="AU11" s="580"/>
      <c r="AV11" s="580"/>
      <c r="AW11" s="580"/>
      <c r="AX11" s="580"/>
      <c r="AY11" s="580"/>
      <c r="AZ11" s="580"/>
      <c r="BA11" s="580"/>
      <c r="BB11" s="580"/>
      <c r="BC11" s="580"/>
      <c r="BD11" s="580"/>
      <c r="BE11" s="580"/>
    </row>
    <row r="12" spans="1:57" s="30" customFormat="1">
      <c r="A12" s="597" t="s">
        <v>1115</v>
      </c>
      <c r="B12" s="625" t="s">
        <v>17</v>
      </c>
      <c r="C12" s="626" t="s">
        <v>1053</v>
      </c>
      <c r="D12" s="625" t="s">
        <v>1116</v>
      </c>
      <c r="E12" s="646"/>
      <c r="F12" s="602">
        <v>0</v>
      </c>
      <c r="G12" s="602">
        <v>0</v>
      </c>
      <c r="H12" s="623">
        <v>53750</v>
      </c>
      <c r="I12" s="623">
        <v>53750</v>
      </c>
      <c r="J12" s="623">
        <v>53750</v>
      </c>
      <c r="K12" s="604">
        <v>53750</v>
      </c>
      <c r="L12" s="604">
        <v>53750</v>
      </c>
      <c r="M12" s="604">
        <v>53750</v>
      </c>
      <c r="N12" s="642">
        <v>215000</v>
      </c>
      <c r="O12" s="642">
        <v>215000</v>
      </c>
      <c r="P12" s="642">
        <v>215000</v>
      </c>
      <c r="Q12" s="642">
        <v>215000</v>
      </c>
      <c r="R12" s="580"/>
      <c r="S12" s="580"/>
      <c r="T12" s="580"/>
      <c r="U12" s="580"/>
      <c r="V12" s="605"/>
      <c r="W12" s="624"/>
      <c r="X12" s="624"/>
      <c r="Y12" s="580"/>
      <c r="Z12" s="643"/>
      <c r="AA12" s="644"/>
      <c r="AB12" s="645"/>
      <c r="AC12" s="605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80"/>
      <c r="AS12" s="580"/>
      <c r="AT12" s="580"/>
      <c r="AU12" s="580"/>
      <c r="AV12" s="580"/>
      <c r="AW12" s="580"/>
      <c r="AX12" s="580"/>
      <c r="AY12" s="580"/>
      <c r="AZ12" s="580"/>
      <c r="BA12" s="580"/>
      <c r="BB12" s="580"/>
      <c r="BC12" s="580"/>
      <c r="BD12" s="580"/>
      <c r="BE12" s="580"/>
    </row>
    <row r="13" spans="1:57" s="30" customFormat="1">
      <c r="A13" s="597" t="s">
        <v>1117</v>
      </c>
      <c r="B13" s="625" t="s">
        <v>17</v>
      </c>
      <c r="C13" s="626" t="s">
        <v>1053</v>
      </c>
      <c r="D13" s="625" t="s">
        <v>1118</v>
      </c>
      <c r="E13" s="646"/>
      <c r="F13" s="604">
        <v>40000</v>
      </c>
      <c r="G13" s="604">
        <v>40000</v>
      </c>
      <c r="H13" s="604">
        <v>40000</v>
      </c>
      <c r="I13" s="604">
        <v>40000</v>
      </c>
      <c r="J13" s="604">
        <v>40000</v>
      </c>
      <c r="K13" s="604">
        <v>40000</v>
      </c>
      <c r="L13" s="604">
        <v>40000</v>
      </c>
      <c r="M13" s="604">
        <v>40000</v>
      </c>
      <c r="N13" s="647">
        <v>200000</v>
      </c>
      <c r="O13" s="647">
        <v>200000</v>
      </c>
      <c r="P13" s="647">
        <v>200000</v>
      </c>
      <c r="Q13" s="647">
        <v>200000</v>
      </c>
      <c r="R13" s="601"/>
      <c r="S13" s="601"/>
      <c r="T13" s="601"/>
      <c r="U13" s="601"/>
      <c r="V13" s="605"/>
      <c r="W13" s="624"/>
      <c r="X13" s="624"/>
      <c r="Y13" s="580"/>
      <c r="Z13" s="643"/>
      <c r="AA13" s="644"/>
      <c r="AB13" s="645"/>
      <c r="AC13" s="605"/>
      <c r="AD13" s="580"/>
      <c r="AE13" s="580"/>
      <c r="AF13" s="580"/>
      <c r="AG13" s="580"/>
      <c r="AH13" s="580"/>
      <c r="AI13" s="580"/>
      <c r="AJ13" s="580"/>
      <c r="AK13" s="580"/>
      <c r="AL13" s="580"/>
      <c r="AM13" s="580"/>
      <c r="AN13" s="580"/>
      <c r="AO13" s="580"/>
      <c r="AP13" s="580"/>
      <c r="AQ13" s="580"/>
      <c r="AR13" s="580"/>
      <c r="AS13" s="580"/>
      <c r="AT13" s="580"/>
      <c r="AU13" s="580"/>
      <c r="AV13" s="580"/>
      <c r="AW13" s="580"/>
      <c r="AX13" s="580"/>
      <c r="AY13" s="580"/>
      <c r="AZ13" s="580"/>
      <c r="BA13" s="580"/>
      <c r="BB13" s="580"/>
      <c r="BC13" s="580"/>
      <c r="BD13" s="580"/>
      <c r="BE13" s="580"/>
    </row>
    <row r="14" spans="1:57" s="34" customFormat="1">
      <c r="A14" s="607" t="s">
        <v>1119</v>
      </c>
      <c r="B14" s="625" t="s">
        <v>17</v>
      </c>
      <c r="C14" s="626" t="s">
        <v>1053</v>
      </c>
      <c r="D14" s="625" t="s">
        <v>1120</v>
      </c>
      <c r="E14" s="580"/>
      <c r="F14" s="602">
        <v>0</v>
      </c>
      <c r="G14" s="602">
        <v>0</v>
      </c>
      <c r="H14" s="602">
        <v>0</v>
      </c>
      <c r="I14" s="602">
        <v>0</v>
      </c>
      <c r="J14" s="602">
        <v>0</v>
      </c>
      <c r="K14" s="640">
        <v>0</v>
      </c>
      <c r="L14" s="604">
        <v>37500</v>
      </c>
      <c r="M14" s="604">
        <v>37500</v>
      </c>
      <c r="N14" s="642">
        <v>150000</v>
      </c>
      <c r="O14" s="642">
        <v>150000</v>
      </c>
      <c r="P14" s="642">
        <v>150000</v>
      </c>
      <c r="Q14" s="642">
        <v>150000</v>
      </c>
      <c r="R14" s="580"/>
      <c r="S14" s="624"/>
      <c r="T14" s="580"/>
      <c r="U14" s="580"/>
      <c r="V14" s="643"/>
      <c r="W14" s="644"/>
      <c r="X14" s="645"/>
      <c r="Y14" s="601"/>
      <c r="Z14" s="580"/>
      <c r="AA14" s="580"/>
      <c r="AB14" s="580"/>
      <c r="AC14" s="580"/>
      <c r="AD14" s="580"/>
      <c r="AE14" s="580"/>
      <c r="AF14" s="580"/>
      <c r="AG14" s="580"/>
      <c r="AH14" s="580"/>
      <c r="AI14" s="580"/>
      <c r="AJ14" s="580"/>
      <c r="AK14" s="580"/>
      <c r="AL14" s="580"/>
      <c r="AM14" s="580"/>
      <c r="AN14" s="580"/>
      <c r="AO14" s="580"/>
      <c r="AP14" s="580"/>
      <c r="AQ14" s="580"/>
      <c r="AR14" s="580"/>
      <c r="AS14" s="580"/>
      <c r="AT14" s="580"/>
      <c r="AU14" s="580"/>
      <c r="AV14" s="580"/>
      <c r="AW14" s="580"/>
      <c r="AX14" s="580"/>
      <c r="AY14" s="580"/>
      <c r="AZ14" s="580"/>
      <c r="BA14" s="580"/>
      <c r="BB14" s="580"/>
      <c r="BC14" s="580"/>
      <c r="BD14" s="580"/>
      <c r="BE14" s="580"/>
    </row>
    <row r="15" spans="1:57" s="34" customFormat="1">
      <c r="A15" s="607" t="s">
        <v>1121</v>
      </c>
      <c r="B15" s="625" t="s">
        <v>17</v>
      </c>
      <c r="C15" s="626" t="s">
        <v>1053</v>
      </c>
      <c r="D15" s="625" t="s">
        <v>1122</v>
      </c>
      <c r="E15" s="580"/>
      <c r="F15" s="602">
        <v>0</v>
      </c>
      <c r="G15" s="602">
        <v>0</v>
      </c>
      <c r="H15" s="602">
        <v>0</v>
      </c>
      <c r="I15" s="602">
        <v>0</v>
      </c>
      <c r="J15" s="602">
        <v>0</v>
      </c>
      <c r="K15" s="640">
        <v>0</v>
      </c>
      <c r="L15" s="604">
        <v>56250</v>
      </c>
      <c r="M15" s="604">
        <v>56250</v>
      </c>
      <c r="N15" s="642">
        <v>225000</v>
      </c>
      <c r="O15" s="642">
        <v>225000</v>
      </c>
      <c r="P15" s="642">
        <v>225000</v>
      </c>
      <c r="Q15" s="642">
        <v>225000</v>
      </c>
      <c r="R15" s="580"/>
      <c r="S15" s="624"/>
      <c r="T15" s="580"/>
      <c r="U15" s="580"/>
      <c r="V15" s="643"/>
      <c r="W15" s="644"/>
      <c r="X15" s="645"/>
      <c r="Y15" s="601"/>
      <c r="Z15" s="580"/>
      <c r="AA15" s="580"/>
      <c r="AB15" s="580"/>
      <c r="AC15" s="580"/>
      <c r="AD15" s="580"/>
      <c r="AE15" s="580"/>
      <c r="AF15" s="580"/>
      <c r="AG15" s="580"/>
      <c r="AH15" s="580"/>
      <c r="AI15" s="580"/>
      <c r="AJ15" s="580"/>
      <c r="AK15" s="580"/>
      <c r="AL15" s="580"/>
      <c r="AM15" s="580"/>
      <c r="AN15" s="580"/>
      <c r="AO15" s="580"/>
      <c r="AP15" s="580"/>
      <c r="AQ15" s="580"/>
      <c r="AR15" s="580"/>
      <c r="AS15" s="580"/>
      <c r="AT15" s="580"/>
      <c r="AU15" s="580"/>
      <c r="AV15" s="580"/>
      <c r="AW15" s="580"/>
      <c r="AX15" s="580"/>
      <c r="AY15" s="580"/>
      <c r="AZ15" s="580"/>
      <c r="BA15" s="580"/>
      <c r="BB15" s="580"/>
      <c r="BC15" s="580"/>
      <c r="BD15" s="580"/>
      <c r="BE15" s="580"/>
    </row>
    <row r="16" spans="1:57" s="34" customFormat="1">
      <c r="A16" s="607" t="s">
        <v>1123</v>
      </c>
      <c r="B16" s="625" t="s">
        <v>17</v>
      </c>
      <c r="C16" s="626" t="s">
        <v>1053</v>
      </c>
      <c r="D16" s="625" t="s">
        <v>1124</v>
      </c>
      <c r="E16" s="580"/>
      <c r="F16" s="602">
        <v>0</v>
      </c>
      <c r="G16" s="602">
        <v>0</v>
      </c>
      <c r="H16" s="602">
        <v>0</v>
      </c>
      <c r="I16" s="602">
        <v>0</v>
      </c>
      <c r="J16" s="602">
        <v>0</v>
      </c>
      <c r="K16" s="640">
        <v>0</v>
      </c>
      <c r="L16" s="604">
        <v>56250</v>
      </c>
      <c r="M16" s="604">
        <v>56250</v>
      </c>
      <c r="N16" s="642">
        <v>225000</v>
      </c>
      <c r="O16" s="642">
        <v>225000</v>
      </c>
      <c r="P16" s="642">
        <v>225000</v>
      </c>
      <c r="Q16" s="642">
        <v>225000</v>
      </c>
      <c r="R16" s="580"/>
      <c r="S16" s="624"/>
      <c r="T16" s="580"/>
      <c r="U16" s="580"/>
      <c r="V16" s="643"/>
      <c r="W16" s="644"/>
      <c r="X16" s="645"/>
      <c r="Y16" s="601"/>
      <c r="Z16" s="580"/>
      <c r="AA16" s="580"/>
      <c r="AB16" s="580"/>
      <c r="AC16" s="580"/>
      <c r="AD16" s="580"/>
      <c r="AE16" s="580"/>
      <c r="AF16" s="580"/>
      <c r="AG16" s="580"/>
      <c r="AH16" s="580"/>
      <c r="AI16" s="580"/>
      <c r="AJ16" s="580"/>
      <c r="AK16" s="580"/>
      <c r="AL16" s="580"/>
      <c r="AM16" s="580"/>
      <c r="AN16" s="580"/>
      <c r="AO16" s="580"/>
      <c r="AP16" s="580"/>
      <c r="AQ16" s="580"/>
      <c r="AR16" s="580"/>
      <c r="AS16" s="580"/>
      <c r="AT16" s="580"/>
      <c r="AU16" s="580"/>
      <c r="AV16" s="580"/>
      <c r="AW16" s="580"/>
      <c r="AX16" s="580"/>
      <c r="AY16" s="580"/>
      <c r="AZ16" s="580"/>
      <c r="BA16" s="580"/>
      <c r="BB16" s="580"/>
      <c r="BC16" s="580"/>
      <c r="BD16" s="580"/>
      <c r="BE16" s="580"/>
    </row>
    <row r="17" spans="1:57" s="34" customFormat="1">
      <c r="A17" s="607" t="s">
        <v>1125</v>
      </c>
      <c r="B17" s="625" t="s">
        <v>17</v>
      </c>
      <c r="C17" s="626" t="s">
        <v>1053</v>
      </c>
      <c r="D17" s="625" t="s">
        <v>1126</v>
      </c>
      <c r="E17" s="608"/>
      <c r="F17" s="602">
        <v>0</v>
      </c>
      <c r="G17" s="602">
        <v>0</v>
      </c>
      <c r="H17" s="602">
        <v>0</v>
      </c>
      <c r="I17" s="602">
        <v>0</v>
      </c>
      <c r="J17" s="602">
        <v>0</v>
      </c>
      <c r="K17" s="640">
        <v>0</v>
      </c>
      <c r="L17" s="604">
        <v>18750</v>
      </c>
      <c r="M17" s="604">
        <v>18750</v>
      </c>
      <c r="N17" s="642">
        <v>75000</v>
      </c>
      <c r="O17" s="642">
        <v>75000</v>
      </c>
      <c r="P17" s="642">
        <v>75000</v>
      </c>
      <c r="Q17" s="642">
        <v>75000</v>
      </c>
      <c r="R17" s="580"/>
      <c r="S17" s="624"/>
      <c r="T17" s="580"/>
      <c r="U17" s="580"/>
      <c r="V17" s="643"/>
      <c r="W17" s="644"/>
      <c r="X17" s="645"/>
      <c r="Y17" s="601"/>
      <c r="Z17" s="580"/>
      <c r="AA17" s="580"/>
      <c r="AB17" s="580"/>
      <c r="AC17" s="580"/>
      <c r="AD17" s="580"/>
      <c r="AE17" s="580"/>
      <c r="AF17" s="580"/>
      <c r="AG17" s="580"/>
      <c r="AH17" s="580"/>
      <c r="AI17" s="580"/>
      <c r="AJ17" s="580"/>
      <c r="AK17" s="580"/>
      <c r="AL17" s="580"/>
      <c r="AM17" s="580"/>
      <c r="AN17" s="580"/>
      <c r="AO17" s="580"/>
      <c r="AP17" s="580"/>
      <c r="AQ17" s="580"/>
      <c r="AR17" s="580"/>
      <c r="AS17" s="580"/>
      <c r="AT17" s="580"/>
      <c r="AU17" s="580"/>
      <c r="AV17" s="580"/>
      <c r="AW17" s="580"/>
      <c r="AX17" s="580"/>
      <c r="AY17" s="580"/>
      <c r="AZ17" s="580"/>
      <c r="BA17" s="580"/>
      <c r="BB17" s="580"/>
      <c r="BC17" s="580"/>
      <c r="BD17" s="580"/>
      <c r="BE17" s="580"/>
    </row>
    <row r="18" spans="1:57" ht="14.65" customHeight="1">
      <c r="A18" s="627" t="s">
        <v>259</v>
      </c>
      <c r="B18" s="580"/>
      <c r="C18" s="580"/>
      <c r="D18" s="580"/>
      <c r="E18" s="608"/>
      <c r="F18" s="605">
        <f t="shared" ref="F18:Q18" si="0">SUM(F6:F17)</f>
        <v>217500</v>
      </c>
      <c r="G18" s="605">
        <f t="shared" si="0"/>
        <v>217500</v>
      </c>
      <c r="H18" s="605">
        <f t="shared" si="0"/>
        <v>292500</v>
      </c>
      <c r="I18" s="605">
        <f t="shared" si="0"/>
        <v>286250</v>
      </c>
      <c r="J18" s="605">
        <f t="shared" si="0"/>
        <v>257500</v>
      </c>
      <c r="K18" s="605">
        <f t="shared" si="0"/>
        <v>418750</v>
      </c>
      <c r="L18" s="605">
        <f t="shared" si="0"/>
        <v>587500</v>
      </c>
      <c r="M18" s="605">
        <f t="shared" si="0"/>
        <v>587500</v>
      </c>
      <c r="N18" s="605">
        <f t="shared" si="0"/>
        <v>2265000</v>
      </c>
      <c r="O18" s="605">
        <f t="shared" si="0"/>
        <v>2265000</v>
      </c>
      <c r="P18" s="605">
        <f t="shared" si="0"/>
        <v>2265000</v>
      </c>
      <c r="Q18" s="605">
        <f t="shared" si="0"/>
        <v>2265000</v>
      </c>
      <c r="R18" s="605"/>
      <c r="S18" s="624"/>
      <c r="T18" s="624"/>
      <c r="U18" s="580"/>
      <c r="V18" s="580"/>
      <c r="W18" s="580"/>
      <c r="X18" s="580"/>
      <c r="Y18" s="580"/>
      <c r="Z18" s="580"/>
      <c r="AA18" s="580"/>
      <c r="AB18" s="580"/>
      <c r="AC18" s="580"/>
      <c r="AD18" s="580"/>
      <c r="AE18" s="580"/>
      <c r="AF18" s="580"/>
      <c r="AG18" s="580"/>
      <c r="AH18" s="580"/>
      <c r="AI18" s="580"/>
      <c r="AJ18" s="580"/>
      <c r="AK18" s="580"/>
      <c r="AL18" s="580"/>
      <c r="AM18" s="580"/>
      <c r="AN18" s="580"/>
      <c r="AO18" s="580"/>
      <c r="AP18" s="580"/>
      <c r="AQ18" s="580"/>
      <c r="AR18" s="580"/>
      <c r="AS18" s="580"/>
      <c r="AT18" s="580"/>
      <c r="AU18" s="580"/>
      <c r="AV18" s="580"/>
      <c r="AW18" s="580"/>
      <c r="AX18" s="580"/>
      <c r="AY18" s="580"/>
      <c r="AZ18" s="580"/>
      <c r="BA18" s="580"/>
      <c r="BB18" s="580"/>
      <c r="BC18" s="580"/>
      <c r="BD18" s="580"/>
      <c r="BE18" s="580"/>
    </row>
    <row r="19" spans="1:57">
      <c r="A19" s="628"/>
      <c r="B19" s="580"/>
      <c r="C19" s="580"/>
      <c r="D19" s="580"/>
      <c r="E19" s="605"/>
      <c r="F19" s="605"/>
      <c r="G19" s="605"/>
      <c r="H19" s="605"/>
      <c r="I19" s="605"/>
      <c r="J19" s="605"/>
      <c r="K19" s="605"/>
      <c r="L19" s="605"/>
      <c r="M19" s="605"/>
      <c r="N19" s="605"/>
      <c r="O19" s="605"/>
      <c r="P19" s="605"/>
      <c r="Q19" s="605"/>
      <c r="R19" s="605"/>
      <c r="S19" s="624"/>
      <c r="T19" s="624"/>
      <c r="U19" s="580"/>
      <c r="V19" s="580"/>
      <c r="W19" s="580"/>
      <c r="X19" s="580"/>
      <c r="Y19" s="580"/>
      <c r="Z19" s="580"/>
      <c r="AA19" s="580"/>
      <c r="AB19" s="580"/>
      <c r="AC19" s="580"/>
      <c r="AD19" s="580"/>
      <c r="AE19" s="580"/>
      <c r="AF19" s="580"/>
      <c r="AG19" s="580"/>
      <c r="AH19" s="580"/>
      <c r="AI19" s="580"/>
      <c r="AJ19" s="580"/>
      <c r="AK19" s="580"/>
      <c r="AL19" s="580"/>
      <c r="AM19" s="580"/>
      <c r="AN19" s="580"/>
      <c r="AO19" s="580"/>
      <c r="AP19" s="580"/>
      <c r="AQ19" s="580"/>
      <c r="AR19" s="580"/>
      <c r="AS19" s="580"/>
      <c r="AT19" s="580"/>
      <c r="AU19" s="580"/>
      <c r="AV19" s="580"/>
      <c r="AW19" s="580"/>
      <c r="AX19" s="580"/>
      <c r="AY19" s="580"/>
      <c r="AZ19" s="580"/>
      <c r="BA19" s="580"/>
      <c r="BB19" s="580"/>
      <c r="BC19" s="580"/>
      <c r="BD19" s="580"/>
      <c r="BE19" s="580"/>
    </row>
    <row r="20" spans="1:57" ht="14.65" customHeight="1">
      <c r="A20" s="629" t="s">
        <v>1065</v>
      </c>
      <c r="B20" s="583"/>
      <c r="C20" s="583"/>
      <c r="D20" s="583"/>
      <c r="E20" s="583"/>
      <c r="F20" s="583"/>
      <c r="G20" s="583"/>
      <c r="H20" s="583"/>
      <c r="I20" s="583"/>
      <c r="J20" s="583"/>
      <c r="K20" s="583"/>
      <c r="L20" s="583"/>
      <c r="M20" s="583"/>
      <c r="N20" s="583"/>
      <c r="O20" s="583"/>
      <c r="P20" s="583"/>
      <c r="Q20" s="583"/>
      <c r="R20" s="583"/>
      <c r="S20" s="619"/>
      <c r="T20" s="619"/>
      <c r="U20" s="583"/>
      <c r="V20" s="583"/>
      <c r="W20" s="583"/>
      <c r="X20" s="583"/>
      <c r="Y20" s="583"/>
      <c r="Z20" s="583"/>
      <c r="AA20" s="583"/>
      <c r="AB20" s="583"/>
      <c r="AC20" s="583"/>
      <c r="AD20" s="583"/>
      <c r="AE20" s="583"/>
      <c r="AF20" s="583"/>
      <c r="AG20" s="583"/>
      <c r="AH20" s="583"/>
      <c r="AI20" s="583"/>
      <c r="AJ20" s="583"/>
      <c r="AK20" s="583"/>
      <c r="AL20" s="583"/>
      <c r="AM20" s="583"/>
      <c r="AN20" s="583"/>
      <c r="AO20" s="583"/>
      <c r="AP20" s="583"/>
      <c r="AQ20" s="583"/>
      <c r="AR20" s="583"/>
      <c r="AS20" s="583"/>
      <c r="AT20" s="583"/>
      <c r="AU20" s="583"/>
      <c r="AV20" s="583"/>
      <c r="AW20" s="583"/>
      <c r="AX20" s="583"/>
      <c r="AY20" s="583"/>
      <c r="AZ20" s="583"/>
      <c r="BA20" s="583"/>
      <c r="BB20" s="583"/>
      <c r="BC20" s="583"/>
      <c r="BD20" s="583"/>
      <c r="BE20" s="583"/>
    </row>
    <row r="21" spans="1:57" s="5" customFormat="1">
      <c r="A21" s="580" t="str">
        <f t="shared" ref="A21:A32" si="1">+A6</f>
        <v>HOBI (CW)</v>
      </c>
      <c r="B21" s="625" t="s">
        <v>17</v>
      </c>
      <c r="C21" s="626" t="s">
        <v>1066</v>
      </c>
      <c r="D21" s="625" t="s">
        <v>1105</v>
      </c>
      <c r="E21" s="582"/>
      <c r="F21" s="604">
        <v>0</v>
      </c>
      <c r="G21" s="604">
        <v>0</v>
      </c>
      <c r="H21" s="604">
        <v>0</v>
      </c>
      <c r="I21" s="604">
        <v>125000</v>
      </c>
      <c r="J21" s="604">
        <v>0</v>
      </c>
      <c r="K21" s="604">
        <v>0</v>
      </c>
      <c r="L21" s="604">
        <v>0</v>
      </c>
      <c r="M21" s="604">
        <v>225000</v>
      </c>
      <c r="N21" s="601">
        <v>325000</v>
      </c>
      <c r="O21" s="601">
        <v>325000</v>
      </c>
      <c r="P21" s="601">
        <v>325000</v>
      </c>
      <c r="Q21" s="601">
        <v>325000</v>
      </c>
      <c r="R21" s="580"/>
      <c r="S21" s="624"/>
      <c r="T21" s="580"/>
      <c r="U21" s="580"/>
      <c r="V21" s="648"/>
      <c r="W21" s="644"/>
      <c r="X21" s="644"/>
      <c r="Y21" s="644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  <c r="AJ21" s="580"/>
      <c r="AK21" s="580"/>
      <c r="AL21" s="580"/>
      <c r="AM21" s="580"/>
      <c r="AN21" s="580"/>
      <c r="AO21" s="580"/>
      <c r="AP21" s="580"/>
      <c r="AQ21" s="580"/>
      <c r="AR21" s="580"/>
      <c r="AS21" s="580"/>
      <c r="AT21" s="580"/>
      <c r="AU21" s="580"/>
      <c r="AV21" s="580"/>
      <c r="AW21" s="580"/>
      <c r="AX21" s="580"/>
      <c r="AY21" s="580"/>
      <c r="AZ21" s="580"/>
      <c r="BA21" s="580"/>
      <c r="BB21" s="580"/>
      <c r="BC21" s="580"/>
      <c r="BD21" s="580"/>
      <c r="BE21" s="580"/>
    </row>
    <row r="22" spans="1:57" s="5" customFormat="1">
      <c r="A22" s="580" t="str">
        <f t="shared" si="1"/>
        <v xml:space="preserve">CFO (ZS) </v>
      </c>
      <c r="B22" s="625" t="s">
        <v>17</v>
      </c>
      <c r="C22" s="626" t="s">
        <v>1066</v>
      </c>
      <c r="D22" s="625" t="s">
        <v>1107</v>
      </c>
      <c r="E22" s="605"/>
      <c r="F22" s="604">
        <v>0</v>
      </c>
      <c r="G22" s="604">
        <v>0</v>
      </c>
      <c r="H22" s="604">
        <v>0</v>
      </c>
      <c r="I22" s="604">
        <v>60000</v>
      </c>
      <c r="J22" s="604">
        <v>0</v>
      </c>
      <c r="K22" s="604">
        <v>0</v>
      </c>
      <c r="L22" s="604">
        <v>0</v>
      </c>
      <c r="M22" s="604">
        <v>100000</v>
      </c>
      <c r="N22" s="601">
        <v>150000</v>
      </c>
      <c r="O22" s="601">
        <v>150000</v>
      </c>
      <c r="P22" s="601">
        <v>150000</v>
      </c>
      <c r="Q22" s="601">
        <v>150000</v>
      </c>
      <c r="R22" s="580"/>
      <c r="S22" s="624"/>
      <c r="T22" s="580"/>
      <c r="U22" s="580"/>
      <c r="V22" s="580"/>
      <c r="W22" s="581"/>
      <c r="X22" s="644"/>
      <c r="Y22" s="644"/>
      <c r="Z22" s="580"/>
      <c r="AA22" s="580"/>
      <c r="AB22" s="580"/>
      <c r="AC22" s="580"/>
      <c r="AD22" s="580"/>
      <c r="AE22" s="580"/>
      <c r="AF22" s="580"/>
      <c r="AG22" s="580"/>
      <c r="AH22" s="580"/>
      <c r="AI22" s="580"/>
      <c r="AJ22" s="580"/>
      <c r="AK22" s="580"/>
      <c r="AL22" s="580"/>
      <c r="AM22" s="580"/>
      <c r="AN22" s="580"/>
      <c r="AO22" s="580"/>
      <c r="AP22" s="580"/>
      <c r="AQ22" s="580"/>
      <c r="AR22" s="580"/>
      <c r="AS22" s="580"/>
      <c r="AT22" s="580"/>
      <c r="AU22" s="580"/>
      <c r="AV22" s="580"/>
      <c r="AW22" s="580"/>
      <c r="AX22" s="580"/>
      <c r="AY22" s="580"/>
      <c r="AZ22" s="580"/>
      <c r="BA22" s="580"/>
      <c r="BB22" s="580"/>
      <c r="BC22" s="580"/>
      <c r="BD22" s="580"/>
      <c r="BE22" s="580"/>
    </row>
    <row r="23" spans="1:57" s="5" customFormat="1">
      <c r="A23" s="580" t="str">
        <f t="shared" si="1"/>
        <v xml:space="preserve">Financial Analyst (NR) </v>
      </c>
      <c r="B23" s="625" t="s">
        <v>17</v>
      </c>
      <c r="C23" s="626" t="s">
        <v>1066</v>
      </c>
      <c r="D23" s="625" t="s">
        <v>1109</v>
      </c>
      <c r="E23" s="605"/>
      <c r="F23" s="604">
        <v>0</v>
      </c>
      <c r="G23" s="604">
        <v>0</v>
      </c>
      <c r="H23" s="604">
        <v>0</v>
      </c>
      <c r="I23" s="604">
        <v>5000</v>
      </c>
      <c r="J23" s="604">
        <v>0</v>
      </c>
      <c r="K23" s="604">
        <v>0</v>
      </c>
      <c r="L23" s="604">
        <v>0</v>
      </c>
      <c r="M23" s="604">
        <v>7500</v>
      </c>
      <c r="N23" s="601">
        <v>7500</v>
      </c>
      <c r="O23" s="601">
        <v>7500</v>
      </c>
      <c r="P23" s="601">
        <v>7500</v>
      </c>
      <c r="Q23" s="601">
        <v>7500</v>
      </c>
      <c r="R23" s="580"/>
      <c r="S23" s="624"/>
      <c r="T23" s="580"/>
      <c r="U23" s="580"/>
      <c r="V23" s="580"/>
      <c r="W23" s="581"/>
      <c r="X23" s="580"/>
      <c r="Y23" s="581"/>
      <c r="Z23" s="580"/>
      <c r="AA23" s="580"/>
      <c r="AB23" s="580"/>
      <c r="AC23" s="580"/>
      <c r="AD23" s="580"/>
      <c r="AE23" s="580"/>
      <c r="AF23" s="580"/>
      <c r="AG23" s="580"/>
      <c r="AH23" s="580"/>
      <c r="AI23" s="580"/>
      <c r="AJ23" s="580"/>
      <c r="AK23" s="580"/>
      <c r="AL23" s="580"/>
      <c r="AM23" s="580"/>
      <c r="AN23" s="580"/>
      <c r="AO23" s="580"/>
      <c r="AP23" s="580"/>
      <c r="AQ23" s="580"/>
      <c r="AR23" s="580"/>
      <c r="AS23" s="580"/>
      <c r="AT23" s="580"/>
      <c r="AU23" s="580"/>
      <c r="AV23" s="580"/>
      <c r="AW23" s="580"/>
      <c r="AX23" s="580"/>
      <c r="AY23" s="580"/>
      <c r="AZ23" s="580"/>
      <c r="BA23" s="580"/>
      <c r="BB23" s="580"/>
      <c r="BC23" s="580"/>
      <c r="BD23" s="580"/>
      <c r="BE23" s="580"/>
    </row>
    <row r="24" spans="1:57" s="5" customFormat="1">
      <c r="A24" s="580" t="str">
        <f t="shared" si="1"/>
        <v>Fin Controls (TB) - 100%</v>
      </c>
      <c r="B24" s="625" t="s">
        <v>17</v>
      </c>
      <c r="C24" s="626" t="s">
        <v>1066</v>
      </c>
      <c r="D24" s="625" t="s">
        <v>1111</v>
      </c>
      <c r="E24" s="605"/>
      <c r="F24" s="604">
        <v>0</v>
      </c>
      <c r="G24" s="604">
        <v>0</v>
      </c>
      <c r="H24" s="604">
        <v>0</v>
      </c>
      <c r="I24" s="604">
        <v>17500</v>
      </c>
      <c r="J24" s="604">
        <v>0</v>
      </c>
      <c r="K24" s="604">
        <v>0</v>
      </c>
      <c r="L24" s="604">
        <v>0</v>
      </c>
      <c r="M24" s="604">
        <v>15000</v>
      </c>
      <c r="N24" s="601">
        <v>15000</v>
      </c>
      <c r="O24" s="601">
        <v>15000</v>
      </c>
      <c r="P24" s="601">
        <v>15000</v>
      </c>
      <c r="Q24" s="601">
        <v>15000</v>
      </c>
      <c r="R24" s="580"/>
      <c r="S24" s="624"/>
      <c r="T24" s="580"/>
      <c r="U24" s="580"/>
      <c r="V24" s="580"/>
      <c r="W24" s="644"/>
      <c r="X24" s="580"/>
      <c r="Y24" s="581"/>
      <c r="Z24" s="580"/>
      <c r="AA24" s="580"/>
      <c r="AB24" s="580"/>
      <c r="AC24" s="580"/>
      <c r="AD24" s="580"/>
      <c r="AE24" s="580"/>
      <c r="AF24" s="580"/>
      <c r="AG24" s="580"/>
      <c r="AH24" s="580"/>
      <c r="AI24" s="580"/>
      <c r="AJ24" s="580"/>
      <c r="AK24" s="580"/>
      <c r="AL24" s="580"/>
      <c r="AM24" s="580"/>
      <c r="AN24" s="580"/>
      <c r="AO24" s="580"/>
      <c r="AP24" s="580"/>
      <c r="AQ24" s="580"/>
      <c r="AR24" s="580"/>
      <c r="AS24" s="580"/>
      <c r="AT24" s="580"/>
      <c r="AU24" s="580"/>
      <c r="AV24" s="580"/>
      <c r="AW24" s="580"/>
      <c r="AX24" s="580"/>
      <c r="AY24" s="580"/>
      <c r="AZ24" s="580"/>
      <c r="BA24" s="580"/>
      <c r="BB24" s="580"/>
      <c r="BC24" s="580"/>
      <c r="BD24" s="580"/>
      <c r="BE24" s="580"/>
    </row>
    <row r="25" spans="1:57" s="5" customFormat="1">
      <c r="A25" s="580" t="str">
        <f t="shared" si="1"/>
        <v>Administrative Assistant (AM)</v>
      </c>
      <c r="B25" s="625" t="s">
        <v>17</v>
      </c>
      <c r="C25" s="626" t="s">
        <v>1066</v>
      </c>
      <c r="D25" s="625" t="s">
        <v>1095</v>
      </c>
      <c r="E25" s="605"/>
      <c r="F25" s="604">
        <v>0</v>
      </c>
      <c r="G25" s="604">
        <v>0</v>
      </c>
      <c r="H25" s="604">
        <v>0</v>
      </c>
      <c r="I25" s="604">
        <v>10000</v>
      </c>
      <c r="J25" s="604">
        <v>0</v>
      </c>
      <c r="K25" s="604">
        <v>0</v>
      </c>
      <c r="L25" s="604">
        <v>0</v>
      </c>
      <c r="M25" s="604">
        <v>0</v>
      </c>
      <c r="N25" s="601">
        <v>0</v>
      </c>
      <c r="O25" s="601">
        <v>0</v>
      </c>
      <c r="P25" s="601">
        <v>0</v>
      </c>
      <c r="Q25" s="601">
        <v>0</v>
      </c>
      <c r="R25" s="580"/>
      <c r="S25" s="624"/>
      <c r="T25" s="580"/>
      <c r="U25" s="580"/>
      <c r="V25" s="580"/>
      <c r="W25" s="580"/>
      <c r="X25" s="580"/>
      <c r="Y25" s="645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  <c r="AJ25" s="580"/>
      <c r="AK25" s="580"/>
      <c r="AL25" s="580"/>
      <c r="AM25" s="580"/>
      <c r="AN25" s="580"/>
      <c r="AO25" s="580"/>
      <c r="AP25" s="580"/>
      <c r="AQ25" s="580"/>
      <c r="AR25" s="580"/>
      <c r="AS25" s="580"/>
      <c r="AT25" s="580"/>
      <c r="AU25" s="580"/>
      <c r="AV25" s="580"/>
      <c r="AW25" s="580"/>
      <c r="AX25" s="580"/>
      <c r="AY25" s="580"/>
      <c r="AZ25" s="580"/>
      <c r="BA25" s="580"/>
      <c r="BB25" s="580"/>
      <c r="BC25" s="580"/>
      <c r="BD25" s="580"/>
      <c r="BE25" s="580"/>
    </row>
    <row r="26" spans="1:57">
      <c r="A26" s="580" t="str">
        <f t="shared" si="1"/>
        <v>Administrative Assistant (PT)</v>
      </c>
      <c r="B26" s="607" t="s">
        <v>17</v>
      </c>
      <c r="C26" s="607" t="s">
        <v>1066</v>
      </c>
      <c r="D26" s="607" t="s">
        <v>1114</v>
      </c>
      <c r="E26" s="605"/>
      <c r="F26" s="604">
        <v>0</v>
      </c>
      <c r="G26" s="604">
        <v>0</v>
      </c>
      <c r="H26" s="604">
        <v>0</v>
      </c>
      <c r="I26" s="604">
        <v>0</v>
      </c>
      <c r="J26" s="604">
        <v>0</v>
      </c>
      <c r="K26" s="604">
        <v>0</v>
      </c>
      <c r="L26" s="604">
        <v>0</v>
      </c>
      <c r="M26" s="604">
        <v>10000</v>
      </c>
      <c r="N26" s="601">
        <v>10000</v>
      </c>
      <c r="O26" s="601">
        <v>10000</v>
      </c>
      <c r="P26" s="601">
        <v>10000</v>
      </c>
      <c r="Q26" s="601">
        <v>10000</v>
      </c>
      <c r="R26" s="605"/>
      <c r="S26" s="581"/>
      <c r="T26" s="581"/>
      <c r="U26" s="580"/>
      <c r="V26" s="580"/>
      <c r="W26" s="580"/>
      <c r="X26" s="580"/>
      <c r="Y26" s="580"/>
      <c r="Z26" s="580"/>
      <c r="AA26" s="580"/>
      <c r="AB26" s="580"/>
      <c r="AC26" s="580"/>
      <c r="AD26" s="580"/>
      <c r="AE26" s="580"/>
      <c r="AF26" s="580"/>
      <c r="AG26" s="580"/>
      <c r="AH26" s="580"/>
      <c r="AI26" s="580"/>
      <c r="AJ26" s="580"/>
      <c r="AK26" s="580"/>
      <c r="AL26" s="580"/>
      <c r="AM26" s="580"/>
      <c r="AN26" s="580"/>
      <c r="AO26" s="580"/>
      <c r="AP26" s="580"/>
      <c r="AQ26" s="580"/>
      <c r="AR26" s="580"/>
      <c r="AS26" s="580"/>
      <c r="AT26" s="580"/>
      <c r="AU26" s="580"/>
      <c r="AV26" s="580"/>
      <c r="AW26" s="580"/>
      <c r="AX26" s="580"/>
      <c r="AY26" s="580"/>
      <c r="AZ26" s="580"/>
      <c r="BA26" s="580"/>
      <c r="BB26" s="580"/>
      <c r="BC26" s="580"/>
      <c r="BD26" s="580"/>
      <c r="BE26" s="580"/>
    </row>
    <row r="27" spans="1:57" s="30" customFormat="1">
      <c r="A27" s="580" t="str">
        <f t="shared" si="1"/>
        <v>Financial Director (DV) - 100%</v>
      </c>
      <c r="B27" s="625" t="s">
        <v>17</v>
      </c>
      <c r="C27" s="626" t="s">
        <v>1066</v>
      </c>
      <c r="D27" s="625" t="s">
        <v>1116</v>
      </c>
      <c r="E27" s="605"/>
      <c r="F27" s="604">
        <v>0</v>
      </c>
      <c r="G27" s="604">
        <v>0</v>
      </c>
      <c r="H27" s="604">
        <v>0</v>
      </c>
      <c r="I27" s="604">
        <v>20000</v>
      </c>
      <c r="J27" s="604">
        <v>0</v>
      </c>
      <c r="K27" s="604">
        <v>0</v>
      </c>
      <c r="L27" s="604">
        <v>0</v>
      </c>
      <c r="M27" s="604">
        <v>40000</v>
      </c>
      <c r="N27" s="601">
        <v>40000</v>
      </c>
      <c r="O27" s="601">
        <v>40000</v>
      </c>
      <c r="P27" s="601">
        <v>40000</v>
      </c>
      <c r="Q27" s="601">
        <v>40000</v>
      </c>
      <c r="R27" s="605"/>
      <c r="S27" s="624"/>
      <c r="T27" s="624"/>
      <c r="U27" s="580"/>
      <c r="V27" s="580"/>
      <c r="W27" s="581"/>
      <c r="X27" s="580"/>
      <c r="Y27" s="644"/>
      <c r="Z27" s="580"/>
      <c r="AA27" s="580"/>
      <c r="AB27" s="580"/>
      <c r="AC27" s="580"/>
      <c r="AD27" s="580"/>
      <c r="AE27" s="580"/>
      <c r="AF27" s="580"/>
      <c r="AG27" s="580"/>
      <c r="AH27" s="580"/>
      <c r="AI27" s="580"/>
      <c r="AJ27" s="580"/>
      <c r="AK27" s="580"/>
      <c r="AL27" s="580"/>
      <c r="AM27" s="580"/>
      <c r="AN27" s="580"/>
      <c r="AO27" s="580"/>
      <c r="AP27" s="580"/>
      <c r="AQ27" s="580"/>
      <c r="AR27" s="580"/>
      <c r="AS27" s="580"/>
      <c r="AT27" s="580"/>
      <c r="AU27" s="580"/>
      <c r="AV27" s="580"/>
      <c r="AW27" s="580"/>
      <c r="AX27" s="580"/>
      <c r="AY27" s="580"/>
      <c r="AZ27" s="580"/>
      <c r="BA27" s="580"/>
      <c r="BB27" s="580"/>
      <c r="BC27" s="580"/>
      <c r="BD27" s="580"/>
      <c r="BE27" s="580"/>
    </row>
    <row r="28" spans="1:57" s="30" customFormat="1">
      <c r="A28" s="580" t="str">
        <f t="shared" si="1"/>
        <v>IM (TW)</v>
      </c>
      <c r="B28" s="625" t="s">
        <v>17</v>
      </c>
      <c r="C28" s="626" t="s">
        <v>1066</v>
      </c>
      <c r="D28" s="625" t="s">
        <v>1118</v>
      </c>
      <c r="E28" s="605"/>
      <c r="F28" s="604">
        <v>0</v>
      </c>
      <c r="G28" s="604">
        <v>0</v>
      </c>
      <c r="H28" s="604">
        <v>0</v>
      </c>
      <c r="I28" s="604">
        <v>25000</v>
      </c>
      <c r="J28" s="604">
        <v>0</v>
      </c>
      <c r="K28" s="604">
        <v>0</v>
      </c>
      <c r="L28" s="604">
        <v>0</v>
      </c>
      <c r="M28" s="604">
        <v>25000</v>
      </c>
      <c r="N28" s="601">
        <v>25000</v>
      </c>
      <c r="O28" s="601">
        <v>25000</v>
      </c>
      <c r="P28" s="601">
        <v>25000</v>
      </c>
      <c r="Q28" s="601">
        <v>25000</v>
      </c>
      <c r="R28" s="605"/>
      <c r="S28" s="624"/>
      <c r="T28" s="624"/>
      <c r="U28" s="580"/>
      <c r="V28" s="580"/>
      <c r="W28" s="581"/>
      <c r="X28" s="580"/>
      <c r="Y28" s="644"/>
      <c r="Z28" s="580"/>
      <c r="AA28" s="580"/>
      <c r="AB28" s="580"/>
      <c r="AC28" s="580"/>
      <c r="AD28" s="580"/>
      <c r="AE28" s="580"/>
      <c r="AF28" s="580"/>
      <c r="AG28" s="580"/>
      <c r="AH28" s="580"/>
      <c r="AI28" s="580"/>
      <c r="AJ28" s="580"/>
      <c r="AK28" s="580"/>
      <c r="AL28" s="580"/>
      <c r="AM28" s="580"/>
      <c r="AN28" s="580"/>
      <c r="AO28" s="580"/>
      <c r="AP28" s="580"/>
      <c r="AQ28" s="580"/>
      <c r="AR28" s="580"/>
      <c r="AS28" s="580"/>
      <c r="AT28" s="580"/>
      <c r="AU28" s="580"/>
      <c r="AV28" s="580"/>
      <c r="AW28" s="580"/>
      <c r="AX28" s="580"/>
      <c r="AY28" s="580"/>
      <c r="AZ28" s="580"/>
      <c r="BA28" s="580"/>
      <c r="BB28" s="580"/>
      <c r="BC28" s="580"/>
      <c r="BD28" s="580"/>
      <c r="BE28" s="580"/>
    </row>
    <row r="29" spans="1:57" s="5" customFormat="1">
      <c r="A29" s="580" t="str">
        <f t="shared" si="1"/>
        <v>HR (100%)</v>
      </c>
      <c r="B29" s="625" t="s">
        <v>17</v>
      </c>
      <c r="C29" s="626" t="s">
        <v>1066</v>
      </c>
      <c r="D29" s="625" t="s">
        <v>1120</v>
      </c>
      <c r="E29" s="605"/>
      <c r="F29" s="604">
        <v>0</v>
      </c>
      <c r="G29" s="604">
        <v>0</v>
      </c>
      <c r="H29" s="604">
        <v>0</v>
      </c>
      <c r="I29" s="604">
        <v>0</v>
      </c>
      <c r="J29" s="604">
        <v>0</v>
      </c>
      <c r="K29" s="604">
        <v>0</v>
      </c>
      <c r="L29" s="604">
        <v>0</v>
      </c>
      <c r="M29" s="604">
        <v>15000</v>
      </c>
      <c r="N29" s="601">
        <v>25000</v>
      </c>
      <c r="O29" s="601">
        <v>25000</v>
      </c>
      <c r="P29" s="601">
        <v>25000</v>
      </c>
      <c r="Q29" s="601">
        <v>25000</v>
      </c>
      <c r="R29" s="580"/>
      <c r="S29" s="624"/>
      <c r="T29" s="580"/>
      <c r="U29" s="580"/>
      <c r="V29" s="580"/>
      <c r="W29" s="644"/>
      <c r="X29" s="580"/>
      <c r="Y29" s="645"/>
      <c r="Z29" s="580"/>
      <c r="AA29" s="580"/>
      <c r="AB29" s="580"/>
      <c r="AC29" s="580"/>
      <c r="AD29" s="580"/>
      <c r="AE29" s="580"/>
      <c r="AF29" s="580"/>
      <c r="AG29" s="580"/>
      <c r="AH29" s="580"/>
      <c r="AI29" s="580"/>
      <c r="AJ29" s="580"/>
      <c r="AK29" s="580"/>
      <c r="AL29" s="580"/>
      <c r="AM29" s="580"/>
      <c r="AN29" s="580"/>
      <c r="AO29" s="580"/>
      <c r="AP29" s="580"/>
      <c r="AQ29" s="580"/>
      <c r="AR29" s="580"/>
      <c r="AS29" s="580"/>
      <c r="AT29" s="580"/>
      <c r="AU29" s="580"/>
      <c r="AV29" s="580"/>
      <c r="AW29" s="580"/>
      <c r="AX29" s="580"/>
      <c r="AY29" s="580"/>
      <c r="AZ29" s="580"/>
      <c r="BA29" s="580"/>
      <c r="BB29" s="580"/>
      <c r="BC29" s="580"/>
      <c r="BD29" s="580"/>
      <c r="BE29" s="580"/>
    </row>
    <row r="30" spans="1:57" s="5" customFormat="1">
      <c r="A30" s="580" t="str">
        <f t="shared" si="1"/>
        <v>Legal (100%)</v>
      </c>
      <c r="B30" s="625" t="s">
        <v>17</v>
      </c>
      <c r="C30" s="626" t="s">
        <v>1066</v>
      </c>
      <c r="D30" s="625" t="s">
        <v>1122</v>
      </c>
      <c r="E30" s="605"/>
      <c r="F30" s="604">
        <v>0</v>
      </c>
      <c r="G30" s="604">
        <v>0</v>
      </c>
      <c r="H30" s="604">
        <v>0</v>
      </c>
      <c r="I30" s="604">
        <v>0</v>
      </c>
      <c r="J30" s="604">
        <v>0</v>
      </c>
      <c r="K30" s="604">
        <v>0</v>
      </c>
      <c r="L30" s="604">
        <v>0</v>
      </c>
      <c r="M30" s="604">
        <v>15000</v>
      </c>
      <c r="N30" s="601">
        <v>25000</v>
      </c>
      <c r="O30" s="601">
        <v>25000</v>
      </c>
      <c r="P30" s="601">
        <v>25000</v>
      </c>
      <c r="Q30" s="601">
        <v>25000</v>
      </c>
      <c r="R30" s="580"/>
      <c r="S30" s="624"/>
      <c r="T30" s="580"/>
      <c r="U30" s="580"/>
      <c r="V30" s="580"/>
      <c r="W30" s="644"/>
      <c r="X30" s="580"/>
      <c r="Y30" s="645"/>
      <c r="Z30" s="580"/>
      <c r="AA30" s="580"/>
      <c r="AB30" s="580"/>
      <c r="AC30" s="580"/>
      <c r="AD30" s="580"/>
      <c r="AE30" s="580"/>
      <c r="AF30" s="580"/>
      <c r="AG30" s="580"/>
      <c r="AH30" s="580"/>
      <c r="AI30" s="580"/>
      <c r="AJ30" s="580"/>
      <c r="AK30" s="580"/>
      <c r="AL30" s="580"/>
      <c r="AM30" s="580"/>
      <c r="AN30" s="580"/>
      <c r="AO30" s="580"/>
      <c r="AP30" s="580"/>
      <c r="AQ30" s="580"/>
      <c r="AR30" s="580"/>
      <c r="AS30" s="580"/>
      <c r="AT30" s="580"/>
      <c r="AU30" s="580"/>
      <c r="AV30" s="580"/>
      <c r="AW30" s="580"/>
      <c r="AX30" s="580"/>
      <c r="AY30" s="580"/>
      <c r="AZ30" s="580"/>
      <c r="BA30" s="580"/>
      <c r="BB30" s="580"/>
      <c r="BC30" s="580"/>
      <c r="BD30" s="580"/>
      <c r="BE30" s="580"/>
    </row>
    <row r="31" spans="1:57" s="5" customFormat="1">
      <c r="A31" s="580" t="str">
        <f t="shared" si="1"/>
        <v>Tech1</v>
      </c>
      <c r="B31" s="625" t="s">
        <v>17</v>
      </c>
      <c r="C31" s="626" t="s">
        <v>1066</v>
      </c>
      <c r="D31" s="625" t="s">
        <v>1124</v>
      </c>
      <c r="E31" s="605"/>
      <c r="F31" s="604">
        <v>0</v>
      </c>
      <c r="G31" s="604">
        <v>0</v>
      </c>
      <c r="H31" s="604">
        <v>0</v>
      </c>
      <c r="I31" s="604">
        <v>0</v>
      </c>
      <c r="J31" s="604">
        <v>0</v>
      </c>
      <c r="K31" s="604">
        <v>0</v>
      </c>
      <c r="L31" s="604">
        <v>0</v>
      </c>
      <c r="M31" s="604">
        <v>15000</v>
      </c>
      <c r="N31" s="601">
        <v>25000</v>
      </c>
      <c r="O31" s="601">
        <v>25000</v>
      </c>
      <c r="P31" s="601">
        <v>25000</v>
      </c>
      <c r="Q31" s="601">
        <v>25000</v>
      </c>
      <c r="R31" s="580"/>
      <c r="S31" s="624"/>
      <c r="T31" s="580"/>
      <c r="U31" s="580"/>
      <c r="V31" s="610"/>
      <c r="W31" s="644"/>
      <c r="X31" s="580"/>
      <c r="Y31" s="644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  <c r="AJ31" s="580"/>
      <c r="AK31" s="580"/>
      <c r="AL31" s="580"/>
      <c r="AM31" s="580"/>
      <c r="AN31" s="580"/>
      <c r="AO31" s="580"/>
      <c r="AP31" s="580"/>
      <c r="AQ31" s="580"/>
      <c r="AR31" s="580"/>
      <c r="AS31" s="580"/>
      <c r="AT31" s="580"/>
      <c r="AU31" s="580"/>
      <c r="AV31" s="580"/>
      <c r="AW31" s="580"/>
      <c r="AX31" s="580"/>
      <c r="AY31" s="580"/>
      <c r="AZ31" s="580"/>
      <c r="BA31" s="580"/>
      <c r="BB31" s="580"/>
      <c r="BC31" s="580"/>
      <c r="BD31" s="580"/>
      <c r="BE31" s="580"/>
    </row>
    <row r="32" spans="1:57" s="5" customFormat="1">
      <c r="A32" s="580" t="str">
        <f t="shared" si="1"/>
        <v>Tech2</v>
      </c>
      <c r="B32" s="625" t="s">
        <v>17</v>
      </c>
      <c r="C32" s="626" t="s">
        <v>1066</v>
      </c>
      <c r="D32" s="625" t="s">
        <v>1126</v>
      </c>
      <c r="E32" s="605"/>
      <c r="F32" s="604">
        <v>0</v>
      </c>
      <c r="G32" s="604">
        <v>0</v>
      </c>
      <c r="H32" s="604">
        <v>0</v>
      </c>
      <c r="I32" s="604">
        <v>0</v>
      </c>
      <c r="J32" s="604">
        <v>0</v>
      </c>
      <c r="K32" s="604">
        <v>0</v>
      </c>
      <c r="L32" s="604">
        <v>0</v>
      </c>
      <c r="M32" s="604">
        <v>15000</v>
      </c>
      <c r="N32" s="601">
        <v>25000</v>
      </c>
      <c r="O32" s="601">
        <v>25000</v>
      </c>
      <c r="P32" s="601">
        <v>25000</v>
      </c>
      <c r="Q32" s="601">
        <v>25000</v>
      </c>
      <c r="R32" s="580"/>
      <c r="S32" s="624"/>
      <c r="T32" s="580"/>
      <c r="U32" s="580"/>
      <c r="V32" s="610"/>
      <c r="W32" s="644"/>
      <c r="X32" s="580"/>
      <c r="Y32" s="644"/>
      <c r="Z32" s="580"/>
      <c r="AA32" s="580"/>
      <c r="AB32" s="580"/>
      <c r="AC32" s="580"/>
      <c r="AD32" s="580"/>
      <c r="AE32" s="580"/>
      <c r="AF32" s="580"/>
      <c r="AG32" s="580"/>
      <c r="AH32" s="580"/>
      <c r="AI32" s="580"/>
      <c r="AJ32" s="580"/>
      <c r="AK32" s="580"/>
      <c r="AL32" s="580"/>
      <c r="AM32" s="580"/>
      <c r="AN32" s="580"/>
      <c r="AO32" s="580"/>
      <c r="AP32" s="580"/>
      <c r="AQ32" s="580"/>
      <c r="AR32" s="580"/>
      <c r="AS32" s="580"/>
      <c r="AT32" s="580"/>
      <c r="AU32" s="580"/>
      <c r="AV32" s="580"/>
      <c r="AW32" s="580"/>
      <c r="AX32" s="580"/>
      <c r="AY32" s="580"/>
      <c r="AZ32" s="580"/>
      <c r="BA32" s="580"/>
      <c r="BB32" s="580"/>
      <c r="BC32" s="580"/>
      <c r="BD32" s="580"/>
      <c r="BE32" s="580"/>
    </row>
    <row r="33" spans="1:57" ht="14.65" customHeight="1">
      <c r="A33" s="627" t="s">
        <v>259</v>
      </c>
      <c r="B33" s="580"/>
      <c r="C33" s="580"/>
      <c r="D33" s="580"/>
      <c r="E33" s="608"/>
      <c r="F33" s="605">
        <f t="shared" ref="F33:Q33" si="2">SUM(F21:F32)</f>
        <v>0</v>
      </c>
      <c r="G33" s="605">
        <f t="shared" si="2"/>
        <v>0</v>
      </c>
      <c r="H33" s="605">
        <f t="shared" si="2"/>
        <v>0</v>
      </c>
      <c r="I33" s="605">
        <f t="shared" si="2"/>
        <v>262500</v>
      </c>
      <c r="J33" s="605">
        <f t="shared" si="2"/>
        <v>0</v>
      </c>
      <c r="K33" s="605">
        <f t="shared" si="2"/>
        <v>0</v>
      </c>
      <c r="L33" s="605">
        <f t="shared" si="2"/>
        <v>0</v>
      </c>
      <c r="M33" s="605">
        <f t="shared" si="2"/>
        <v>482500</v>
      </c>
      <c r="N33" s="605">
        <f t="shared" si="2"/>
        <v>672500</v>
      </c>
      <c r="O33" s="605">
        <f t="shared" si="2"/>
        <v>672500</v>
      </c>
      <c r="P33" s="605">
        <f t="shared" si="2"/>
        <v>672500</v>
      </c>
      <c r="Q33" s="605">
        <f t="shared" si="2"/>
        <v>672500</v>
      </c>
      <c r="R33" s="605"/>
      <c r="S33" s="624"/>
      <c r="T33" s="624"/>
      <c r="U33" s="580"/>
      <c r="V33" s="580"/>
      <c r="W33" s="580"/>
      <c r="X33" s="580"/>
      <c r="Y33" s="580"/>
      <c r="Z33" s="580"/>
      <c r="AA33" s="580"/>
      <c r="AB33" s="580"/>
      <c r="AC33" s="580"/>
      <c r="AD33" s="580"/>
      <c r="AE33" s="580"/>
      <c r="AF33" s="580"/>
      <c r="AG33" s="580"/>
      <c r="AH33" s="580"/>
      <c r="AI33" s="580"/>
      <c r="AJ33" s="580"/>
      <c r="AK33" s="580"/>
      <c r="AL33" s="580"/>
      <c r="AM33" s="580"/>
      <c r="AN33" s="580"/>
      <c r="AO33" s="580"/>
      <c r="AP33" s="580"/>
      <c r="AQ33" s="580"/>
      <c r="AR33" s="580"/>
      <c r="AS33" s="580"/>
      <c r="AT33" s="580"/>
      <c r="AU33" s="580"/>
      <c r="AV33" s="580"/>
      <c r="AW33" s="580"/>
      <c r="AX33" s="580"/>
      <c r="AY33" s="580"/>
      <c r="AZ33" s="580"/>
      <c r="BA33" s="580"/>
      <c r="BB33" s="580"/>
      <c r="BC33" s="580"/>
      <c r="BD33" s="580"/>
      <c r="BE33" s="580"/>
    </row>
    <row r="34" spans="1:57">
      <c r="A34" s="628"/>
      <c r="B34" s="580"/>
      <c r="C34" s="580"/>
      <c r="D34" s="580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5"/>
      <c r="P34" s="605"/>
      <c r="Q34" s="605"/>
      <c r="R34" s="611"/>
      <c r="S34" s="624"/>
      <c r="T34" s="624"/>
      <c r="U34" s="580"/>
      <c r="V34" s="580"/>
      <c r="W34" s="580"/>
      <c r="X34" s="580"/>
      <c r="Y34" s="580"/>
      <c r="Z34" s="580"/>
      <c r="AA34" s="580"/>
      <c r="AB34" s="580"/>
      <c r="AC34" s="580"/>
      <c r="AD34" s="630"/>
      <c r="AE34" s="580"/>
      <c r="AF34" s="580"/>
      <c r="AG34" s="580"/>
      <c r="AH34" s="580"/>
      <c r="AI34" s="580"/>
      <c r="AJ34" s="580"/>
      <c r="AK34" s="580"/>
      <c r="AL34" s="580"/>
      <c r="AM34" s="580"/>
      <c r="AN34" s="580"/>
      <c r="AO34" s="580"/>
      <c r="AP34" s="580"/>
      <c r="AQ34" s="580"/>
      <c r="AR34" s="580"/>
      <c r="AS34" s="580"/>
      <c r="AT34" s="580"/>
      <c r="AU34" s="580"/>
      <c r="AV34" s="580"/>
      <c r="AW34" s="580"/>
      <c r="AX34" s="580"/>
      <c r="AY34" s="580"/>
      <c r="AZ34" s="580"/>
      <c r="BA34" s="580"/>
      <c r="BB34" s="580"/>
      <c r="BC34" s="580"/>
      <c r="BD34" s="580"/>
      <c r="BE34" s="580"/>
    </row>
    <row r="35" spans="1:57" ht="14.65" customHeight="1">
      <c r="A35" s="629" t="s">
        <v>1081</v>
      </c>
      <c r="B35" s="583"/>
      <c r="C35" s="583"/>
      <c r="D35" s="583"/>
      <c r="E35" s="583"/>
      <c r="F35" s="583"/>
      <c r="G35" s="583"/>
      <c r="H35" s="583"/>
      <c r="I35" s="583"/>
      <c r="J35" s="583"/>
      <c r="K35" s="583"/>
      <c r="L35" s="583"/>
      <c r="M35" s="583"/>
      <c r="N35" s="583"/>
      <c r="O35" s="583"/>
      <c r="P35" s="583"/>
      <c r="Q35" s="583"/>
      <c r="R35" s="583"/>
      <c r="S35" s="619"/>
      <c r="T35" s="619"/>
      <c r="U35" s="583"/>
      <c r="V35" s="583"/>
      <c r="W35" s="583"/>
      <c r="X35" s="583"/>
      <c r="Y35" s="583"/>
      <c r="Z35" s="583"/>
      <c r="AA35" s="583"/>
      <c r="AB35" s="583"/>
      <c r="AC35" s="583"/>
      <c r="AD35" s="583"/>
      <c r="AE35" s="583"/>
      <c r="AF35" s="583"/>
      <c r="AG35" s="583"/>
      <c r="AH35" s="583"/>
      <c r="AI35" s="583"/>
      <c r="AJ35" s="583"/>
      <c r="AK35" s="583"/>
      <c r="AL35" s="583"/>
      <c r="AM35" s="583"/>
      <c r="AN35" s="583"/>
      <c r="AO35" s="583"/>
      <c r="AP35" s="583"/>
      <c r="AQ35" s="583"/>
      <c r="AR35" s="583"/>
      <c r="AS35" s="583"/>
      <c r="AT35" s="583"/>
      <c r="AU35" s="583"/>
      <c r="AV35" s="583"/>
      <c r="AW35" s="583"/>
      <c r="AX35" s="583"/>
      <c r="AY35" s="583"/>
      <c r="AZ35" s="583"/>
      <c r="BA35" s="583"/>
      <c r="BB35" s="583"/>
      <c r="BC35" s="583"/>
      <c r="BD35" s="583"/>
      <c r="BE35" s="583"/>
    </row>
    <row r="36" spans="1:57">
      <c r="A36" s="580" t="str">
        <f t="shared" ref="A36:A47" si="3">+A6</f>
        <v>HOBI (CW)</v>
      </c>
      <c r="B36" s="607" t="s">
        <v>805</v>
      </c>
      <c r="C36" s="607" t="s">
        <v>1067</v>
      </c>
      <c r="D36" s="607" t="s">
        <v>1105</v>
      </c>
      <c r="E36" s="632"/>
      <c r="F36" s="631">
        <f>+F6*(1+'.c12_inputs.hr'!$E$15)+(F21*(1+'.c12_inputs.hr'!$E$16))</f>
        <v>107999.99999999999</v>
      </c>
      <c r="G36" s="631">
        <f>+G6*(1+'.c12_inputs.hr'!$E$15)+(G21*(1+'.c12_inputs.hr'!$E$16))</f>
        <v>107999.99999999999</v>
      </c>
      <c r="H36" s="631">
        <f>+H6*(1+'.c12_inputs.hr'!$E$15)+(H21*(1+'.c12_inputs.hr'!$E$16))</f>
        <v>107999.99999999999</v>
      </c>
      <c r="I36" s="631">
        <f>+I6*(1+'.c12_inputs.hr'!$E$15)+(I21*(1+'.c12_inputs.hr'!$E$16))</f>
        <v>237874.99999999997</v>
      </c>
      <c r="J36" s="631">
        <f>+J6*(1+'.c12_inputs.hr'!$E$15)+(J21*(1+'.c12_inputs.hr'!$E$16))</f>
        <v>107999.99999999999</v>
      </c>
      <c r="K36" s="631">
        <f>+K6*(1+'.c12_inputs.hr'!$E$15)+(K21*(1+'.c12_inputs.hr'!$E$16))</f>
        <v>107999.99999999999</v>
      </c>
      <c r="L36" s="631">
        <f>+L6*(1+'.c12_inputs.hr'!$E$15)+(L21*(1+'.c12_inputs.hr'!$E$16))</f>
        <v>107999.99999999999</v>
      </c>
      <c r="M36" s="631">
        <f>+M6*(1+'.c12_inputs.hr'!$E$15)+(M21*(1+'.c12_inputs.hr'!$E$16))</f>
        <v>341774.99999999994</v>
      </c>
      <c r="N36" s="632">
        <f>+N6*(1+'.c12_inputs.hr'!$E$15)+(N21*(1+'.c12_inputs.hr'!$E$16))</f>
        <v>769675</v>
      </c>
      <c r="O36" s="632">
        <f>+O6*(1+'.c12_inputs.hr'!$E$15)+(O21*(1+'.c12_inputs.hr'!$E$16))</f>
        <v>769675</v>
      </c>
      <c r="P36" s="632">
        <f>+P6*(1+'.c12_inputs.hr'!$E$15)+(P21*(1+'.c12_inputs.hr'!$E$16))</f>
        <v>769675</v>
      </c>
      <c r="Q36" s="632">
        <f>+Q6*(1+'.c12_inputs.hr'!$E$15)+(Q21*(1+'.c12_inputs.hr'!$E$16))</f>
        <v>769675</v>
      </c>
      <c r="R36" s="632"/>
      <c r="S36" s="632"/>
      <c r="T36" s="624"/>
      <c r="U36" s="580"/>
      <c r="V36" s="580"/>
      <c r="W36" s="580"/>
      <c r="X36" s="580"/>
      <c r="Y36" s="580"/>
      <c r="Z36" s="580"/>
      <c r="AA36" s="580"/>
      <c r="AB36" s="580"/>
      <c r="AC36" s="580"/>
      <c r="AD36" s="580"/>
      <c r="AE36" s="580"/>
      <c r="AF36" s="580"/>
      <c r="AG36" s="580"/>
      <c r="AH36" s="580"/>
      <c r="AI36" s="580"/>
      <c r="AJ36" s="580"/>
      <c r="AK36" s="580"/>
      <c r="AL36" s="580"/>
      <c r="AM36" s="580"/>
      <c r="AN36" s="580"/>
      <c r="AO36" s="580"/>
      <c r="AP36" s="580"/>
      <c r="AQ36" s="580"/>
      <c r="AR36" s="580"/>
      <c r="AS36" s="580"/>
      <c r="AT36" s="580"/>
      <c r="AU36" s="580"/>
      <c r="AV36" s="580"/>
      <c r="AW36" s="580"/>
      <c r="AX36" s="580"/>
      <c r="AY36" s="580"/>
      <c r="AZ36" s="580"/>
      <c r="BA36" s="580"/>
      <c r="BB36" s="580"/>
      <c r="BC36" s="580"/>
      <c r="BD36" s="580"/>
      <c r="BE36" s="580"/>
    </row>
    <row r="37" spans="1:57">
      <c r="A37" s="580" t="str">
        <f t="shared" si="3"/>
        <v xml:space="preserve">CFO (ZS) </v>
      </c>
      <c r="B37" s="607" t="s">
        <v>805</v>
      </c>
      <c r="C37" s="607" t="s">
        <v>1067</v>
      </c>
      <c r="D37" s="607" t="s">
        <v>1107</v>
      </c>
      <c r="E37" s="632"/>
      <c r="F37" s="631">
        <f>+F7*(1+'.c12_inputs.hr'!$E$15)+(F22*(1+'.c12_inputs.hr'!$E$16))</f>
        <v>0</v>
      </c>
      <c r="G37" s="631">
        <f>+G7*(1+'.c12_inputs.hr'!$E$15)+(G22*(1+'.c12_inputs.hr'!$E$16))</f>
        <v>0</v>
      </c>
      <c r="H37" s="631">
        <f>+H7*(1+'.c12_inputs.hr'!$E$15)+(H22*(1+'.c12_inputs.hr'!$E$16))</f>
        <v>0</v>
      </c>
      <c r="I37" s="631">
        <f>+I7*(1+'.c12_inputs.hr'!$E$15)+(I22*(1+'.c12_inputs.hr'!$E$16))</f>
        <v>62339.999999999993</v>
      </c>
      <c r="J37" s="631">
        <f>+J7*(1+'.c12_inputs.hr'!$E$15)+(J22*(1+'.c12_inputs.hr'!$E$16))</f>
        <v>0</v>
      </c>
      <c r="K37" s="631">
        <f>+K7*(1+'.c12_inputs.hr'!$E$15)+(K22*(1+'.c12_inputs.hr'!$E$16))</f>
        <v>144000</v>
      </c>
      <c r="L37" s="631">
        <f>+L7*(1+'.c12_inputs.hr'!$E$15)+(L22*(1+'.c12_inputs.hr'!$E$16))</f>
        <v>144000</v>
      </c>
      <c r="M37" s="631">
        <f>+M7*(1+'.c12_inputs.hr'!$E$15)+(M22*(1+'.c12_inputs.hr'!$E$16))</f>
        <v>247900</v>
      </c>
      <c r="N37" s="632">
        <f>+N7*(1+'.c12_inputs.hr'!$E$15)+(N22*(1+'.c12_inputs.hr'!$E$16))</f>
        <v>587850</v>
      </c>
      <c r="O37" s="632">
        <f>+O7*(1+'.c12_inputs.hr'!$E$15)+(O22*(1+'.c12_inputs.hr'!$E$16))</f>
        <v>587850</v>
      </c>
      <c r="P37" s="632">
        <f>+P7*(1+'.c12_inputs.hr'!$E$15)+(P22*(1+'.c12_inputs.hr'!$E$16))</f>
        <v>587850</v>
      </c>
      <c r="Q37" s="632">
        <f>+Q7*(1+'.c12_inputs.hr'!$E$15)+(Q22*(1+'.c12_inputs.hr'!$E$16))</f>
        <v>587850</v>
      </c>
      <c r="R37" s="632"/>
      <c r="S37" s="632"/>
      <c r="T37" s="624"/>
      <c r="U37" s="580"/>
      <c r="V37" s="580"/>
      <c r="W37" s="580"/>
      <c r="X37" s="580"/>
      <c r="Y37" s="580"/>
      <c r="Z37" s="580"/>
      <c r="AA37" s="580"/>
      <c r="AB37" s="580"/>
      <c r="AC37" s="580"/>
      <c r="AD37" s="580"/>
      <c r="AE37" s="580"/>
      <c r="AF37" s="580"/>
      <c r="AG37" s="580"/>
      <c r="AH37" s="580"/>
      <c r="AI37" s="580"/>
      <c r="AJ37" s="580"/>
      <c r="AK37" s="580"/>
      <c r="AL37" s="580"/>
      <c r="AM37" s="580"/>
      <c r="AN37" s="580"/>
      <c r="AO37" s="580"/>
      <c r="AP37" s="580"/>
      <c r="AQ37" s="580"/>
      <c r="AR37" s="580"/>
      <c r="AS37" s="580"/>
      <c r="AT37" s="580"/>
      <c r="AU37" s="580"/>
      <c r="AV37" s="580"/>
      <c r="AW37" s="580"/>
      <c r="AX37" s="580"/>
      <c r="AY37" s="580"/>
      <c r="AZ37" s="580"/>
      <c r="BA37" s="580"/>
      <c r="BB37" s="580"/>
      <c r="BC37" s="580"/>
      <c r="BD37" s="580"/>
      <c r="BE37" s="580"/>
    </row>
    <row r="38" spans="1:57">
      <c r="A38" s="580" t="str">
        <f t="shared" si="3"/>
        <v xml:space="preserve">Financial Analyst (NR) </v>
      </c>
      <c r="B38" s="607" t="s">
        <v>805</v>
      </c>
      <c r="C38" s="607" t="s">
        <v>1067</v>
      </c>
      <c r="D38" s="607" t="s">
        <v>1109</v>
      </c>
      <c r="E38" s="632"/>
      <c r="F38" s="631">
        <f>+F8*(1+'.c12_inputs.hr'!$E$15)+(F23*(1+'.c12_inputs.hr'!$E$16))</f>
        <v>0</v>
      </c>
      <c r="G38" s="631">
        <f>+G8*(1+'.c12_inputs.hr'!$E$15)+(G23*(1+'.c12_inputs.hr'!$E$16))</f>
        <v>0</v>
      </c>
      <c r="H38" s="631">
        <f>+H8*(1+'.c12_inputs.hr'!$E$15)+(H23*(1+'.c12_inputs.hr'!$E$16))</f>
        <v>24479.999999999996</v>
      </c>
      <c r="I38" s="631">
        <f>+I8*(1+'.c12_inputs.hr'!$E$15)+(I23*(1+'.c12_inputs.hr'!$E$16))</f>
        <v>29674.999999999996</v>
      </c>
      <c r="J38" s="631">
        <f>+J8*(1+'.c12_inputs.hr'!$E$15)+(J23*(1+'.c12_inputs.hr'!$E$16))</f>
        <v>24479.999999999996</v>
      </c>
      <c r="K38" s="631">
        <f>+K8*(1+'.c12_inputs.hr'!$E$15)+(K23*(1+'.c12_inputs.hr'!$E$16))</f>
        <v>24479.999999999996</v>
      </c>
      <c r="L38" s="631">
        <f>+L8*(1+'.c12_inputs.hr'!$E$15)+(L23*(1+'.c12_inputs.hr'!$E$16))</f>
        <v>24479.999999999996</v>
      </c>
      <c r="M38" s="631">
        <f>+M8*(1+'.c12_inputs.hr'!$E$15)+(M23*(1+'.c12_inputs.hr'!$E$16))</f>
        <v>32272.499999999996</v>
      </c>
      <c r="N38" s="632">
        <f>+N8*(1+'.c12_inputs.hr'!$E$15)+(N23*(1+'.c12_inputs.hr'!$E$16))</f>
        <v>105712.49999999999</v>
      </c>
      <c r="O38" s="632">
        <f>+O8*(1+'.c12_inputs.hr'!$E$15)+(O23*(1+'.c12_inputs.hr'!$E$16))</f>
        <v>105712.49999999999</v>
      </c>
      <c r="P38" s="632">
        <f>+P8*(1+'.c12_inputs.hr'!$E$15)+(P23*(1+'.c12_inputs.hr'!$E$16))</f>
        <v>105712.49999999999</v>
      </c>
      <c r="Q38" s="632">
        <f>+Q8*(1+'.c12_inputs.hr'!$E$15)+(Q23*(1+'.c12_inputs.hr'!$E$16))</f>
        <v>105712.49999999999</v>
      </c>
      <c r="R38" s="632"/>
      <c r="S38" s="632"/>
      <c r="T38" s="624"/>
      <c r="U38" s="580"/>
      <c r="V38" s="580"/>
      <c r="W38" s="580"/>
      <c r="X38" s="580"/>
      <c r="Y38" s="580"/>
      <c r="Z38" s="580"/>
      <c r="AA38" s="580"/>
      <c r="AB38" s="580"/>
      <c r="AC38" s="580"/>
      <c r="AD38" s="580"/>
      <c r="AE38" s="580"/>
      <c r="AF38" s="580"/>
      <c r="AG38" s="580"/>
      <c r="AH38" s="580"/>
      <c r="AI38" s="580"/>
      <c r="AJ38" s="580"/>
      <c r="AK38" s="580"/>
      <c r="AL38" s="580"/>
      <c r="AM38" s="580"/>
      <c r="AN38" s="580"/>
      <c r="AO38" s="580"/>
      <c r="AP38" s="580"/>
      <c r="AQ38" s="580"/>
      <c r="AR38" s="580"/>
      <c r="AS38" s="580"/>
      <c r="AT38" s="580"/>
      <c r="AU38" s="580"/>
      <c r="AV38" s="580"/>
      <c r="AW38" s="580"/>
      <c r="AX38" s="580"/>
      <c r="AY38" s="580"/>
      <c r="AZ38" s="580"/>
      <c r="BA38" s="580"/>
      <c r="BB38" s="580"/>
      <c r="BC38" s="580"/>
      <c r="BD38" s="580"/>
      <c r="BE38" s="580"/>
    </row>
    <row r="39" spans="1:57">
      <c r="A39" s="580" t="str">
        <f t="shared" si="3"/>
        <v>Fin Controls (TB) - 100%</v>
      </c>
      <c r="B39" s="607" t="s">
        <v>805</v>
      </c>
      <c r="C39" s="607" t="s">
        <v>1067</v>
      </c>
      <c r="D39" s="607" t="s">
        <v>1111</v>
      </c>
      <c r="E39" s="632"/>
      <c r="F39" s="631">
        <f>+F9*(1+'.c12_inputs.hr'!$E$15)+(F24*(1+'.c12_inputs.hr'!$E$16))</f>
        <v>53279.999999999993</v>
      </c>
      <c r="G39" s="631">
        <f>+G9*(1+'.c12_inputs.hr'!$E$15)+(G24*(1+'.c12_inputs.hr'!$E$16))</f>
        <v>53279.999999999993</v>
      </c>
      <c r="H39" s="631">
        <f>+H9*(1+'.c12_inputs.hr'!$E$15)+(H24*(1+'.c12_inputs.hr'!$E$16))</f>
        <v>53279.999999999993</v>
      </c>
      <c r="I39" s="631">
        <f>+I9*(1+'.c12_inputs.hr'!$E$15)+(I24*(1+'.c12_inputs.hr'!$E$16))</f>
        <v>71462.5</v>
      </c>
      <c r="J39" s="631">
        <f>+J9*(1+'.c12_inputs.hr'!$E$15)+(J24*(1+'.c12_inputs.hr'!$E$16))</f>
        <v>56159.999999999993</v>
      </c>
      <c r="K39" s="631">
        <f>+K9*(1+'.c12_inputs.hr'!$E$15)+(K24*(1+'.c12_inputs.hr'!$E$16))</f>
        <v>56159.999999999993</v>
      </c>
      <c r="L39" s="631">
        <f>+L9*(1+'.c12_inputs.hr'!$E$15)+(L24*(1+'.c12_inputs.hr'!$E$16))</f>
        <v>56159.999999999993</v>
      </c>
      <c r="M39" s="631">
        <f>+M9*(1+'.c12_inputs.hr'!$E$15)+(M24*(1+'.c12_inputs.hr'!$E$16))</f>
        <v>71744.999999999985</v>
      </c>
      <c r="N39" s="632">
        <f>+N9*(1+'.c12_inputs.hr'!$E$15)+(N24*(1+'.c12_inputs.hr'!$E$16))</f>
        <v>240224.99999999997</v>
      </c>
      <c r="O39" s="632">
        <f>+O9*(1+'.c12_inputs.hr'!$E$15)+(O24*(1+'.c12_inputs.hr'!$E$16))</f>
        <v>240224.99999999997</v>
      </c>
      <c r="P39" s="632">
        <f>+P9*(1+'.c12_inputs.hr'!$E$15)+(P24*(1+'.c12_inputs.hr'!$E$16))</f>
        <v>240224.99999999997</v>
      </c>
      <c r="Q39" s="632">
        <f>+Q9*(1+'.c12_inputs.hr'!$E$15)+(Q24*(1+'.c12_inputs.hr'!$E$16))</f>
        <v>240224.99999999997</v>
      </c>
      <c r="R39" s="632"/>
      <c r="S39" s="632"/>
      <c r="T39" s="624"/>
      <c r="U39" s="580"/>
      <c r="V39" s="580"/>
      <c r="W39" s="580"/>
      <c r="X39" s="580"/>
      <c r="Y39" s="580"/>
      <c r="Z39" s="580"/>
      <c r="AA39" s="580"/>
      <c r="AB39" s="580"/>
      <c r="AC39" s="580"/>
      <c r="AD39" s="580"/>
      <c r="AE39" s="580"/>
      <c r="AF39" s="580"/>
      <c r="AG39" s="580"/>
      <c r="AH39" s="580"/>
      <c r="AI39" s="580"/>
      <c r="AJ39" s="580"/>
      <c r="AK39" s="580"/>
      <c r="AL39" s="580"/>
      <c r="AM39" s="580"/>
      <c r="AN39" s="580"/>
      <c r="AO39" s="580"/>
      <c r="AP39" s="580"/>
      <c r="AQ39" s="580"/>
      <c r="AR39" s="580"/>
      <c r="AS39" s="580"/>
      <c r="AT39" s="580"/>
      <c r="AU39" s="580"/>
      <c r="AV39" s="580"/>
      <c r="AW39" s="580"/>
      <c r="AX39" s="580"/>
      <c r="AY39" s="580"/>
      <c r="AZ39" s="580"/>
      <c r="BA39" s="580"/>
      <c r="BB39" s="580"/>
      <c r="BC39" s="580"/>
      <c r="BD39" s="580"/>
      <c r="BE39" s="580"/>
    </row>
    <row r="40" spans="1:57">
      <c r="A40" s="580" t="str">
        <f t="shared" si="3"/>
        <v>Administrative Assistant (AM)</v>
      </c>
      <c r="B40" s="607" t="s">
        <v>805</v>
      </c>
      <c r="C40" s="607" t="s">
        <v>1067</v>
      </c>
      <c r="D40" s="607" t="s">
        <v>1095</v>
      </c>
      <c r="E40" s="632"/>
      <c r="F40" s="631">
        <f>+F10*(1+'.c12_inputs.hr'!$E$15)+(F25*(1+'.c12_inputs.hr'!$E$16))</f>
        <v>43200</v>
      </c>
      <c r="G40" s="631">
        <f>+G10*(1+'.c12_inputs.hr'!$E$15)+(G25*(1+'.c12_inputs.hr'!$E$16))</f>
        <v>43200</v>
      </c>
      <c r="H40" s="631">
        <f>+H10*(1+'.c12_inputs.hr'!$E$15)+(H25*(1+'.c12_inputs.hr'!$E$16))</f>
        <v>43200</v>
      </c>
      <c r="I40" s="631">
        <f>+I10*(1+'.c12_inputs.hr'!$E$15)+(I25*(1+'.c12_inputs.hr'!$E$16))</f>
        <v>46390</v>
      </c>
      <c r="J40" s="631">
        <f>+J10*(1+'.c12_inputs.hr'!$E$15)+(J25*(1+'.c12_inputs.hr'!$E$16))</f>
        <v>0</v>
      </c>
      <c r="K40" s="631">
        <f>+K10*(1+'.c12_inputs.hr'!$E$15)+(K25*(1+'.c12_inputs.hr'!$E$16))</f>
        <v>0</v>
      </c>
      <c r="L40" s="631">
        <f>+L10*(1+'.c12_inputs.hr'!$E$15)+(L25*(1+'.c12_inputs.hr'!$E$16))</f>
        <v>0</v>
      </c>
      <c r="M40" s="631">
        <f>+M10*(1+'.c12_inputs.hr'!$E$15)+(M25*(1+'.c12_inputs.hr'!$E$16))</f>
        <v>0</v>
      </c>
      <c r="N40" s="632">
        <f>+N10*(1+'.c12_inputs.hr'!$E$15)+(N25*(1+'.c12_inputs.hr'!$E$16))</f>
        <v>0</v>
      </c>
      <c r="O40" s="632">
        <f>+O10*(1+'.c12_inputs.hr'!$E$15)+(O25*(1+'.c12_inputs.hr'!$E$16))</f>
        <v>0</v>
      </c>
      <c r="P40" s="632">
        <f>+P10*(1+'.c12_inputs.hr'!$E$15)+(P25*(1+'.c12_inputs.hr'!$E$16))</f>
        <v>0</v>
      </c>
      <c r="Q40" s="632">
        <f>+Q10*(1+'.c12_inputs.hr'!$E$15)+(Q25*(1+'.c12_inputs.hr'!$E$16))</f>
        <v>0</v>
      </c>
      <c r="R40" s="632"/>
      <c r="S40" s="632"/>
      <c r="T40" s="624"/>
      <c r="U40" s="580"/>
      <c r="V40" s="580"/>
      <c r="W40" s="580"/>
      <c r="X40" s="580"/>
      <c r="Y40" s="580"/>
      <c r="Z40" s="580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  <c r="AK40" s="580"/>
      <c r="AL40" s="580"/>
      <c r="AM40" s="580"/>
      <c r="AN40" s="580"/>
      <c r="AO40" s="580"/>
      <c r="AP40" s="580"/>
      <c r="AQ40" s="580"/>
      <c r="AR40" s="580"/>
      <c r="AS40" s="580"/>
      <c r="AT40" s="580"/>
      <c r="AU40" s="580"/>
      <c r="AV40" s="580"/>
      <c r="AW40" s="580"/>
      <c r="AX40" s="580"/>
      <c r="AY40" s="580"/>
      <c r="AZ40" s="580"/>
      <c r="BA40" s="580"/>
      <c r="BB40" s="580"/>
      <c r="BC40" s="580"/>
      <c r="BD40" s="580"/>
      <c r="BE40" s="580"/>
    </row>
    <row r="41" spans="1:57">
      <c r="A41" s="580" t="str">
        <f t="shared" si="3"/>
        <v>Administrative Assistant (PT)</v>
      </c>
      <c r="B41" s="607" t="s">
        <v>805</v>
      </c>
      <c r="C41" s="607" t="s">
        <v>1067</v>
      </c>
      <c r="D41" s="607" t="s">
        <v>1114</v>
      </c>
      <c r="E41" s="605"/>
      <c r="F41" s="612">
        <f>'.c12_bi&amp;f_hr'!F11*(1+'.c12_inputs.hr'!$E$5)+('.c12_bi&amp;f_hr'!F26*(1+'.c12_inputs.hr'!$E$6))</f>
        <v>0</v>
      </c>
      <c r="G41" s="612">
        <f>'.c12_bi&amp;f_hr'!G11*(1+'.c12_inputs.hr'!$E$5)+('.c12_bi&amp;f_hr'!G26*(1+'.c12_inputs.hr'!$E$6))</f>
        <v>0</v>
      </c>
      <c r="H41" s="612">
        <f>'.c12_bi&amp;f_hr'!H11*(1+'.c12_inputs.hr'!$E$5)+('.c12_bi&amp;f_hr'!H26*(1+'.c12_inputs.hr'!$E$6))</f>
        <v>0</v>
      </c>
      <c r="I41" s="612">
        <f>'.c12_bi&amp;f_hr'!I11*(1+'.c12_inputs.hr'!$E$5)+('.c12_bi&amp;f_hr'!I26*(1+'.c12_inputs.hr'!$E$6))</f>
        <v>0</v>
      </c>
      <c r="J41" s="612">
        <f>'.c12_bi&amp;f_hr'!J11*(1+'.c12_inputs.hr'!$E$5)+('.c12_bi&amp;f_hr'!J26*(1+'.c12_inputs.hr'!$E$6))</f>
        <v>0</v>
      </c>
      <c r="K41" s="612">
        <f>'.c12_bi&amp;f_hr'!K11*(1+'.c12_inputs.hr'!$E$5)+('.c12_bi&amp;f_hr'!K26*(1+'.c12_inputs.hr'!$E$6))</f>
        <v>37037.142857142862</v>
      </c>
      <c r="L41" s="612">
        <f>'.c12_bi&amp;f_hr'!L11*(1+'.c12_inputs.hr'!$E$5)+('.c12_bi&amp;f_hr'!L26*(1+'.c12_inputs.hr'!$E$6))</f>
        <v>37037.142857142862</v>
      </c>
      <c r="M41" s="612">
        <f>'.c12_bi&amp;f_hr'!M11*(1+'.c12_inputs.hr'!$E$5)+('.c12_bi&amp;f_hr'!M26*(1+'.c12_inputs.hr'!$E$6))</f>
        <v>47427.142857142862</v>
      </c>
      <c r="N41" s="605">
        <f>'.c12_bi&amp;f_hr'!N11*(1+'.c12_inputs.hr'!$E$5)+('.c12_bi&amp;f_hr'!N26*(1+'.c12_inputs.hr'!$E$6))</f>
        <v>158538.57142857145</v>
      </c>
      <c r="O41" s="605">
        <f>'.c12_bi&amp;f_hr'!O11*(1+'.c12_inputs.hr'!$E$5)+('.c12_bi&amp;f_hr'!O26*(1+'.c12_inputs.hr'!$E$6))</f>
        <v>158538.57142857145</v>
      </c>
      <c r="P41" s="605">
        <f>'.c12_bi&amp;f_hr'!P11*(1+'.c12_inputs.hr'!$E$5)+('.c12_bi&amp;f_hr'!P26*(1+'.c12_inputs.hr'!$E$6))</f>
        <v>158538.57142857145</v>
      </c>
      <c r="Q41" s="605">
        <f>'.c12_bi&amp;f_hr'!Q11*(1+'.c12_inputs.hr'!$E$5)+('.c12_bi&amp;f_hr'!Q26*(1+'.c12_inputs.hr'!$E$6))</f>
        <v>158538.57142857145</v>
      </c>
      <c r="R41" s="605"/>
      <c r="S41" s="581"/>
      <c r="T41" s="580"/>
      <c r="U41" s="580"/>
      <c r="V41" s="580"/>
      <c r="W41" s="580"/>
      <c r="X41" s="580"/>
      <c r="Y41" s="580"/>
      <c r="Z41" s="580"/>
      <c r="AA41" s="580"/>
      <c r="AB41" s="580"/>
      <c r="AC41" s="582"/>
      <c r="AD41" s="580"/>
      <c r="AE41" s="580"/>
      <c r="AF41" s="580"/>
      <c r="AG41" s="580"/>
      <c r="AH41" s="580"/>
      <c r="AI41" s="580"/>
      <c r="AJ41" s="580"/>
      <c r="AK41" s="580"/>
      <c r="AL41" s="580"/>
      <c r="AM41" s="580"/>
      <c r="AN41" s="580"/>
      <c r="AO41" s="580"/>
      <c r="AP41" s="580"/>
      <c r="AQ41" s="580"/>
      <c r="AR41" s="580"/>
      <c r="AS41" s="580"/>
      <c r="AT41" s="580"/>
      <c r="AU41" s="580"/>
      <c r="AV41" s="580"/>
      <c r="AW41" s="580"/>
      <c r="AX41" s="580"/>
      <c r="AY41" s="580"/>
      <c r="AZ41" s="580"/>
      <c r="BA41" s="580"/>
      <c r="BB41" s="580"/>
      <c r="BC41" s="580"/>
      <c r="BD41" s="580"/>
      <c r="BE41" s="580"/>
    </row>
    <row r="42" spans="1:57">
      <c r="A42" s="580" t="str">
        <f t="shared" si="3"/>
        <v>Financial Director (DV) - 100%</v>
      </c>
      <c r="B42" s="607" t="s">
        <v>805</v>
      </c>
      <c r="C42" s="607" t="s">
        <v>1067</v>
      </c>
      <c r="D42" s="607" t="s">
        <v>1116</v>
      </c>
      <c r="E42" s="632"/>
      <c r="F42" s="631">
        <f>+F12*(1+'.c12_inputs.hr'!$E$15)+(F27*(1+'.c12_inputs.hr'!$E$16))</f>
        <v>0</v>
      </c>
      <c r="G42" s="631">
        <f>+G12*(1+'.c12_inputs.hr'!$E$15)+(G27*(1+'.c12_inputs.hr'!$E$16))</f>
        <v>0</v>
      </c>
      <c r="H42" s="631">
        <f>+H12*(1+'.c12_inputs.hr'!$E$15)+(H27*(1+'.c12_inputs.hr'!$E$16))</f>
        <v>61919.999999999993</v>
      </c>
      <c r="I42" s="631">
        <f>+I12*(1+'.c12_inputs.hr'!$E$15)+(I27*(1+'.c12_inputs.hr'!$E$16))</f>
        <v>82700</v>
      </c>
      <c r="J42" s="631">
        <f>+J12*(1+'.c12_inputs.hr'!$E$15)+(J27*(1+'.c12_inputs.hr'!$E$16))</f>
        <v>61919.999999999993</v>
      </c>
      <c r="K42" s="631">
        <f>+K12*(1+'.c12_inputs.hr'!$E$15)+(K27*(1+'.c12_inputs.hr'!$E$16))</f>
        <v>61919.999999999993</v>
      </c>
      <c r="L42" s="631">
        <f>+L12*(1+'.c12_inputs.hr'!$E$15)+(L27*(1+'.c12_inputs.hr'!$E$16))</f>
        <v>61919.999999999993</v>
      </c>
      <c r="M42" s="631">
        <f>+M12*(1+'.c12_inputs.hr'!$E$15)+(M27*(1+'.c12_inputs.hr'!$E$16))</f>
        <v>103480</v>
      </c>
      <c r="N42" s="632">
        <f>+N12*(1+'.c12_inputs.hr'!$E$15)+(N27*(1+'.c12_inputs.hr'!$E$16))</f>
        <v>289240</v>
      </c>
      <c r="O42" s="632">
        <f>+O12*(1+'.c12_inputs.hr'!$E$15)+(O27*(1+'.c12_inputs.hr'!$E$16))</f>
        <v>289240</v>
      </c>
      <c r="P42" s="632">
        <f>+P12*(1+'.c12_inputs.hr'!$E$15)+(P27*(1+'.c12_inputs.hr'!$E$16))</f>
        <v>289240</v>
      </c>
      <c r="Q42" s="632">
        <f>+Q12*(1+'.c12_inputs.hr'!$E$15)+(Q27*(1+'.c12_inputs.hr'!$E$16))</f>
        <v>289240</v>
      </c>
      <c r="R42" s="632"/>
      <c r="S42" s="632"/>
      <c r="T42" s="624"/>
      <c r="U42" s="580"/>
      <c r="V42" s="580"/>
      <c r="W42" s="580"/>
      <c r="X42" s="580"/>
      <c r="Y42" s="580"/>
      <c r="Z42" s="580"/>
      <c r="AA42" s="580"/>
      <c r="AB42" s="580"/>
      <c r="AC42" s="580"/>
      <c r="AD42" s="580"/>
      <c r="AE42" s="580"/>
      <c r="AF42" s="580"/>
      <c r="AG42" s="580"/>
      <c r="AH42" s="580"/>
      <c r="AI42" s="580"/>
      <c r="AJ42" s="580"/>
      <c r="AK42" s="580"/>
      <c r="AL42" s="580"/>
      <c r="AM42" s="580"/>
      <c r="AN42" s="580"/>
      <c r="AO42" s="580"/>
      <c r="AP42" s="580"/>
      <c r="AQ42" s="580"/>
      <c r="AR42" s="580"/>
      <c r="AS42" s="580"/>
      <c r="AT42" s="580"/>
      <c r="AU42" s="580"/>
      <c r="AV42" s="580"/>
      <c r="AW42" s="580"/>
      <c r="AX42" s="580"/>
      <c r="AY42" s="580"/>
      <c r="AZ42" s="580"/>
      <c r="BA42" s="580"/>
      <c r="BB42" s="580"/>
      <c r="BC42" s="580"/>
      <c r="BD42" s="580"/>
      <c r="BE42" s="580"/>
    </row>
    <row r="43" spans="1:57">
      <c r="A43" s="580" t="str">
        <f t="shared" si="3"/>
        <v>IM (TW)</v>
      </c>
      <c r="B43" s="607" t="s">
        <v>805</v>
      </c>
      <c r="C43" s="607" t="s">
        <v>1067</v>
      </c>
      <c r="D43" s="607" t="s">
        <v>1118</v>
      </c>
      <c r="E43" s="632"/>
      <c r="F43" s="631">
        <f>+F13*(1+'.c12_inputs.hr'!$E$15)+(F28*(1+'.c12_inputs.hr'!$E$16))</f>
        <v>46080</v>
      </c>
      <c r="G43" s="631">
        <f>+G13*(1+'.c12_inputs.hr'!$E$15)+(G28*(1+'.c12_inputs.hr'!$E$16))</f>
        <v>46080</v>
      </c>
      <c r="H43" s="631">
        <f>+H13*(1+'.c12_inputs.hr'!$E$15)+(H28*(1+'.c12_inputs.hr'!$E$16))</f>
        <v>46080</v>
      </c>
      <c r="I43" s="631">
        <f>+I13*(1+'.c12_inputs.hr'!$E$15)+(I28*(1+'.c12_inputs.hr'!$E$16))</f>
        <v>72055</v>
      </c>
      <c r="J43" s="631">
        <f>+J13*(1+'.c12_inputs.hr'!$E$15)+(J28*(1+'.c12_inputs.hr'!$E$16))</f>
        <v>46080</v>
      </c>
      <c r="K43" s="631">
        <f>+K13*(1+'.c12_inputs.hr'!$E$15)+(K28*(1+'.c12_inputs.hr'!$E$16))</f>
        <v>46080</v>
      </c>
      <c r="L43" s="631">
        <f>+L13*(1+'.c12_inputs.hr'!$E$15)+(L28*(1+'.c12_inputs.hr'!$E$16))</f>
        <v>46080</v>
      </c>
      <c r="M43" s="631">
        <f>+M13*(1+'.c12_inputs.hr'!$E$15)+(M28*(1+'.c12_inputs.hr'!$E$16))</f>
        <v>72055</v>
      </c>
      <c r="N43" s="632">
        <f>+N13*(1+'.c12_inputs.hr'!$E$15)+(N28*(1+'.c12_inputs.hr'!$E$16))</f>
        <v>256374.99999999997</v>
      </c>
      <c r="O43" s="632">
        <f>+O13*(1+'.c12_inputs.hr'!$E$15)+(O28*(1+'.c12_inputs.hr'!$E$16))</f>
        <v>256374.99999999997</v>
      </c>
      <c r="P43" s="632">
        <f>+P13*(1+'.c12_inputs.hr'!$E$15)+(P28*(1+'.c12_inputs.hr'!$E$16))</f>
        <v>256374.99999999997</v>
      </c>
      <c r="Q43" s="632">
        <f>+Q13*(1+'.c12_inputs.hr'!$E$15)+(Q28*(1+'.c12_inputs.hr'!$E$16))</f>
        <v>256374.99999999997</v>
      </c>
      <c r="R43" s="632"/>
      <c r="S43" s="632"/>
      <c r="T43" s="624"/>
      <c r="U43" s="580"/>
      <c r="V43" s="580"/>
      <c r="W43" s="580"/>
      <c r="X43" s="580"/>
      <c r="Y43" s="580"/>
      <c r="Z43" s="580"/>
      <c r="AA43" s="580"/>
      <c r="AB43" s="580"/>
      <c r="AC43" s="580"/>
      <c r="AD43" s="580"/>
      <c r="AE43" s="580"/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  <c r="AT43" s="580"/>
      <c r="AU43" s="580"/>
      <c r="AV43" s="580"/>
      <c r="AW43" s="580"/>
      <c r="AX43" s="580"/>
      <c r="AY43" s="580"/>
      <c r="AZ43" s="580"/>
      <c r="BA43" s="580"/>
      <c r="BB43" s="580"/>
      <c r="BC43" s="580"/>
      <c r="BD43" s="580"/>
      <c r="BE43" s="580"/>
    </row>
    <row r="44" spans="1:57">
      <c r="A44" s="580" t="str">
        <f t="shared" si="3"/>
        <v>HR (100%)</v>
      </c>
      <c r="B44" s="607" t="s">
        <v>805</v>
      </c>
      <c r="C44" s="607" t="s">
        <v>1067</v>
      </c>
      <c r="D44" s="607" t="s">
        <v>1120</v>
      </c>
      <c r="E44" s="632"/>
      <c r="F44" s="631">
        <f>+F14*(1+'.c12_inputs.hr'!$E$15)+(F29*(1+'.c12_inputs.hr'!$E$16))</f>
        <v>0</v>
      </c>
      <c r="G44" s="631">
        <f>+G14*(1+'.c12_inputs.hr'!$E$15)+(G29*(1+'.c12_inputs.hr'!$E$16))</f>
        <v>0</v>
      </c>
      <c r="H44" s="631">
        <f>+H14*(1+'.c12_inputs.hr'!$E$15)+(H29*(1+'.c12_inputs.hr'!$E$16))</f>
        <v>0</v>
      </c>
      <c r="I44" s="631">
        <f>+I14*(1+'.c12_inputs.hr'!$E$15)+(I29*(1+'.c12_inputs.hr'!$E$16))</f>
        <v>0</v>
      </c>
      <c r="J44" s="631">
        <f>+J14*(1+'.c12_inputs.hr'!$E$15)+(J29*(1+'.c12_inputs.hr'!$E$16))</f>
        <v>0</v>
      </c>
      <c r="K44" s="631">
        <f>+K14*(1+'.c12_inputs.hr'!$E$15)+(K29*(1+'.c12_inputs.hr'!$E$16))</f>
        <v>0</v>
      </c>
      <c r="L44" s="631">
        <f>+L14*(1+'.c12_inputs.hr'!$E$15)+(L29*(1+'.c12_inputs.hr'!$E$16))</f>
        <v>43200</v>
      </c>
      <c r="M44" s="631">
        <f>+M14*(1+'.c12_inputs.hr'!$E$15)+(M29*(1+'.c12_inputs.hr'!$E$16))</f>
        <v>58785</v>
      </c>
      <c r="N44" s="632">
        <f>+N14*(1+'.c12_inputs.hr'!$E$15)+(N29*(1+'.c12_inputs.hr'!$E$16))</f>
        <v>198775</v>
      </c>
      <c r="O44" s="632">
        <f>+O14*(1+'.c12_inputs.hr'!$E$15)+(O29*(1+'.c12_inputs.hr'!$E$16))</f>
        <v>198775</v>
      </c>
      <c r="P44" s="632">
        <f>+P14*(1+'.c12_inputs.hr'!$E$15)+(P29*(1+'.c12_inputs.hr'!$E$16))</f>
        <v>198775</v>
      </c>
      <c r="Q44" s="632">
        <f>+Q14*(1+'.c12_inputs.hr'!$E$15)+(Q29*(1+'.c12_inputs.hr'!$E$16))</f>
        <v>198775</v>
      </c>
      <c r="R44" s="632"/>
      <c r="S44" s="632"/>
      <c r="T44" s="580"/>
      <c r="U44" s="580"/>
      <c r="V44" s="580"/>
      <c r="W44" s="580"/>
      <c r="X44" s="580"/>
      <c r="Y44" s="580"/>
      <c r="Z44" s="580"/>
      <c r="AA44" s="580"/>
      <c r="AB44" s="580"/>
      <c r="AC44" s="580"/>
      <c r="AD44" s="580"/>
      <c r="AE44" s="580"/>
      <c r="AF44" s="580"/>
      <c r="AG44" s="580"/>
      <c r="AH44" s="580"/>
      <c r="AI44" s="580"/>
      <c r="AJ44" s="580"/>
      <c r="AK44" s="580"/>
      <c r="AL44" s="580"/>
      <c r="AM44" s="580"/>
      <c r="AN44" s="580"/>
      <c r="AO44" s="580"/>
      <c r="AP44" s="580"/>
      <c r="AQ44" s="580"/>
      <c r="AR44" s="580"/>
      <c r="AS44" s="580"/>
      <c r="AT44" s="580"/>
      <c r="AU44" s="580"/>
      <c r="AV44" s="580"/>
      <c r="AW44" s="580"/>
      <c r="AX44" s="580"/>
      <c r="AY44" s="580"/>
      <c r="AZ44" s="580"/>
      <c r="BA44" s="580"/>
      <c r="BB44" s="580"/>
      <c r="BC44" s="580"/>
      <c r="BD44" s="580"/>
      <c r="BE44" s="580"/>
    </row>
    <row r="45" spans="1:57">
      <c r="A45" s="580" t="str">
        <f t="shared" si="3"/>
        <v>Legal (100%)</v>
      </c>
      <c r="B45" s="607" t="s">
        <v>805</v>
      </c>
      <c r="C45" s="607" t="s">
        <v>1067</v>
      </c>
      <c r="D45" s="607" t="s">
        <v>1122</v>
      </c>
      <c r="E45" s="632"/>
      <c r="F45" s="631">
        <f>+F15*(1+'.c12_inputs.hr'!$E$15)+(F30*(1+'.c12_inputs.hr'!$E$16))</f>
        <v>0</v>
      </c>
      <c r="G45" s="631">
        <f>+G15*(1+'.c12_inputs.hr'!$E$15)+(G30*(1+'.c12_inputs.hr'!$E$16))</f>
        <v>0</v>
      </c>
      <c r="H45" s="631">
        <f>+H15*(1+'.c12_inputs.hr'!$E$15)+(H30*(1+'.c12_inputs.hr'!$E$16))</f>
        <v>0</v>
      </c>
      <c r="I45" s="631">
        <f>+I15*(1+'.c12_inputs.hr'!$E$15)+(I30*(1+'.c12_inputs.hr'!$E$16))</f>
        <v>0</v>
      </c>
      <c r="J45" s="631">
        <f>+J15*(1+'.c12_inputs.hr'!$E$15)+(J30*(1+'.c12_inputs.hr'!$E$16))</f>
        <v>0</v>
      </c>
      <c r="K45" s="631">
        <f>+K15*(1+'.c12_inputs.hr'!$E$15)+(K30*(1+'.c12_inputs.hr'!$E$16))</f>
        <v>0</v>
      </c>
      <c r="L45" s="631">
        <f>+L15*(1+'.c12_inputs.hr'!$E$15)+(L30*(1+'.c12_inputs.hr'!$E$16))</f>
        <v>64799.999999999993</v>
      </c>
      <c r="M45" s="631">
        <f>+M15*(1+'.c12_inputs.hr'!$E$15)+(M30*(1+'.c12_inputs.hr'!$E$16))</f>
        <v>80384.999999999985</v>
      </c>
      <c r="N45" s="632">
        <f>+N15*(1+'.c12_inputs.hr'!$E$15)+(N30*(1+'.c12_inputs.hr'!$E$16))</f>
        <v>285174.99999999994</v>
      </c>
      <c r="O45" s="632">
        <f>+O15*(1+'.c12_inputs.hr'!$E$15)+(O30*(1+'.c12_inputs.hr'!$E$16))</f>
        <v>285174.99999999994</v>
      </c>
      <c r="P45" s="632">
        <f>+P15*(1+'.c12_inputs.hr'!$E$15)+(P30*(1+'.c12_inputs.hr'!$E$16))</f>
        <v>285174.99999999994</v>
      </c>
      <c r="Q45" s="632">
        <f>+Q15*(1+'.c12_inputs.hr'!$E$15)+(Q30*(1+'.c12_inputs.hr'!$E$16))</f>
        <v>285174.99999999994</v>
      </c>
      <c r="R45" s="632"/>
      <c r="S45" s="632"/>
      <c r="T45" s="580"/>
      <c r="U45" s="580"/>
      <c r="V45" s="580"/>
      <c r="W45" s="580"/>
      <c r="X45" s="580"/>
      <c r="Y45" s="580"/>
      <c r="Z45" s="580"/>
      <c r="AA45" s="580"/>
      <c r="AB45" s="580"/>
      <c r="AC45" s="580"/>
      <c r="AD45" s="580"/>
      <c r="AE45" s="580"/>
      <c r="AF45" s="580"/>
      <c r="AG45" s="580"/>
      <c r="AH45" s="580"/>
      <c r="AI45" s="580"/>
      <c r="AJ45" s="580"/>
      <c r="AK45" s="580"/>
      <c r="AL45" s="580"/>
      <c r="AM45" s="580"/>
      <c r="AN45" s="580"/>
      <c r="AO45" s="580"/>
      <c r="AP45" s="580"/>
      <c r="AQ45" s="580"/>
      <c r="AR45" s="580"/>
      <c r="AS45" s="580"/>
      <c r="AT45" s="580"/>
      <c r="AU45" s="580"/>
      <c r="AV45" s="580"/>
      <c r="AW45" s="580"/>
      <c r="AX45" s="580"/>
      <c r="AY45" s="580"/>
      <c r="AZ45" s="580"/>
      <c r="BA45" s="580"/>
      <c r="BB45" s="580"/>
      <c r="BC45" s="580"/>
      <c r="BD45" s="580"/>
      <c r="BE45" s="580"/>
    </row>
    <row r="46" spans="1:57">
      <c r="A46" s="580" t="str">
        <f t="shared" si="3"/>
        <v>Tech1</v>
      </c>
      <c r="B46" s="607" t="s">
        <v>805</v>
      </c>
      <c r="C46" s="607" t="s">
        <v>1067</v>
      </c>
      <c r="D46" s="607" t="s">
        <v>1124</v>
      </c>
      <c r="E46" s="632"/>
      <c r="F46" s="631">
        <f>+F16*(1+'.c12_inputs.hr'!$E$15)+(F31*(1+'.c12_inputs.hr'!$E$16))</f>
        <v>0</v>
      </c>
      <c r="G46" s="631">
        <f>+G16*(1+'.c12_inputs.hr'!$E$15)+(G31*(1+'.c12_inputs.hr'!$E$16))</f>
        <v>0</v>
      </c>
      <c r="H46" s="631">
        <f>+H16*(1+'.c12_inputs.hr'!$E$15)+(H31*(1+'.c12_inputs.hr'!$E$16))</f>
        <v>0</v>
      </c>
      <c r="I46" s="631">
        <f>+I16*(1+'.c12_inputs.hr'!$E$15)+(I31*(1+'.c12_inputs.hr'!$E$16))</f>
        <v>0</v>
      </c>
      <c r="J46" s="631">
        <f>+J16*(1+'.c12_inputs.hr'!$E$15)+(J31*(1+'.c12_inputs.hr'!$E$16))</f>
        <v>0</v>
      </c>
      <c r="K46" s="631">
        <f>+K16*(1+'.c12_inputs.hr'!$E$15)+(K31*(1+'.c12_inputs.hr'!$E$16))</f>
        <v>0</v>
      </c>
      <c r="L46" s="631">
        <f>+L16*(1+'.c12_inputs.hr'!$E$15)+(L31*(1+'.c12_inputs.hr'!$E$16))</f>
        <v>64799.999999999993</v>
      </c>
      <c r="M46" s="631">
        <f>+M16*(1+'.c12_inputs.hr'!$E$15)+(M31*(1+'.c12_inputs.hr'!$E$16))</f>
        <v>80384.999999999985</v>
      </c>
      <c r="N46" s="632">
        <f>+N16*(1+'.c12_inputs.hr'!$E$15)+(N31*(1+'.c12_inputs.hr'!$E$16))</f>
        <v>285174.99999999994</v>
      </c>
      <c r="O46" s="632">
        <f>+O16*(1+'.c12_inputs.hr'!$E$15)+(O31*(1+'.c12_inputs.hr'!$E$16))</f>
        <v>285174.99999999994</v>
      </c>
      <c r="P46" s="632">
        <f>+P16*(1+'.c12_inputs.hr'!$E$15)+(P31*(1+'.c12_inputs.hr'!$E$16))</f>
        <v>285174.99999999994</v>
      </c>
      <c r="Q46" s="632">
        <f>+Q16*(1+'.c12_inputs.hr'!$E$15)+(Q31*(1+'.c12_inputs.hr'!$E$16))</f>
        <v>285174.99999999994</v>
      </c>
      <c r="R46" s="632"/>
      <c r="S46" s="632"/>
      <c r="T46" s="580"/>
      <c r="U46" s="580"/>
      <c r="V46" s="580"/>
      <c r="W46" s="580"/>
      <c r="X46" s="580"/>
      <c r="Y46" s="580"/>
      <c r="Z46" s="580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  <c r="AT46" s="580"/>
      <c r="AU46" s="580"/>
      <c r="AV46" s="580"/>
      <c r="AW46" s="580"/>
      <c r="AX46" s="580"/>
      <c r="AY46" s="580"/>
      <c r="AZ46" s="580"/>
      <c r="BA46" s="580"/>
      <c r="BB46" s="580"/>
      <c r="BC46" s="580"/>
      <c r="BD46" s="580"/>
      <c r="BE46" s="580"/>
    </row>
    <row r="47" spans="1:57" ht="14.65" customHeight="1">
      <c r="A47" s="580" t="str">
        <f t="shared" si="3"/>
        <v>Tech2</v>
      </c>
      <c r="B47" s="607" t="s">
        <v>805</v>
      </c>
      <c r="C47" s="607" t="s">
        <v>1067</v>
      </c>
      <c r="D47" s="607" t="s">
        <v>1126</v>
      </c>
      <c r="E47" s="632"/>
      <c r="F47" s="631">
        <f>+F17*(1+'.c12_inputs.hr'!$E$15)+(F32*(1+'.c12_inputs.hr'!$E$16))</f>
        <v>0</v>
      </c>
      <c r="G47" s="631">
        <f>+G17*(1+'.c12_inputs.hr'!$E$15)+(G32*(1+'.c12_inputs.hr'!$E$16))</f>
        <v>0</v>
      </c>
      <c r="H47" s="631">
        <f>+H17*(1+'.c12_inputs.hr'!$E$15)+(H32*(1+'.c12_inputs.hr'!$E$16))</f>
        <v>0</v>
      </c>
      <c r="I47" s="631">
        <f>+I17*(1+'.c12_inputs.hr'!$E$15)+(I32*(1+'.c12_inputs.hr'!$E$16))</f>
        <v>0</v>
      </c>
      <c r="J47" s="631">
        <f>+J17*(1+'.c12_inputs.hr'!$E$15)+(J32*(1+'.c12_inputs.hr'!$E$16))</f>
        <v>0</v>
      </c>
      <c r="K47" s="631">
        <f>+K17*(1+'.c12_inputs.hr'!$E$15)+(K32*(1+'.c12_inputs.hr'!$E$16))</f>
        <v>0</v>
      </c>
      <c r="L47" s="631">
        <f>+L17*(1+'.c12_inputs.hr'!$E$15)+(L32*(1+'.c12_inputs.hr'!$E$16))</f>
        <v>21600</v>
      </c>
      <c r="M47" s="631">
        <f>+M17*(1+'.c12_inputs.hr'!$E$15)+(M32*(1+'.c12_inputs.hr'!$E$16))</f>
        <v>37185</v>
      </c>
      <c r="N47" s="632">
        <f>+N17*(1+'.c12_inputs.hr'!$E$15)+(N32*(1+'.c12_inputs.hr'!$E$16))</f>
        <v>112375</v>
      </c>
      <c r="O47" s="632">
        <f>+O17*(1+'.c12_inputs.hr'!$E$15)+(O32*(1+'.c12_inputs.hr'!$E$16))</f>
        <v>112375</v>
      </c>
      <c r="P47" s="632">
        <f>+P17*(1+'.c12_inputs.hr'!$E$15)+(P32*(1+'.c12_inputs.hr'!$E$16))</f>
        <v>112375</v>
      </c>
      <c r="Q47" s="632">
        <f>+Q17*(1+'.c12_inputs.hr'!$E$15)+(Q32*(1+'.c12_inputs.hr'!$E$16))</f>
        <v>112375</v>
      </c>
      <c r="R47" s="632"/>
      <c r="S47" s="632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  <c r="AT47" s="580"/>
      <c r="AU47" s="580"/>
      <c r="AV47" s="580"/>
      <c r="AW47" s="580"/>
      <c r="AX47" s="580"/>
      <c r="AY47" s="580"/>
      <c r="AZ47" s="580"/>
      <c r="BA47" s="580"/>
      <c r="BB47" s="580"/>
      <c r="BC47" s="580"/>
      <c r="BD47" s="580"/>
      <c r="BE47" s="580"/>
    </row>
    <row r="48" spans="1:57" ht="14.65" customHeight="1">
      <c r="A48" s="627" t="s">
        <v>1005</v>
      </c>
      <c r="B48" s="607" t="s">
        <v>805</v>
      </c>
      <c r="C48" s="607" t="s">
        <v>1006</v>
      </c>
      <c r="D48" s="607"/>
      <c r="E48" s="632"/>
      <c r="F48" s="631">
        <f t="shared" ref="E48:Q48" si="4">SUM(F36:F47)</f>
        <v>250559.99999999997</v>
      </c>
      <c r="G48" s="631">
        <f t="shared" si="4"/>
        <v>250559.99999999997</v>
      </c>
      <c r="H48" s="631">
        <f t="shared" si="4"/>
        <v>336959.99999999994</v>
      </c>
      <c r="I48" s="631">
        <f t="shared" si="4"/>
        <v>602497.5</v>
      </c>
      <c r="J48" s="631">
        <f t="shared" si="4"/>
        <v>296640</v>
      </c>
      <c r="K48" s="631">
        <f t="shared" si="4"/>
        <v>477677.14285714284</v>
      </c>
      <c r="L48" s="631">
        <f t="shared" si="4"/>
        <v>672077.14285714284</v>
      </c>
      <c r="M48" s="631">
        <f t="shared" si="4"/>
        <v>1173394.6428571427</v>
      </c>
      <c r="N48" s="632">
        <f t="shared" si="4"/>
        <v>3289116.0714285714</v>
      </c>
      <c r="O48" s="632">
        <f t="shared" si="4"/>
        <v>3289116.0714285714</v>
      </c>
      <c r="P48" s="632">
        <f t="shared" si="4"/>
        <v>3289116.0714285714</v>
      </c>
      <c r="Q48" s="632">
        <f t="shared" si="4"/>
        <v>3289116.0714285714</v>
      </c>
      <c r="R48" s="632"/>
      <c r="S48" s="624"/>
      <c r="T48" s="580"/>
      <c r="U48" s="580"/>
      <c r="V48" s="580"/>
      <c r="W48" s="580"/>
      <c r="X48" s="580"/>
      <c r="Y48" s="580"/>
      <c r="Z48" s="580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  <c r="AT48" s="580"/>
      <c r="AU48" s="580"/>
      <c r="AV48" s="580"/>
      <c r="AW48" s="580"/>
      <c r="AX48" s="580"/>
      <c r="AY48" s="580"/>
      <c r="AZ48" s="580"/>
      <c r="BA48" s="580"/>
      <c r="BB48" s="580"/>
      <c r="BC48" s="580"/>
      <c r="BD48" s="580"/>
      <c r="BE48" s="580"/>
    </row>
    <row r="49" spans="1:57">
      <c r="A49" s="609" t="s">
        <v>1007</v>
      </c>
      <c r="B49" s="607" t="s">
        <v>805</v>
      </c>
      <c r="C49" s="607" t="s">
        <v>1008</v>
      </c>
      <c r="D49" s="607"/>
      <c r="E49" s="611"/>
      <c r="F49" s="613">
        <f>SUMPRODUCT('.c12_alloc'!$H$39:$H$50,'.c12_bi&amp;f_hr'!F$36:F$47)</f>
        <v>53279.999999999993</v>
      </c>
      <c r="G49" s="613">
        <f>SUMPRODUCT('.c12_alloc'!$H$39:$H$50,'.c12_bi&amp;f_hr'!G$36:G$47)</f>
        <v>53279.999999999993</v>
      </c>
      <c r="H49" s="613">
        <f>SUMPRODUCT('.c12_alloc'!$H$39:$H$50,'.c12_bi&amp;f_hr'!H$36:H$47)</f>
        <v>115199.99999999999</v>
      </c>
      <c r="I49" s="613">
        <f>SUMPRODUCT('.c12_alloc'!$H$39:$H$50,'.c12_bi&amp;f_hr'!I$36:I$47)</f>
        <v>154162.5</v>
      </c>
      <c r="J49" s="613">
        <f>SUMPRODUCT('.c12_alloc'!$H$39:$H$50,'.c12_bi&amp;f_hr'!J$36:J$47)</f>
        <v>118079.99999999999</v>
      </c>
      <c r="K49" s="613">
        <f>SUMPRODUCT('.c12_alloc'!$H$39:$H$50,'.c12_bi&amp;f_hr'!K$36:K$47)</f>
        <v>118079.99999999999</v>
      </c>
      <c r="L49" s="613">
        <f>SUMPRODUCT('.c12_alloc'!$H$39:$H$50,'.c12_bi&amp;f_hr'!L$36:L$47)</f>
        <v>226080</v>
      </c>
      <c r="M49" s="613">
        <f>SUMPRODUCT('.c12_alloc'!$H$39:$H$50,'.c12_bi&amp;f_hr'!M$36:M$47)</f>
        <v>314395</v>
      </c>
      <c r="N49" s="611">
        <f>SUMPRODUCT('.c12_alloc'!$H$39:$H$50,'.c12_bi&amp;f_hr'!N$36:N$47)</f>
        <v>1013415</v>
      </c>
      <c r="O49" s="611">
        <f>SUMPRODUCT('.c12_alloc'!$H$39:$H$50,'.c12_bi&amp;f_hr'!O$36:O$47)</f>
        <v>1013415</v>
      </c>
      <c r="P49" s="611">
        <f>SUMPRODUCT('.c12_alloc'!$H$39:$H$50,'.c12_bi&amp;f_hr'!P$36:P$47)</f>
        <v>1013415</v>
      </c>
      <c r="Q49" s="611">
        <f>SUMPRODUCT('.c12_alloc'!$H$39:$H$50,'.c12_bi&amp;f_hr'!Q$36:Q$47)</f>
        <v>1013415</v>
      </c>
      <c r="R49" s="580"/>
      <c r="S49" s="580"/>
      <c r="T49" s="580"/>
      <c r="U49" s="580"/>
      <c r="V49" s="580"/>
      <c r="W49" s="580"/>
      <c r="X49" s="580"/>
      <c r="Y49" s="580"/>
      <c r="Z49" s="580"/>
      <c r="AA49" s="580"/>
      <c r="AB49" s="580"/>
      <c r="AC49" s="580"/>
      <c r="AD49" s="580"/>
      <c r="AE49" s="580"/>
      <c r="AF49" s="580"/>
      <c r="AG49" s="580"/>
      <c r="AH49" s="580"/>
      <c r="AI49" s="580"/>
      <c r="AJ49" s="580"/>
      <c r="AK49" s="580"/>
      <c r="AL49" s="580"/>
      <c r="AM49" s="580"/>
      <c r="AN49" s="580"/>
      <c r="AO49" s="580"/>
      <c r="AP49" s="580"/>
      <c r="AQ49" s="580"/>
      <c r="AR49" s="580"/>
      <c r="AS49" s="580"/>
      <c r="AT49" s="580"/>
      <c r="AU49" s="580"/>
      <c r="AV49" s="580"/>
      <c r="AW49" s="580"/>
      <c r="AX49" s="580"/>
      <c r="AY49" s="580"/>
      <c r="AZ49" s="580"/>
      <c r="BA49" s="580"/>
      <c r="BB49" s="580"/>
      <c r="BC49" s="580"/>
      <c r="BD49" s="580"/>
      <c r="BE49" s="580"/>
    </row>
    <row r="50" spans="1:57">
      <c r="A50" s="609" t="s">
        <v>1009</v>
      </c>
      <c r="B50" s="607" t="s">
        <v>805</v>
      </c>
      <c r="C50" s="607" t="s">
        <v>1010</v>
      </c>
      <c r="D50" s="607"/>
      <c r="E50" s="611"/>
      <c r="F50" s="613">
        <f>SUMPRODUCT('.c12_alloc'!$G$39:$G$50,'.c12_bi&amp;f_hr'!F$36:F$47)</f>
        <v>197280</v>
      </c>
      <c r="G50" s="613">
        <f>SUMPRODUCT('.c12_alloc'!$G$39:$G$50,'.c12_bi&amp;f_hr'!G$36:G$47)</f>
        <v>197280</v>
      </c>
      <c r="H50" s="613">
        <f>SUMPRODUCT('.c12_alloc'!$G$39:$G$50,'.c12_bi&amp;f_hr'!H$36:H$47)</f>
        <v>221759.99999999997</v>
      </c>
      <c r="I50" s="613">
        <f>SUMPRODUCT('.c12_alloc'!$G$39:$G$50,'.c12_bi&amp;f_hr'!I$36:I$47)</f>
        <v>448334.99999999994</v>
      </c>
      <c r="J50" s="613">
        <f>SUMPRODUCT('.c12_alloc'!$G$39:$G$50,'.c12_bi&amp;f_hr'!J$36:J$47)</f>
        <v>178559.99999999997</v>
      </c>
      <c r="K50" s="613">
        <f>SUMPRODUCT('.c12_alloc'!$G$39:$G$50,'.c12_bi&amp;f_hr'!K$36:K$47)</f>
        <v>359597.14285714284</v>
      </c>
      <c r="L50" s="613">
        <f>SUMPRODUCT('.c12_alloc'!$G$39:$G$50,'.c12_bi&amp;f_hr'!L$36:L$47)</f>
        <v>445997.14285714284</v>
      </c>
      <c r="M50" s="613">
        <f>SUMPRODUCT('.c12_alloc'!$G$39:$G$50,'.c12_bi&amp;f_hr'!M$36:M$47)</f>
        <v>858999.64285714284</v>
      </c>
      <c r="N50" s="611">
        <f>SUMPRODUCT('.c12_alloc'!$G$39:$G$50,'.c12_bi&amp;f_hr'!N$36:N$47)</f>
        <v>2275701.0714285714</v>
      </c>
      <c r="O50" s="611">
        <f>SUMPRODUCT('.c12_alloc'!$G$39:$G$50,'.c12_bi&amp;f_hr'!O$36:O$47)</f>
        <v>2275701.0714285714</v>
      </c>
      <c r="P50" s="611">
        <f>SUMPRODUCT('.c12_alloc'!$G$39:$G$50,'.c12_bi&amp;f_hr'!P$36:P$47)</f>
        <v>2275701.0714285714</v>
      </c>
      <c r="Q50" s="611">
        <f>SUMPRODUCT('.c12_alloc'!$G$39:$G$50,'.c12_bi&amp;f_hr'!Q$36:Q$47)</f>
        <v>2275701.0714285714</v>
      </c>
      <c r="R50" s="580"/>
      <c r="S50" s="580"/>
      <c r="T50" s="580"/>
      <c r="U50" s="580"/>
      <c r="V50" s="580"/>
      <c r="W50" s="580"/>
      <c r="X50" s="580"/>
      <c r="Y50" s="580"/>
      <c r="Z50" s="580"/>
      <c r="AA50" s="580"/>
      <c r="AB50" s="580"/>
      <c r="AC50" s="580"/>
      <c r="AD50" s="580"/>
      <c r="AE50" s="580"/>
      <c r="AF50" s="580"/>
      <c r="AG50" s="580"/>
      <c r="AH50" s="580"/>
      <c r="AI50" s="580"/>
      <c r="AJ50" s="580"/>
      <c r="AK50" s="580"/>
      <c r="AL50" s="580"/>
      <c r="AM50" s="580"/>
      <c r="AN50" s="580"/>
      <c r="AO50" s="580"/>
      <c r="AP50" s="580"/>
      <c r="AQ50" s="580"/>
      <c r="AR50" s="580"/>
      <c r="AS50" s="580"/>
      <c r="AT50" s="580"/>
      <c r="AU50" s="580"/>
      <c r="AV50" s="580"/>
      <c r="AW50" s="580"/>
      <c r="AX50" s="580"/>
      <c r="AY50" s="580"/>
      <c r="AZ50" s="580"/>
      <c r="BA50" s="580"/>
      <c r="BB50" s="580"/>
      <c r="BC50" s="580"/>
      <c r="BD50" s="580"/>
      <c r="BE50" s="580"/>
    </row>
    <row r="51" spans="1:57">
      <c r="A51" s="609" t="s">
        <v>1011</v>
      </c>
      <c r="B51" s="607" t="s">
        <v>805</v>
      </c>
      <c r="C51" s="607" t="s">
        <v>1012</v>
      </c>
      <c r="D51" s="607"/>
      <c r="E51" s="611"/>
      <c r="F51" s="613">
        <f>SUMPRODUCT('.c12_alloc'!$E$39:$E$50,'.c12_bi&amp;f_hr'!F$36:F$47)</f>
        <v>0</v>
      </c>
      <c r="G51" s="613">
        <f>SUMPRODUCT('.c12_alloc'!$E$39:$E$50,'.c12_bi&amp;f_hr'!G$36:G$47)</f>
        <v>0</v>
      </c>
      <c r="H51" s="613">
        <f>SUMPRODUCT('.c12_alloc'!$E$39:$E$50,'.c12_bi&amp;f_hr'!H$36:H$47)</f>
        <v>0</v>
      </c>
      <c r="I51" s="613">
        <f>SUMPRODUCT('.c12_alloc'!$E$39:$E$50,'.c12_bi&amp;f_hr'!I$36:I$47)</f>
        <v>0</v>
      </c>
      <c r="J51" s="613">
        <f>SUMPRODUCT('.c12_alloc'!$E$39:$E$50,'.c12_bi&amp;f_hr'!J$36:J$47)</f>
        <v>0</v>
      </c>
      <c r="K51" s="613">
        <f>SUMPRODUCT('.c12_alloc'!$E$39:$E$50,'.c12_bi&amp;f_hr'!K$36:K$47)</f>
        <v>0</v>
      </c>
      <c r="L51" s="613">
        <f>SUMPRODUCT('.c12_alloc'!$E$39:$E$50,'.c12_bi&amp;f_hr'!L$36:L$47)</f>
        <v>0</v>
      </c>
      <c r="M51" s="613">
        <f>SUMPRODUCT('.c12_alloc'!$E$39:$E$50,'.c12_bi&amp;f_hr'!M$36:M$47)</f>
        <v>0</v>
      </c>
      <c r="N51" s="611">
        <f>SUMPRODUCT('.c12_alloc'!$E$39:$E$50,'.c12_bi&amp;f_hr'!N$36:N$47)</f>
        <v>0</v>
      </c>
      <c r="O51" s="611">
        <f>SUMPRODUCT('.c12_alloc'!$E$39:$E$50,'.c12_bi&amp;f_hr'!O$36:O$47)</f>
        <v>0</v>
      </c>
      <c r="P51" s="611">
        <f>SUMPRODUCT('.c12_alloc'!$E$39:$E$50,'.c12_bi&amp;f_hr'!P$36:P$47)</f>
        <v>0</v>
      </c>
      <c r="Q51" s="611">
        <f>SUMPRODUCT('.c12_alloc'!$E$39:$E$50,'.c12_bi&amp;f_hr'!Q$36:Q$47)</f>
        <v>0</v>
      </c>
      <c r="R51" s="580"/>
      <c r="S51" s="580"/>
      <c r="T51" s="580"/>
      <c r="U51" s="580"/>
      <c r="V51" s="580"/>
      <c r="W51" s="580"/>
      <c r="X51" s="580"/>
      <c r="Y51" s="580"/>
      <c r="Z51" s="580"/>
      <c r="AA51" s="580"/>
      <c r="AB51" s="580"/>
      <c r="AC51" s="580"/>
      <c r="AD51" s="580"/>
      <c r="AE51" s="580"/>
      <c r="AF51" s="580"/>
      <c r="AG51" s="580"/>
      <c r="AH51" s="580"/>
      <c r="AI51" s="580"/>
      <c r="AJ51" s="580"/>
      <c r="AK51" s="580"/>
      <c r="AL51" s="580"/>
      <c r="AM51" s="580"/>
      <c r="AN51" s="580"/>
      <c r="AO51" s="580"/>
      <c r="AP51" s="580"/>
      <c r="AQ51" s="580"/>
      <c r="AR51" s="580"/>
      <c r="AS51" s="580"/>
      <c r="AT51" s="580"/>
      <c r="AU51" s="580"/>
      <c r="AV51" s="580"/>
      <c r="AW51" s="580"/>
      <c r="AX51" s="580"/>
      <c r="AY51" s="580"/>
      <c r="AZ51" s="580"/>
      <c r="BA51" s="580"/>
      <c r="BB51" s="580"/>
      <c r="BC51" s="580"/>
      <c r="BD51" s="580"/>
      <c r="BE51" s="580"/>
    </row>
    <row r="52" spans="1:57">
      <c r="A52" s="580"/>
      <c r="B52" s="580"/>
      <c r="C52" s="580"/>
      <c r="D52" s="580"/>
      <c r="E52" s="611"/>
      <c r="F52" s="611"/>
      <c r="G52" s="611"/>
      <c r="H52" s="611"/>
      <c r="I52" s="611"/>
      <c r="J52" s="611"/>
      <c r="K52" s="611"/>
      <c r="L52" s="611"/>
      <c r="M52" s="611"/>
      <c r="N52" s="611"/>
      <c r="O52" s="611"/>
      <c r="P52" s="611"/>
      <c r="Q52" s="611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580"/>
      <c r="AQ52" s="580"/>
      <c r="AR52" s="580"/>
      <c r="AS52" s="580"/>
      <c r="AT52" s="580"/>
      <c r="AU52" s="580"/>
      <c r="AV52" s="580"/>
      <c r="AW52" s="580"/>
      <c r="AX52" s="580"/>
      <c r="AY52" s="580"/>
      <c r="AZ52" s="580"/>
      <c r="BA52" s="580"/>
      <c r="BB52" s="580"/>
      <c r="BC52" s="580"/>
      <c r="BD52" s="580"/>
      <c r="BE52" s="580"/>
    </row>
    <row r="53" spans="1:57">
      <c r="A53" s="580"/>
      <c r="B53" s="580"/>
      <c r="C53" s="580"/>
      <c r="D53" s="580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580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580"/>
      <c r="AQ53" s="580"/>
      <c r="AR53" s="580"/>
      <c r="AS53" s="580"/>
      <c r="AT53" s="580"/>
      <c r="AU53" s="580"/>
      <c r="AV53" s="580"/>
      <c r="AW53" s="580"/>
      <c r="AX53" s="580"/>
      <c r="AY53" s="580"/>
      <c r="AZ53" s="580"/>
      <c r="BA53" s="580"/>
      <c r="BB53" s="580"/>
      <c r="BC53" s="580"/>
      <c r="BD53" s="580"/>
      <c r="BE53" s="580"/>
    </row>
    <row r="54" spans="1:57">
      <c r="A54" s="580"/>
      <c r="B54" s="580"/>
      <c r="C54" s="580"/>
      <c r="D54" s="580"/>
      <c r="E54" s="580"/>
      <c r="F54" s="580"/>
      <c r="G54" s="580"/>
      <c r="H54" s="580"/>
      <c r="I54" s="580"/>
      <c r="J54" s="580"/>
      <c r="K54" s="580"/>
      <c r="L54" s="580"/>
      <c r="M54" s="580"/>
      <c r="N54" s="580"/>
      <c r="O54" s="580"/>
      <c r="P54" s="580"/>
      <c r="Q54" s="580"/>
      <c r="R54" s="580"/>
      <c r="S54" s="580"/>
      <c r="T54" s="580"/>
      <c r="U54" s="580"/>
      <c r="V54" s="580"/>
      <c r="W54" s="580"/>
      <c r="X54" s="580"/>
      <c r="Y54" s="580"/>
      <c r="Z54" s="580"/>
      <c r="AA54" s="580"/>
      <c r="AB54" s="580"/>
      <c r="AC54" s="580"/>
      <c r="AD54" s="580"/>
      <c r="AE54" s="580"/>
      <c r="AF54" s="580"/>
      <c r="AG54" s="580"/>
      <c r="AH54" s="580"/>
      <c r="AI54" s="580"/>
      <c r="AJ54" s="580"/>
      <c r="AK54" s="580"/>
      <c r="AL54" s="580"/>
      <c r="AM54" s="580"/>
      <c r="AN54" s="580"/>
      <c r="AO54" s="580"/>
      <c r="AP54" s="580"/>
      <c r="AQ54" s="580"/>
      <c r="AR54" s="580"/>
      <c r="AS54" s="580"/>
      <c r="AT54" s="580"/>
      <c r="AU54" s="580"/>
      <c r="AV54" s="580"/>
      <c r="AW54" s="580"/>
      <c r="AX54" s="580"/>
      <c r="AY54" s="580"/>
      <c r="AZ54" s="580"/>
      <c r="BA54" s="580"/>
      <c r="BB54" s="580"/>
      <c r="BC54" s="580"/>
      <c r="BD54" s="580"/>
      <c r="BE54" s="580"/>
    </row>
    <row r="55" spans="1:57">
      <c r="A55" s="580"/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580"/>
      <c r="N55" s="580"/>
      <c r="O55" s="580"/>
      <c r="P55" s="580"/>
      <c r="Q55" s="580"/>
      <c r="R55" s="580"/>
      <c r="S55" s="580"/>
      <c r="T55" s="580"/>
      <c r="U55" s="580"/>
      <c r="V55" s="580"/>
      <c r="W55" s="580"/>
      <c r="X55" s="580"/>
      <c r="Y55" s="580"/>
      <c r="Z55" s="580"/>
      <c r="AA55" s="580"/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/>
      <c r="AO55" s="580"/>
      <c r="AP55" s="580"/>
      <c r="AQ55" s="580"/>
      <c r="AR55" s="580"/>
      <c r="AS55" s="580"/>
      <c r="AT55" s="580"/>
      <c r="AU55" s="580"/>
      <c r="AV55" s="580"/>
      <c r="AW55" s="580"/>
      <c r="AX55" s="580"/>
      <c r="AY55" s="580"/>
      <c r="AZ55" s="580"/>
      <c r="BA55" s="580"/>
      <c r="BB55" s="580"/>
      <c r="BC55" s="580"/>
      <c r="BD55" s="580"/>
      <c r="BE55" s="580"/>
    </row>
    <row r="56" spans="1:57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580"/>
      <c r="P56" s="580"/>
      <c r="Q56" s="580"/>
      <c r="R56" s="580"/>
      <c r="S56" s="580"/>
      <c r="T56" s="580"/>
      <c r="U56" s="580"/>
      <c r="V56" s="580"/>
      <c r="W56" s="580"/>
      <c r="X56" s="580"/>
      <c r="Y56" s="580"/>
      <c r="Z56" s="580"/>
      <c r="AA56" s="580"/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/>
      <c r="AO56" s="580"/>
      <c r="AP56" s="580"/>
      <c r="AQ56" s="580"/>
      <c r="AR56" s="580"/>
      <c r="AS56" s="580"/>
      <c r="AT56" s="580"/>
      <c r="AU56" s="580"/>
      <c r="AV56" s="580"/>
      <c r="AW56" s="580"/>
      <c r="AX56" s="580"/>
      <c r="AY56" s="580"/>
      <c r="AZ56" s="580"/>
      <c r="BA56" s="580"/>
      <c r="BB56" s="580"/>
      <c r="BC56" s="580"/>
      <c r="BD56" s="580"/>
      <c r="BE56" s="580"/>
    </row>
    <row r="57" spans="1:57">
      <c r="A57" s="580"/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  <c r="M57" s="580"/>
      <c r="N57" s="580"/>
      <c r="O57" s="580"/>
      <c r="P57" s="580"/>
      <c r="Q57" s="580"/>
      <c r="R57" s="580"/>
      <c r="S57" s="580"/>
      <c r="T57" s="580"/>
      <c r="U57" s="580"/>
      <c r="V57" s="580"/>
      <c r="W57" s="580"/>
      <c r="X57" s="580"/>
      <c r="Y57" s="580"/>
      <c r="Z57" s="580"/>
      <c r="AA57" s="580"/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/>
      <c r="AO57" s="580"/>
      <c r="AP57" s="580"/>
      <c r="AQ57" s="580"/>
      <c r="AR57" s="580"/>
      <c r="AS57" s="580"/>
      <c r="AT57" s="580"/>
      <c r="AU57" s="580"/>
      <c r="AV57" s="580"/>
      <c r="AW57" s="580"/>
      <c r="AX57" s="580"/>
      <c r="AY57" s="580"/>
      <c r="AZ57" s="580"/>
      <c r="BA57" s="580"/>
      <c r="BB57" s="580"/>
      <c r="BC57" s="580"/>
      <c r="BD57" s="580"/>
      <c r="BE57" s="580"/>
    </row>
    <row r="58" spans="1:57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  <c r="M58" s="580"/>
      <c r="N58" s="580"/>
      <c r="O58" s="580"/>
      <c r="P58" s="580"/>
      <c r="Q58" s="580"/>
      <c r="R58" s="580"/>
      <c r="S58" s="580"/>
      <c r="T58" s="580"/>
      <c r="U58" s="580"/>
      <c r="V58" s="580"/>
      <c r="W58" s="580"/>
      <c r="X58" s="580"/>
      <c r="Y58" s="580"/>
      <c r="Z58" s="580"/>
      <c r="AA58" s="580"/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/>
      <c r="AO58" s="580"/>
      <c r="AP58" s="580"/>
      <c r="AQ58" s="580"/>
      <c r="AR58" s="580"/>
      <c r="AS58" s="580"/>
      <c r="AT58" s="580"/>
      <c r="AU58" s="580"/>
      <c r="AV58" s="580"/>
      <c r="AW58" s="580"/>
      <c r="AX58" s="580"/>
      <c r="AY58" s="580"/>
      <c r="AZ58" s="580"/>
      <c r="BA58" s="580"/>
      <c r="BB58" s="580"/>
      <c r="BC58" s="580"/>
      <c r="BD58" s="580"/>
      <c r="BE58" s="580"/>
    </row>
    <row r="59" spans="1:57">
      <c r="A59" s="580"/>
      <c r="B59" s="580"/>
      <c r="C59" s="580"/>
      <c r="D59" s="580"/>
      <c r="E59" s="580"/>
      <c r="F59" s="580"/>
      <c r="G59" s="580"/>
      <c r="H59" s="580"/>
      <c r="I59" s="580"/>
      <c r="J59" s="580"/>
      <c r="K59" s="580"/>
      <c r="L59" s="580"/>
      <c r="M59" s="580"/>
      <c r="N59" s="580"/>
      <c r="O59" s="580"/>
      <c r="P59" s="580"/>
      <c r="Q59" s="580"/>
      <c r="R59" s="580"/>
      <c r="S59" s="580"/>
      <c r="T59" s="580"/>
      <c r="U59" s="580"/>
      <c r="V59" s="580"/>
      <c r="W59" s="580"/>
      <c r="X59" s="580"/>
      <c r="Y59" s="580"/>
      <c r="Z59" s="580"/>
      <c r="AA59" s="580"/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/>
      <c r="AO59" s="580"/>
      <c r="AP59" s="580"/>
      <c r="AQ59" s="580"/>
      <c r="AR59" s="580"/>
      <c r="AS59" s="580"/>
      <c r="AT59" s="580"/>
      <c r="AU59" s="580"/>
      <c r="AV59" s="580"/>
      <c r="AW59" s="580"/>
      <c r="AX59" s="580"/>
      <c r="AY59" s="580"/>
      <c r="AZ59" s="580"/>
      <c r="BA59" s="580"/>
      <c r="BB59" s="580"/>
      <c r="BC59" s="580"/>
      <c r="BD59" s="580"/>
      <c r="BE59" s="580"/>
    </row>
    <row r="60" spans="1:57">
      <c r="A60" s="580"/>
      <c r="B60" s="580"/>
      <c r="C60" s="580"/>
      <c r="D60" s="580"/>
      <c r="E60" s="580"/>
      <c r="F60" s="580"/>
      <c r="G60" s="580"/>
      <c r="H60" s="580"/>
      <c r="I60" s="580"/>
      <c r="J60" s="580"/>
      <c r="K60" s="580"/>
      <c r="L60" s="580"/>
      <c r="M60" s="580"/>
      <c r="N60" s="580"/>
      <c r="O60" s="580"/>
      <c r="P60" s="580"/>
      <c r="Q60" s="580"/>
      <c r="R60" s="580"/>
      <c r="S60" s="580"/>
      <c r="T60" s="580"/>
      <c r="U60" s="580"/>
      <c r="V60" s="580"/>
      <c r="W60" s="580"/>
      <c r="X60" s="580"/>
      <c r="Y60" s="580"/>
      <c r="Z60" s="580"/>
      <c r="AA60" s="580"/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/>
      <c r="AO60" s="580"/>
      <c r="AP60" s="580"/>
      <c r="AQ60" s="580"/>
      <c r="AR60" s="580"/>
      <c r="AS60" s="580"/>
      <c r="AT60" s="580"/>
      <c r="AU60" s="580"/>
      <c r="AV60" s="580"/>
      <c r="AW60" s="580"/>
      <c r="AX60" s="580"/>
      <c r="AY60" s="580"/>
      <c r="AZ60" s="580"/>
      <c r="BA60" s="580"/>
      <c r="BB60" s="580"/>
      <c r="BC60" s="580"/>
      <c r="BD60" s="580"/>
      <c r="BE60" s="580"/>
    </row>
    <row r="61" spans="1:57">
      <c r="A61" s="580"/>
      <c r="B61" s="580"/>
      <c r="C61" s="580"/>
      <c r="D61" s="580"/>
      <c r="E61" s="580"/>
      <c r="F61" s="580"/>
      <c r="G61" s="580"/>
      <c r="H61" s="580"/>
      <c r="I61" s="580"/>
      <c r="J61" s="580"/>
      <c r="K61" s="580"/>
      <c r="L61" s="580"/>
      <c r="M61" s="580"/>
      <c r="N61" s="580"/>
      <c r="O61" s="580"/>
      <c r="P61" s="580"/>
      <c r="Q61" s="580"/>
      <c r="R61" s="580"/>
      <c r="S61" s="580"/>
      <c r="T61" s="580"/>
      <c r="U61" s="580"/>
      <c r="V61" s="580"/>
      <c r="W61" s="580"/>
      <c r="X61" s="580"/>
      <c r="Y61" s="580"/>
      <c r="Z61" s="580"/>
      <c r="AA61" s="580"/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/>
      <c r="AO61" s="580"/>
      <c r="AP61" s="580"/>
      <c r="AQ61" s="580"/>
      <c r="AR61" s="580"/>
      <c r="AS61" s="580"/>
      <c r="AT61" s="580"/>
      <c r="AU61" s="580"/>
      <c r="AV61" s="580"/>
      <c r="AW61" s="580"/>
      <c r="AX61" s="580"/>
      <c r="AY61" s="580"/>
      <c r="AZ61" s="580"/>
      <c r="BA61" s="580"/>
      <c r="BB61" s="580"/>
      <c r="BC61" s="580"/>
      <c r="BD61" s="580"/>
      <c r="BE61" s="580"/>
    </row>
    <row r="62" spans="1:57">
      <c r="A62" s="580"/>
      <c r="B62" s="580"/>
      <c r="C62" s="580"/>
      <c r="D62" s="580"/>
      <c r="E62" s="580"/>
      <c r="F62" s="580"/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580"/>
      <c r="R62" s="580"/>
      <c r="S62" s="580"/>
      <c r="T62" s="580"/>
      <c r="U62" s="580"/>
      <c r="V62" s="580"/>
      <c r="W62" s="580"/>
      <c r="X62" s="580"/>
      <c r="Y62" s="580"/>
      <c r="Z62" s="580"/>
      <c r="AA62" s="580"/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/>
      <c r="AO62" s="580"/>
      <c r="AP62" s="580"/>
      <c r="AQ62" s="580"/>
      <c r="AR62" s="580"/>
      <c r="AS62" s="580"/>
      <c r="AT62" s="580"/>
      <c r="AU62" s="580"/>
      <c r="AV62" s="580"/>
      <c r="AW62" s="580"/>
      <c r="AX62" s="580"/>
      <c r="AY62" s="580"/>
      <c r="AZ62" s="580"/>
      <c r="BA62" s="580"/>
      <c r="BB62" s="580"/>
      <c r="BC62" s="580"/>
      <c r="BD62" s="580"/>
      <c r="BE62" s="580"/>
    </row>
    <row r="63" spans="1:57">
      <c r="A63" s="580"/>
      <c r="B63" s="580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0"/>
      <c r="AO63" s="580"/>
      <c r="AP63" s="580"/>
      <c r="AQ63" s="580"/>
      <c r="AR63" s="580"/>
      <c r="AS63" s="580"/>
      <c r="AT63" s="580"/>
      <c r="AU63" s="580"/>
      <c r="AV63" s="580"/>
      <c r="AW63" s="580"/>
      <c r="AX63" s="580"/>
      <c r="AY63" s="580"/>
      <c r="AZ63" s="580"/>
      <c r="BA63" s="580"/>
      <c r="BB63" s="580"/>
      <c r="BC63" s="580"/>
      <c r="BD63" s="580"/>
      <c r="BE63" s="580"/>
    </row>
    <row r="64" spans="1:57">
      <c r="A64" s="580"/>
      <c r="B64" s="580"/>
      <c r="C64" s="580"/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/>
      <c r="AO64" s="580"/>
      <c r="AP64" s="580"/>
      <c r="AQ64" s="580"/>
      <c r="AR64" s="580"/>
      <c r="AS64" s="580"/>
      <c r="AT64" s="580"/>
      <c r="AU64" s="580"/>
      <c r="AV64" s="580"/>
      <c r="AW64" s="580"/>
      <c r="AX64" s="580"/>
      <c r="AY64" s="580"/>
      <c r="AZ64" s="580"/>
      <c r="BA64" s="580"/>
      <c r="BB64" s="580"/>
      <c r="BC64" s="580"/>
      <c r="BD64" s="580"/>
      <c r="BE64" s="580"/>
    </row>
    <row r="65" spans="1:57">
      <c r="A65" s="580"/>
      <c r="B65" s="580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  <c r="X65" s="580"/>
      <c r="Y65" s="580"/>
      <c r="Z65" s="580"/>
      <c r="AA65" s="580"/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0"/>
      <c r="AO65" s="580"/>
      <c r="AP65" s="580"/>
      <c r="AQ65" s="580"/>
      <c r="AR65" s="580"/>
      <c r="AS65" s="580"/>
      <c r="AT65" s="580"/>
      <c r="AU65" s="580"/>
      <c r="AV65" s="580"/>
      <c r="AW65" s="580"/>
      <c r="AX65" s="580"/>
      <c r="AY65" s="580"/>
      <c r="AZ65" s="580"/>
      <c r="BA65" s="580"/>
      <c r="BB65" s="580"/>
      <c r="BC65" s="580"/>
      <c r="BD65" s="580"/>
      <c r="BE65" s="580"/>
    </row>
    <row r="66" spans="1:57">
      <c r="A66" s="580"/>
      <c r="B66" s="580"/>
      <c r="C66" s="580"/>
      <c r="D66" s="580"/>
      <c r="E66" s="580"/>
      <c r="F66" s="580"/>
      <c r="G66" s="580"/>
      <c r="H66" s="580"/>
      <c r="I66" s="580"/>
      <c r="J66" s="580"/>
      <c r="K66" s="580"/>
      <c r="L66" s="580"/>
      <c r="M66" s="580"/>
      <c r="N66" s="580"/>
      <c r="O66" s="580"/>
      <c r="P66" s="580"/>
      <c r="Q66" s="580"/>
      <c r="R66" s="580"/>
      <c r="S66" s="580"/>
      <c r="T66" s="580"/>
      <c r="U66" s="580"/>
      <c r="V66" s="580"/>
      <c r="W66" s="580"/>
      <c r="X66" s="580"/>
      <c r="Y66" s="580"/>
      <c r="Z66" s="580"/>
      <c r="AA66" s="580"/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/>
      <c r="AO66" s="580"/>
      <c r="AP66" s="580"/>
      <c r="AQ66" s="580"/>
      <c r="AR66" s="580"/>
      <c r="AS66" s="580"/>
      <c r="AT66" s="580"/>
      <c r="AU66" s="580"/>
      <c r="AV66" s="580"/>
      <c r="AW66" s="580"/>
      <c r="AX66" s="580"/>
      <c r="AY66" s="580"/>
      <c r="AZ66" s="580"/>
      <c r="BA66" s="580"/>
      <c r="BB66" s="580"/>
      <c r="BC66" s="580"/>
      <c r="BD66" s="580"/>
      <c r="BE66" s="580"/>
    </row>
    <row r="67" spans="1:57">
      <c r="A67" s="580"/>
      <c r="B67" s="580"/>
      <c r="C67" s="580"/>
      <c r="D67" s="580"/>
      <c r="E67" s="580"/>
      <c r="F67" s="580"/>
      <c r="G67" s="580"/>
      <c r="H67" s="580"/>
      <c r="I67" s="580"/>
      <c r="J67" s="580"/>
      <c r="K67" s="580"/>
      <c r="L67" s="580"/>
      <c r="M67" s="580"/>
      <c r="N67" s="580"/>
      <c r="O67" s="580"/>
      <c r="P67" s="580"/>
      <c r="Q67" s="580"/>
      <c r="R67" s="580"/>
      <c r="S67" s="580"/>
      <c r="T67" s="580"/>
      <c r="U67" s="580"/>
      <c r="V67" s="580"/>
      <c r="W67" s="580"/>
      <c r="X67" s="580"/>
      <c r="Y67" s="580"/>
      <c r="Z67" s="580"/>
      <c r="AA67" s="580"/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/>
      <c r="AO67" s="580"/>
      <c r="AP67" s="580"/>
      <c r="AQ67" s="580"/>
      <c r="AR67" s="580"/>
      <c r="AS67" s="580"/>
      <c r="AT67" s="580"/>
      <c r="AU67" s="580"/>
      <c r="AV67" s="580"/>
      <c r="AW67" s="580"/>
      <c r="AX67" s="580"/>
      <c r="AY67" s="580"/>
      <c r="AZ67" s="580"/>
      <c r="BA67" s="580"/>
      <c r="BB67" s="580"/>
      <c r="BC67" s="580"/>
      <c r="BD67" s="580"/>
      <c r="BE67" s="580"/>
    </row>
    <row r="68" spans="1:57">
      <c r="A68" s="580"/>
      <c r="B68" s="580"/>
      <c r="C68" s="580"/>
      <c r="D68" s="580"/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0"/>
      <c r="Q68" s="580"/>
      <c r="R68" s="580"/>
      <c r="S68" s="580"/>
      <c r="T68" s="580"/>
      <c r="U68" s="580"/>
      <c r="V68" s="580"/>
      <c r="W68" s="580"/>
      <c r="X68" s="580"/>
      <c r="Y68" s="580"/>
      <c r="Z68" s="580"/>
      <c r="AA68" s="580"/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/>
      <c r="AO68" s="580"/>
      <c r="AP68" s="580"/>
      <c r="AQ68" s="580"/>
      <c r="AR68" s="580"/>
      <c r="AS68" s="580"/>
      <c r="AT68" s="580"/>
      <c r="AU68" s="580"/>
      <c r="AV68" s="580"/>
      <c r="AW68" s="580"/>
      <c r="AX68" s="580"/>
      <c r="AY68" s="580"/>
      <c r="AZ68" s="580"/>
      <c r="BA68" s="580"/>
      <c r="BB68" s="580"/>
      <c r="BC68" s="580"/>
      <c r="BD68" s="580"/>
      <c r="BE68" s="580"/>
    </row>
    <row r="69" spans="1:57">
      <c r="A69" s="580"/>
      <c r="B69" s="580"/>
      <c r="C69" s="580"/>
      <c r="D69" s="580"/>
      <c r="E69" s="580"/>
      <c r="F69" s="580"/>
      <c r="G69" s="580"/>
      <c r="H69" s="580"/>
      <c r="I69" s="580"/>
      <c r="J69" s="580"/>
      <c r="K69" s="580"/>
      <c r="L69" s="580"/>
      <c r="M69" s="580"/>
      <c r="N69" s="580"/>
      <c r="O69" s="580"/>
      <c r="P69" s="580"/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/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/>
      <c r="AO69" s="580"/>
      <c r="AP69" s="580"/>
      <c r="AQ69" s="580"/>
      <c r="AR69" s="580"/>
      <c r="AS69" s="580"/>
      <c r="AT69" s="580"/>
      <c r="AU69" s="580"/>
      <c r="AV69" s="580"/>
      <c r="AW69" s="580"/>
      <c r="AX69" s="580"/>
      <c r="AY69" s="580"/>
      <c r="AZ69" s="580"/>
      <c r="BA69" s="580"/>
      <c r="BB69" s="580"/>
      <c r="BC69" s="580"/>
      <c r="BD69" s="580"/>
      <c r="BE69" s="580"/>
    </row>
    <row r="70" spans="1:57">
      <c r="A70" s="580"/>
      <c r="B70" s="580"/>
      <c r="C70" s="580"/>
      <c r="D70" s="580"/>
      <c r="E70" s="580"/>
      <c r="F70" s="580"/>
      <c r="G70" s="580"/>
      <c r="H70" s="580"/>
      <c r="I70" s="580"/>
      <c r="J70" s="580"/>
      <c r="K70" s="580"/>
      <c r="L70" s="580"/>
      <c r="M70" s="580"/>
      <c r="N70" s="580"/>
      <c r="O70" s="580"/>
      <c r="P70" s="580"/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/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/>
      <c r="AO70" s="580"/>
      <c r="AP70" s="580"/>
      <c r="AQ70" s="580"/>
      <c r="AR70" s="580"/>
      <c r="AS70" s="580"/>
      <c r="AT70" s="580"/>
      <c r="AU70" s="580"/>
      <c r="AV70" s="580"/>
      <c r="AW70" s="580"/>
      <c r="AX70" s="580"/>
      <c r="AY70" s="580"/>
      <c r="AZ70" s="580"/>
      <c r="BA70" s="580"/>
      <c r="BB70" s="580"/>
      <c r="BC70" s="580"/>
      <c r="BD70" s="580"/>
      <c r="BE70" s="580"/>
    </row>
    <row r="71" spans="1:57">
      <c r="A71" s="580"/>
      <c r="B71" s="580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580"/>
      <c r="AQ71" s="580"/>
      <c r="AR71" s="580"/>
      <c r="AS71" s="580"/>
      <c r="AT71" s="580"/>
      <c r="AU71" s="580"/>
      <c r="AV71" s="580"/>
      <c r="AW71" s="580"/>
      <c r="AX71" s="580"/>
      <c r="AY71" s="580"/>
      <c r="AZ71" s="580"/>
      <c r="BA71" s="580"/>
      <c r="BB71" s="580"/>
      <c r="BC71" s="580"/>
      <c r="BD71" s="580"/>
      <c r="BE71" s="580"/>
    </row>
    <row r="72" spans="1:57">
      <c r="A72" s="580"/>
      <c r="B72" s="580"/>
      <c r="C72" s="580"/>
      <c r="D72" s="580"/>
      <c r="E72" s="580"/>
      <c r="F72" s="580"/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  <c r="AT72" s="580"/>
      <c r="AU72" s="580"/>
      <c r="AV72" s="580"/>
      <c r="AW72" s="580"/>
      <c r="AX72" s="580"/>
      <c r="AY72" s="580"/>
      <c r="AZ72" s="580"/>
      <c r="BA72" s="580"/>
      <c r="BB72" s="580"/>
      <c r="BC72" s="580"/>
      <c r="BD72" s="580"/>
      <c r="BE72" s="580"/>
    </row>
    <row r="73" spans="1:57">
      <c r="A73" s="580"/>
      <c r="B73" s="580"/>
      <c r="C73" s="580"/>
      <c r="D73" s="580"/>
      <c r="E73" s="580"/>
      <c r="F73" s="580"/>
      <c r="G73" s="580"/>
      <c r="H73" s="580"/>
      <c r="I73" s="580"/>
      <c r="J73" s="580"/>
      <c r="K73" s="580"/>
      <c r="L73" s="580"/>
      <c r="M73" s="580"/>
      <c r="N73" s="580"/>
      <c r="O73" s="580"/>
      <c r="P73" s="580"/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  <c r="AT73" s="580"/>
      <c r="AU73" s="580"/>
      <c r="AV73" s="580"/>
      <c r="AW73" s="580"/>
      <c r="AX73" s="580"/>
      <c r="AY73" s="580"/>
      <c r="AZ73" s="580"/>
      <c r="BA73" s="580"/>
      <c r="BB73" s="580"/>
      <c r="BC73" s="580"/>
      <c r="BD73" s="580"/>
      <c r="BE73" s="580"/>
    </row>
    <row r="74" spans="1:57">
      <c r="A74" s="580"/>
      <c r="B74" s="580"/>
      <c r="C74" s="580"/>
      <c r="D74" s="580"/>
      <c r="E74" s="580"/>
      <c r="F74" s="580"/>
      <c r="G74" s="580"/>
      <c r="H74" s="580"/>
      <c r="I74" s="580"/>
      <c r="J74" s="580"/>
      <c r="K74" s="580"/>
      <c r="L74" s="580"/>
      <c r="M74" s="580"/>
      <c r="N74" s="580"/>
      <c r="O74" s="580"/>
      <c r="P74" s="580"/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0"/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  <c r="AT74" s="580"/>
      <c r="AU74" s="580"/>
      <c r="AV74" s="580"/>
      <c r="AW74" s="580"/>
      <c r="AX74" s="580"/>
      <c r="AY74" s="580"/>
      <c r="AZ74" s="580"/>
      <c r="BA74" s="580"/>
      <c r="BB74" s="580"/>
      <c r="BC74" s="580"/>
      <c r="BD74" s="580"/>
      <c r="BE74" s="580"/>
    </row>
    <row r="75" spans="1:57">
      <c r="A75" s="580"/>
      <c r="B75" s="580"/>
      <c r="C75" s="580"/>
      <c r="D75" s="580"/>
      <c r="E75" s="580"/>
      <c r="F75" s="580"/>
      <c r="G75" s="580"/>
      <c r="H75" s="580"/>
      <c r="I75" s="580"/>
      <c r="J75" s="580"/>
      <c r="K75" s="580"/>
      <c r="L75" s="580"/>
      <c r="M75" s="580"/>
      <c r="N75" s="580"/>
      <c r="O75" s="580"/>
      <c r="P75" s="580"/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/>
      <c r="AB75" s="580"/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  <c r="AT75" s="580"/>
      <c r="AU75" s="580"/>
      <c r="AV75" s="580"/>
      <c r="AW75" s="580"/>
      <c r="AX75" s="580"/>
      <c r="AY75" s="580"/>
      <c r="AZ75" s="580"/>
      <c r="BA75" s="580"/>
      <c r="BB75" s="580"/>
      <c r="BC75" s="580"/>
      <c r="BD75" s="580"/>
      <c r="BE75" s="580"/>
    </row>
    <row r="76" spans="1:57">
      <c r="A76" s="580"/>
      <c r="B76" s="580"/>
      <c r="C76" s="580"/>
      <c r="D76" s="580"/>
      <c r="E76" s="580"/>
      <c r="F76" s="580"/>
      <c r="G76" s="580"/>
      <c r="H76" s="580"/>
      <c r="I76" s="580"/>
      <c r="J76" s="580"/>
      <c r="K76" s="580"/>
      <c r="L76" s="580"/>
      <c r="M76" s="580"/>
      <c r="N76" s="580"/>
      <c r="O76" s="580"/>
      <c r="P76" s="580"/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/>
      <c r="AB76" s="580"/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  <c r="AT76" s="580"/>
      <c r="AU76" s="580"/>
      <c r="AV76" s="580"/>
      <c r="AW76" s="580"/>
      <c r="AX76" s="580"/>
      <c r="AY76" s="580"/>
      <c r="AZ76" s="580"/>
      <c r="BA76" s="580"/>
      <c r="BB76" s="580"/>
      <c r="BC76" s="580"/>
      <c r="BD76" s="580"/>
      <c r="BE76" s="580"/>
    </row>
    <row r="77" spans="1:57">
      <c r="A77" s="580"/>
      <c r="B77" s="580"/>
      <c r="C77" s="580"/>
      <c r="D77" s="580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  <c r="AT77" s="580"/>
      <c r="AU77" s="580"/>
      <c r="AV77" s="580"/>
      <c r="AW77" s="580"/>
      <c r="AX77" s="580"/>
      <c r="AY77" s="580"/>
      <c r="AZ77" s="580"/>
      <c r="BA77" s="580"/>
      <c r="BB77" s="580"/>
      <c r="BC77" s="580"/>
      <c r="BD77" s="580"/>
      <c r="BE77" s="580"/>
    </row>
    <row r="78" spans="1:57">
      <c r="A78" s="580"/>
      <c r="B78" s="580"/>
      <c r="C78" s="580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580"/>
      <c r="O78" s="580"/>
      <c r="P78" s="580"/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  <c r="AT78" s="580"/>
      <c r="AU78" s="580"/>
      <c r="AV78" s="580"/>
      <c r="AW78" s="580"/>
      <c r="AX78" s="580"/>
      <c r="AY78" s="580"/>
      <c r="AZ78" s="580"/>
      <c r="BA78" s="580"/>
      <c r="BB78" s="580"/>
      <c r="BC78" s="580"/>
      <c r="BD78" s="580"/>
      <c r="BE78" s="580"/>
    </row>
    <row r="79" spans="1:57">
      <c r="A79" s="580"/>
      <c r="B79" s="580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/>
      <c r="AB79" s="580"/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  <c r="AT79" s="580"/>
      <c r="AU79" s="580"/>
      <c r="AV79" s="580"/>
      <c r="AW79" s="580"/>
      <c r="AX79" s="580"/>
      <c r="AY79" s="580"/>
      <c r="AZ79" s="580"/>
      <c r="BA79" s="580"/>
      <c r="BB79" s="580"/>
      <c r="BC79" s="580"/>
      <c r="BD79" s="580"/>
      <c r="BE79" s="580"/>
    </row>
    <row r="80" spans="1:57">
      <c r="A80" s="580"/>
      <c r="B80" s="580"/>
      <c r="C80" s="580"/>
      <c r="D80" s="580"/>
      <c r="E80" s="580"/>
      <c r="F80" s="580"/>
      <c r="G80" s="580"/>
      <c r="H80" s="580"/>
      <c r="I80" s="580"/>
      <c r="J80" s="580"/>
      <c r="K80" s="580"/>
      <c r="L80" s="580"/>
      <c r="M80" s="580"/>
      <c r="N80" s="580"/>
      <c r="O80" s="580"/>
      <c r="P80" s="580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/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  <c r="AT80" s="580"/>
      <c r="AU80" s="580"/>
      <c r="AV80" s="580"/>
      <c r="AW80" s="580"/>
      <c r="AX80" s="580"/>
      <c r="AY80" s="580"/>
      <c r="AZ80" s="580"/>
      <c r="BA80" s="580"/>
      <c r="BB80" s="580"/>
      <c r="BC80" s="580"/>
      <c r="BD80" s="580"/>
      <c r="BE80" s="580"/>
    </row>
    <row r="81" spans="1:57">
      <c r="A81" s="580"/>
      <c r="B81" s="580"/>
      <c r="C81" s="580"/>
      <c r="D81" s="580"/>
      <c r="E81" s="580"/>
      <c r="F81" s="580"/>
      <c r="G81" s="580"/>
      <c r="H81" s="580"/>
      <c r="I81" s="580"/>
      <c r="J81" s="580"/>
      <c r="K81" s="580"/>
      <c r="L81" s="580"/>
      <c r="M81" s="580"/>
      <c r="N81" s="580"/>
      <c r="O81" s="580"/>
      <c r="P81" s="580"/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/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  <c r="AT81" s="580"/>
      <c r="AU81" s="580"/>
      <c r="AV81" s="580"/>
      <c r="AW81" s="580"/>
      <c r="AX81" s="580"/>
      <c r="AY81" s="580"/>
      <c r="AZ81" s="580"/>
      <c r="BA81" s="580"/>
      <c r="BB81" s="580"/>
      <c r="BC81" s="580"/>
      <c r="BD81" s="580"/>
      <c r="BE81" s="580"/>
    </row>
    <row r="82" spans="1:57">
      <c r="A82" s="580"/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  <c r="W82" s="580"/>
      <c r="X82" s="580"/>
      <c r="Y82" s="580"/>
      <c r="Z82" s="580"/>
      <c r="AA82" s="580"/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  <c r="AT82" s="580"/>
      <c r="AU82" s="580"/>
      <c r="AV82" s="580"/>
      <c r="AW82" s="580"/>
      <c r="AX82" s="580"/>
      <c r="AY82" s="580"/>
      <c r="AZ82" s="580"/>
      <c r="BA82" s="580"/>
      <c r="BB82" s="580"/>
      <c r="BC82" s="580"/>
      <c r="BD82" s="580"/>
      <c r="BE82" s="580"/>
    </row>
    <row r="83" spans="1:57">
      <c r="A83" s="580"/>
      <c r="B83" s="580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580"/>
      <c r="O83" s="580"/>
      <c r="P83" s="580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/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  <c r="AT83" s="580"/>
      <c r="AU83" s="580"/>
      <c r="AV83" s="580"/>
      <c r="AW83" s="580"/>
      <c r="AX83" s="580"/>
      <c r="AY83" s="580"/>
      <c r="AZ83" s="580"/>
      <c r="BA83" s="580"/>
      <c r="BB83" s="580"/>
      <c r="BC83" s="580"/>
      <c r="BD83" s="580"/>
      <c r="BE83" s="580"/>
    </row>
    <row r="84" spans="1:57">
      <c r="A84" s="580"/>
      <c r="B84" s="580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580"/>
      <c r="O84" s="580"/>
      <c r="P84" s="580"/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/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  <c r="AT84" s="580"/>
      <c r="AU84" s="580"/>
      <c r="AV84" s="580"/>
      <c r="AW84" s="580"/>
      <c r="AX84" s="580"/>
      <c r="AY84" s="580"/>
      <c r="AZ84" s="580"/>
      <c r="BA84" s="580"/>
      <c r="BB84" s="580"/>
      <c r="BC84" s="580"/>
      <c r="BD84" s="580"/>
      <c r="BE84" s="580"/>
    </row>
    <row r="85" spans="1:57">
      <c r="A85" s="580"/>
      <c r="B85" s="580"/>
      <c r="C85" s="580"/>
      <c r="D85" s="580"/>
      <c r="E85" s="580"/>
      <c r="F85" s="580"/>
      <c r="G85" s="580"/>
      <c r="H85" s="580"/>
      <c r="I85" s="580"/>
      <c r="J85" s="580"/>
      <c r="K85" s="580"/>
      <c r="L85" s="580"/>
      <c r="M85" s="580"/>
      <c r="N85" s="580"/>
      <c r="O85" s="580"/>
      <c r="P85" s="580"/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/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  <c r="AT85" s="580"/>
      <c r="AU85" s="580"/>
      <c r="AV85" s="580"/>
      <c r="AW85" s="580"/>
      <c r="AX85" s="580"/>
      <c r="AY85" s="580"/>
      <c r="AZ85" s="580"/>
      <c r="BA85" s="580"/>
      <c r="BB85" s="580"/>
      <c r="BC85" s="580"/>
      <c r="BD85" s="580"/>
      <c r="BE85" s="580"/>
    </row>
    <row r="86" spans="1:57">
      <c r="A86" s="580"/>
      <c r="B86" s="580"/>
      <c r="C86" s="580"/>
      <c r="D86" s="580"/>
      <c r="E86" s="580"/>
      <c r="F86" s="580"/>
      <c r="G86" s="580"/>
      <c r="H86" s="580"/>
      <c r="I86" s="580"/>
      <c r="J86" s="580"/>
      <c r="K86" s="580"/>
      <c r="L86" s="580"/>
      <c r="M86" s="580"/>
      <c r="N86" s="580"/>
      <c r="O86" s="580"/>
      <c r="P86" s="580"/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/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  <c r="AT86" s="580"/>
      <c r="AU86" s="580"/>
      <c r="AV86" s="580"/>
      <c r="AW86" s="580"/>
      <c r="AX86" s="580"/>
      <c r="AY86" s="580"/>
      <c r="AZ86" s="580"/>
      <c r="BA86" s="580"/>
      <c r="BB86" s="580"/>
      <c r="BC86" s="580"/>
      <c r="BD86" s="580"/>
      <c r="BE86" s="580"/>
    </row>
    <row r="87" spans="1:57">
      <c r="A87" s="580"/>
      <c r="B87" s="580"/>
      <c r="C87" s="580"/>
      <c r="D87" s="580"/>
      <c r="E87" s="580"/>
      <c r="F87" s="580"/>
      <c r="G87" s="580"/>
      <c r="H87" s="580"/>
      <c r="I87" s="580"/>
      <c r="J87" s="580"/>
      <c r="K87" s="580"/>
      <c r="L87" s="580"/>
      <c r="M87" s="580"/>
      <c r="N87" s="580"/>
      <c r="O87" s="580"/>
      <c r="P87" s="580"/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/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  <c r="AT87" s="580"/>
      <c r="AU87" s="580"/>
      <c r="AV87" s="580"/>
      <c r="AW87" s="580"/>
      <c r="AX87" s="580"/>
      <c r="AY87" s="580"/>
      <c r="AZ87" s="580"/>
      <c r="BA87" s="580"/>
      <c r="BB87" s="580"/>
      <c r="BC87" s="580"/>
      <c r="BD87" s="580"/>
      <c r="BE87" s="580"/>
    </row>
    <row r="88" spans="1:57">
      <c r="A88" s="580"/>
      <c r="B88" s="580"/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/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  <c r="AT88" s="580"/>
      <c r="AU88" s="580"/>
      <c r="AV88" s="580"/>
      <c r="AW88" s="580"/>
      <c r="AX88" s="580"/>
      <c r="AY88" s="580"/>
      <c r="AZ88" s="580"/>
      <c r="BA88" s="580"/>
      <c r="BB88" s="580"/>
      <c r="BC88" s="580"/>
      <c r="BD88" s="580"/>
      <c r="BE88" s="580"/>
    </row>
    <row r="89" spans="1:57">
      <c r="A89" s="580"/>
      <c r="B89" s="580"/>
      <c r="C89" s="580"/>
      <c r="D89" s="580"/>
      <c r="E89" s="580"/>
      <c r="F89" s="580"/>
      <c r="G89" s="580"/>
      <c r="H89" s="580"/>
      <c r="I89" s="580"/>
      <c r="J89" s="580"/>
      <c r="K89" s="580"/>
      <c r="L89" s="580"/>
      <c r="M89" s="580"/>
      <c r="N89" s="580"/>
      <c r="O89" s="580"/>
      <c r="P89" s="580"/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/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580"/>
      <c r="AQ89" s="580"/>
      <c r="AR89" s="580"/>
      <c r="AS89" s="580"/>
      <c r="AT89" s="580"/>
      <c r="AU89" s="580"/>
      <c r="AV89" s="580"/>
      <c r="AW89" s="580"/>
      <c r="AX89" s="580"/>
      <c r="AY89" s="580"/>
      <c r="AZ89" s="580"/>
      <c r="BA89" s="580"/>
      <c r="BB89" s="580"/>
      <c r="BC89" s="580"/>
      <c r="BD89" s="580"/>
      <c r="BE89" s="580"/>
    </row>
    <row r="90" spans="1:57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/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580"/>
      <c r="AQ90" s="580"/>
      <c r="AR90" s="580"/>
      <c r="AS90" s="580"/>
      <c r="AT90" s="580"/>
      <c r="AU90" s="580"/>
      <c r="AV90" s="580"/>
      <c r="AW90" s="580"/>
      <c r="AX90" s="580"/>
      <c r="AY90" s="580"/>
      <c r="AZ90" s="580"/>
      <c r="BA90" s="580"/>
      <c r="BB90" s="580"/>
      <c r="BC90" s="580"/>
      <c r="BD90" s="580"/>
      <c r="BE90" s="580"/>
    </row>
    <row r="91" spans="1:57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/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580"/>
      <c r="AQ91" s="580"/>
      <c r="AR91" s="580"/>
      <c r="AS91" s="580"/>
      <c r="AT91" s="580"/>
      <c r="AU91" s="580"/>
      <c r="AV91" s="580"/>
      <c r="AW91" s="580"/>
      <c r="AX91" s="580"/>
      <c r="AY91" s="580"/>
      <c r="AZ91" s="580"/>
      <c r="BA91" s="580"/>
      <c r="BB91" s="580"/>
      <c r="BC91" s="580"/>
      <c r="BD91" s="580"/>
      <c r="BE91" s="580"/>
    </row>
    <row r="92" spans="1:57">
      <c r="A92" s="580"/>
      <c r="B92" s="580"/>
      <c r="C92" s="580"/>
      <c r="D92" s="580"/>
      <c r="E92" s="580"/>
      <c r="F92" s="580"/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/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580"/>
      <c r="AQ92" s="580"/>
      <c r="AR92" s="580"/>
      <c r="AS92" s="580"/>
      <c r="AT92" s="580"/>
      <c r="AU92" s="580"/>
      <c r="AV92" s="580"/>
      <c r="AW92" s="580"/>
      <c r="AX92" s="580"/>
      <c r="AY92" s="580"/>
      <c r="AZ92" s="580"/>
      <c r="BA92" s="580"/>
      <c r="BB92" s="580"/>
      <c r="BC92" s="580"/>
      <c r="BD92" s="580"/>
      <c r="BE92" s="580"/>
    </row>
    <row r="93" spans="1:57">
      <c r="A93" s="580"/>
      <c r="B93" s="580"/>
      <c r="C93" s="580"/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/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580"/>
      <c r="AQ93" s="580"/>
      <c r="AR93" s="580"/>
      <c r="AS93" s="580"/>
      <c r="AT93" s="580"/>
      <c r="AU93" s="580"/>
      <c r="AV93" s="580"/>
      <c r="AW93" s="580"/>
      <c r="AX93" s="580"/>
      <c r="AY93" s="580"/>
      <c r="AZ93" s="580"/>
      <c r="BA93" s="580"/>
      <c r="BB93" s="580"/>
      <c r="BC93" s="580"/>
      <c r="BD93" s="580"/>
      <c r="BE93" s="580"/>
    </row>
    <row r="94" spans="1:57">
      <c r="A94" s="580"/>
      <c r="B94" s="580"/>
      <c r="C94" s="580"/>
      <c r="D94" s="580"/>
      <c r="E94" s="580"/>
      <c r="F94" s="580"/>
      <c r="G94" s="580"/>
      <c r="H94" s="580"/>
      <c r="I94" s="580"/>
      <c r="J94" s="580"/>
      <c r="K94" s="580"/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/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580"/>
      <c r="AQ94" s="580"/>
      <c r="AR94" s="580"/>
      <c r="AS94" s="580"/>
      <c r="AT94" s="580"/>
      <c r="AU94" s="580"/>
      <c r="AV94" s="580"/>
      <c r="AW94" s="580"/>
      <c r="AX94" s="580"/>
      <c r="AY94" s="580"/>
      <c r="AZ94" s="580"/>
      <c r="BA94" s="580"/>
      <c r="BB94" s="580"/>
      <c r="BC94" s="580"/>
      <c r="BD94" s="580"/>
      <c r="BE94" s="580"/>
    </row>
    <row r="95" spans="1:57">
      <c r="A95" s="580"/>
      <c r="B95" s="580"/>
      <c r="C95" s="580"/>
      <c r="D95" s="580"/>
      <c r="E95" s="580"/>
      <c r="F95" s="580"/>
      <c r="G95" s="580"/>
      <c r="H95" s="580"/>
      <c r="I95" s="580"/>
      <c r="J95" s="580"/>
      <c r="K95" s="580"/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580"/>
      <c r="AQ95" s="580"/>
      <c r="AR95" s="580"/>
      <c r="AS95" s="580"/>
      <c r="AT95" s="580"/>
      <c r="AU95" s="580"/>
      <c r="AV95" s="580"/>
      <c r="AW95" s="580"/>
      <c r="AX95" s="580"/>
      <c r="AY95" s="580"/>
      <c r="AZ95" s="580"/>
      <c r="BA95" s="580"/>
      <c r="BB95" s="580"/>
      <c r="BC95" s="580"/>
      <c r="BD95" s="580"/>
      <c r="BE95" s="580"/>
    </row>
    <row r="96" spans="1:57">
      <c r="A96" s="580"/>
      <c r="B96" s="580"/>
      <c r="C96" s="580"/>
      <c r="D96" s="580"/>
      <c r="E96" s="580"/>
      <c r="F96" s="580"/>
      <c r="G96" s="580"/>
      <c r="H96" s="580"/>
      <c r="I96" s="580"/>
      <c r="J96" s="580"/>
      <c r="K96" s="580"/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/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580"/>
      <c r="AQ96" s="580"/>
      <c r="AR96" s="580"/>
      <c r="AS96" s="580"/>
      <c r="AT96" s="580"/>
      <c r="AU96" s="580"/>
      <c r="AV96" s="580"/>
      <c r="AW96" s="580"/>
      <c r="AX96" s="580"/>
      <c r="AY96" s="580"/>
      <c r="AZ96" s="580"/>
      <c r="BA96" s="580"/>
      <c r="BB96" s="580"/>
      <c r="BC96" s="580"/>
      <c r="BD96" s="580"/>
      <c r="BE96" s="580"/>
    </row>
    <row r="97" spans="1:57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/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/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580"/>
      <c r="AQ97" s="580"/>
      <c r="AR97" s="580"/>
      <c r="AS97" s="580"/>
      <c r="AT97" s="580"/>
      <c r="AU97" s="580"/>
      <c r="AV97" s="580"/>
      <c r="AW97" s="580"/>
      <c r="AX97" s="580"/>
      <c r="AY97" s="580"/>
      <c r="AZ97" s="580"/>
      <c r="BA97" s="580"/>
      <c r="BB97" s="580"/>
      <c r="BC97" s="580"/>
      <c r="BD97" s="580"/>
      <c r="BE97" s="580"/>
    </row>
    <row r="98" spans="1:57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/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580"/>
      <c r="AQ98" s="580"/>
      <c r="AR98" s="580"/>
      <c r="AS98" s="580"/>
      <c r="AT98" s="580"/>
      <c r="AU98" s="580"/>
      <c r="AV98" s="580"/>
      <c r="AW98" s="580"/>
      <c r="AX98" s="580"/>
      <c r="AY98" s="580"/>
      <c r="AZ98" s="580"/>
      <c r="BA98" s="580"/>
      <c r="BB98" s="580"/>
      <c r="BC98" s="580"/>
      <c r="BD98" s="580"/>
      <c r="BE98" s="580"/>
    </row>
    <row r="99" spans="1:57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580"/>
      <c r="AQ99" s="580"/>
      <c r="AR99" s="580"/>
      <c r="AS99" s="580"/>
      <c r="AT99" s="580"/>
      <c r="AU99" s="580"/>
      <c r="AV99" s="580"/>
      <c r="AW99" s="580"/>
      <c r="AX99" s="580"/>
      <c r="AY99" s="580"/>
      <c r="AZ99" s="580"/>
      <c r="BA99" s="580"/>
      <c r="BB99" s="580"/>
      <c r="BC99" s="580"/>
      <c r="BD99" s="580"/>
      <c r="BE99" s="580"/>
    </row>
    <row r="100" spans="1:57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/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580"/>
      <c r="AQ100" s="580"/>
      <c r="AR100" s="580"/>
      <c r="AS100" s="580"/>
      <c r="AT100" s="580"/>
      <c r="AU100" s="580"/>
      <c r="AV100" s="580"/>
      <c r="AW100" s="580"/>
      <c r="AX100" s="580"/>
      <c r="AY100" s="580"/>
      <c r="AZ100" s="580"/>
      <c r="BA100" s="580"/>
      <c r="BB100" s="580"/>
      <c r="BC100" s="580"/>
      <c r="BD100" s="580"/>
      <c r="BE100" s="580"/>
    </row>
    <row r="101" spans="1:57">
      <c r="A101" s="580"/>
      <c r="B101" s="580"/>
      <c r="C101" s="580"/>
      <c r="D101" s="580"/>
      <c r="E101" s="580"/>
      <c r="F101" s="580"/>
      <c r="G101" s="580"/>
      <c r="H101" s="580"/>
      <c r="I101" s="580"/>
      <c r="J101" s="580"/>
      <c r="K101" s="580"/>
      <c r="L101" s="580"/>
      <c r="M101" s="580"/>
      <c r="N101" s="580"/>
      <c r="O101" s="580"/>
      <c r="P101" s="580"/>
      <c r="Q101" s="580"/>
      <c r="R101" s="580"/>
      <c r="S101" s="580"/>
      <c r="T101" s="580"/>
      <c r="U101" s="580"/>
      <c r="V101" s="580"/>
      <c r="W101" s="580"/>
      <c r="X101" s="580"/>
      <c r="Y101" s="580"/>
      <c r="Z101" s="580"/>
      <c r="AA101" s="580"/>
      <c r="AB101" s="580"/>
      <c r="AC101" s="580"/>
      <c r="AD101" s="580"/>
      <c r="AE101" s="580"/>
      <c r="AF101" s="580"/>
      <c r="AG101" s="580"/>
      <c r="AH101" s="580"/>
      <c r="AI101" s="580"/>
      <c r="AJ101" s="580"/>
      <c r="AK101" s="580"/>
      <c r="AL101" s="580"/>
      <c r="AM101" s="580"/>
      <c r="AN101" s="580"/>
      <c r="AO101" s="580"/>
      <c r="AP101" s="580"/>
      <c r="AQ101" s="580"/>
      <c r="AR101" s="580"/>
      <c r="AS101" s="580"/>
      <c r="AT101" s="580"/>
      <c r="AU101" s="580"/>
      <c r="AV101" s="580"/>
      <c r="AW101" s="580"/>
      <c r="AX101" s="580"/>
      <c r="AY101" s="580"/>
      <c r="AZ101" s="580"/>
      <c r="BA101" s="580"/>
      <c r="BB101" s="580"/>
      <c r="BC101" s="580"/>
      <c r="BD101" s="580"/>
      <c r="BE101" s="580"/>
    </row>
    <row r="102" spans="1:57">
      <c r="A102" s="580"/>
      <c r="B102" s="580"/>
      <c r="C102" s="580"/>
      <c r="D102" s="580"/>
      <c r="E102" s="580"/>
      <c r="F102" s="580"/>
      <c r="G102" s="580"/>
      <c r="H102" s="580"/>
      <c r="I102" s="580"/>
      <c r="J102" s="580"/>
      <c r="K102" s="580"/>
      <c r="L102" s="580"/>
      <c r="M102" s="580"/>
      <c r="N102" s="580"/>
      <c r="O102" s="580"/>
      <c r="P102" s="580"/>
      <c r="Q102" s="580"/>
      <c r="R102" s="580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0"/>
      <c r="AD102" s="580"/>
      <c r="AE102" s="580"/>
      <c r="AF102" s="580"/>
      <c r="AG102" s="580"/>
      <c r="AH102" s="580"/>
      <c r="AI102" s="580"/>
      <c r="AJ102" s="580"/>
      <c r="AK102" s="580"/>
      <c r="AL102" s="580"/>
      <c r="AM102" s="580"/>
      <c r="AN102" s="580"/>
      <c r="AO102" s="580"/>
      <c r="AP102" s="580"/>
      <c r="AQ102" s="580"/>
      <c r="AR102" s="580"/>
      <c r="AS102" s="580"/>
      <c r="AT102" s="580"/>
      <c r="AU102" s="580"/>
      <c r="AV102" s="580"/>
      <c r="AW102" s="580"/>
      <c r="AX102" s="580"/>
      <c r="AY102" s="580"/>
      <c r="AZ102" s="580"/>
      <c r="BA102" s="580"/>
      <c r="BB102" s="580"/>
      <c r="BC102" s="580"/>
      <c r="BD102" s="580"/>
      <c r="BE102" s="580"/>
    </row>
    <row r="103" spans="1:57">
      <c r="A103" s="580"/>
      <c r="B103" s="580"/>
      <c r="C103" s="580"/>
      <c r="D103" s="580"/>
      <c r="E103" s="580"/>
      <c r="F103" s="580"/>
      <c r="G103" s="580"/>
      <c r="H103" s="580"/>
      <c r="I103" s="580"/>
      <c r="J103" s="580"/>
      <c r="K103" s="580"/>
      <c r="L103" s="580"/>
      <c r="M103" s="580"/>
      <c r="N103" s="580"/>
      <c r="O103" s="580"/>
      <c r="P103" s="580"/>
      <c r="Q103" s="580"/>
      <c r="R103" s="580"/>
      <c r="S103" s="580"/>
      <c r="T103" s="580"/>
      <c r="U103" s="580"/>
      <c r="V103" s="580"/>
      <c r="W103" s="580"/>
      <c r="X103" s="580"/>
      <c r="Y103" s="580"/>
      <c r="Z103" s="580"/>
      <c r="AA103" s="580"/>
      <c r="AB103" s="580"/>
      <c r="AC103" s="580"/>
      <c r="AD103" s="580"/>
      <c r="AE103" s="580"/>
      <c r="AF103" s="580"/>
      <c r="AG103" s="580"/>
      <c r="AH103" s="580"/>
      <c r="AI103" s="580"/>
      <c r="AJ103" s="580"/>
      <c r="AK103" s="580"/>
      <c r="AL103" s="580"/>
      <c r="AM103" s="580"/>
      <c r="AN103" s="580"/>
      <c r="AO103" s="580"/>
      <c r="AP103" s="580"/>
      <c r="AQ103" s="580"/>
      <c r="AR103" s="580"/>
      <c r="AS103" s="580"/>
      <c r="AT103" s="580"/>
      <c r="AU103" s="580"/>
      <c r="AV103" s="580"/>
      <c r="AW103" s="580"/>
      <c r="AX103" s="580"/>
      <c r="AY103" s="580"/>
      <c r="AZ103" s="580"/>
      <c r="BA103" s="580"/>
      <c r="BB103" s="580"/>
      <c r="BC103" s="580"/>
      <c r="BD103" s="580"/>
      <c r="BE103" s="580"/>
    </row>
    <row r="104" spans="1:57">
      <c r="A104" s="580"/>
      <c r="B104" s="580"/>
      <c r="C104" s="580"/>
      <c r="D104" s="580"/>
      <c r="E104" s="580"/>
      <c r="F104" s="580"/>
      <c r="G104" s="580"/>
      <c r="H104" s="580"/>
      <c r="I104" s="580"/>
      <c r="J104" s="580"/>
      <c r="K104" s="580"/>
      <c r="L104" s="580"/>
      <c r="M104" s="580"/>
      <c r="N104" s="580"/>
      <c r="O104" s="580"/>
      <c r="P104" s="580"/>
      <c r="Q104" s="580"/>
      <c r="R104" s="580"/>
      <c r="S104" s="580"/>
      <c r="T104" s="580"/>
      <c r="U104" s="580"/>
      <c r="V104" s="580"/>
      <c r="W104" s="580"/>
      <c r="X104" s="580"/>
      <c r="Y104" s="580"/>
      <c r="Z104" s="580"/>
      <c r="AA104" s="580"/>
      <c r="AB104" s="580"/>
      <c r="AC104" s="580"/>
      <c r="AD104" s="580"/>
      <c r="AE104" s="580"/>
      <c r="AF104" s="580"/>
      <c r="AG104" s="580"/>
      <c r="AH104" s="580"/>
      <c r="AI104" s="580"/>
      <c r="AJ104" s="580"/>
      <c r="AK104" s="580"/>
      <c r="AL104" s="580"/>
      <c r="AM104" s="580"/>
      <c r="AN104" s="580"/>
      <c r="AO104" s="580"/>
      <c r="AP104" s="580"/>
      <c r="AQ104" s="580"/>
      <c r="AR104" s="580"/>
      <c r="AS104" s="580"/>
      <c r="AT104" s="580"/>
      <c r="AU104" s="580"/>
      <c r="AV104" s="580"/>
      <c r="AW104" s="580"/>
      <c r="AX104" s="580"/>
      <c r="AY104" s="580"/>
      <c r="AZ104" s="580"/>
      <c r="BA104" s="580"/>
      <c r="BB104" s="580"/>
      <c r="BC104" s="580"/>
      <c r="BD104" s="580"/>
      <c r="BE104" s="580"/>
    </row>
    <row r="105" spans="1:57">
      <c r="A105" s="580"/>
      <c r="B105" s="580"/>
      <c r="C105" s="580"/>
      <c r="D105" s="580"/>
      <c r="E105" s="580"/>
      <c r="F105" s="580"/>
      <c r="G105" s="580"/>
      <c r="H105" s="580"/>
      <c r="I105" s="580"/>
      <c r="J105" s="580"/>
      <c r="K105" s="580"/>
      <c r="L105" s="580"/>
      <c r="M105" s="580"/>
      <c r="N105" s="580"/>
      <c r="O105" s="580"/>
      <c r="P105" s="580"/>
      <c r="Q105" s="580"/>
      <c r="R105" s="580"/>
      <c r="S105" s="580"/>
      <c r="T105" s="580"/>
      <c r="U105" s="580"/>
      <c r="V105" s="580"/>
      <c r="W105" s="580"/>
      <c r="X105" s="580"/>
      <c r="Y105" s="580"/>
      <c r="Z105" s="580"/>
      <c r="AA105" s="580"/>
      <c r="AB105" s="580"/>
      <c r="AC105" s="580"/>
      <c r="AD105" s="580"/>
      <c r="AE105" s="580"/>
      <c r="AF105" s="580"/>
      <c r="AG105" s="580"/>
      <c r="AH105" s="580"/>
      <c r="AI105" s="580"/>
      <c r="AJ105" s="580"/>
      <c r="AK105" s="580"/>
      <c r="AL105" s="580"/>
      <c r="AM105" s="580"/>
      <c r="AN105" s="580"/>
      <c r="AO105" s="580"/>
      <c r="AP105" s="580"/>
      <c r="AQ105" s="580"/>
      <c r="AR105" s="580"/>
      <c r="AS105" s="580"/>
      <c r="AT105" s="580"/>
      <c r="AU105" s="580"/>
      <c r="AV105" s="580"/>
      <c r="AW105" s="580"/>
      <c r="AX105" s="580"/>
      <c r="AY105" s="580"/>
      <c r="AZ105" s="580"/>
      <c r="BA105" s="580"/>
      <c r="BB105" s="580"/>
      <c r="BC105" s="580"/>
      <c r="BD105" s="580"/>
      <c r="BE105" s="580"/>
    </row>
    <row r="106" spans="1:57">
      <c r="A106" s="580"/>
      <c r="B106" s="580"/>
      <c r="C106" s="580"/>
      <c r="D106" s="580"/>
      <c r="E106" s="580"/>
      <c r="F106" s="580"/>
      <c r="G106" s="580"/>
      <c r="H106" s="580"/>
      <c r="I106" s="580"/>
      <c r="J106" s="580"/>
      <c r="K106" s="580"/>
      <c r="L106" s="580"/>
      <c r="M106" s="580"/>
      <c r="N106" s="580"/>
      <c r="O106" s="580"/>
      <c r="P106" s="580"/>
      <c r="Q106" s="580"/>
      <c r="R106" s="580"/>
      <c r="S106" s="580"/>
      <c r="T106" s="580"/>
      <c r="U106" s="580"/>
      <c r="V106" s="580"/>
      <c r="W106" s="580"/>
      <c r="X106" s="580"/>
      <c r="Y106" s="580"/>
      <c r="Z106" s="580"/>
      <c r="AA106" s="580"/>
      <c r="AB106" s="580"/>
      <c r="AC106" s="580"/>
      <c r="AD106" s="580"/>
      <c r="AE106" s="580"/>
      <c r="AF106" s="580"/>
      <c r="AG106" s="580"/>
      <c r="AH106" s="580"/>
      <c r="AI106" s="580"/>
      <c r="AJ106" s="580"/>
      <c r="AK106" s="580"/>
      <c r="AL106" s="580"/>
      <c r="AM106" s="580"/>
      <c r="AN106" s="580"/>
      <c r="AO106" s="580"/>
      <c r="AP106" s="580"/>
      <c r="AQ106" s="580"/>
      <c r="AR106" s="580"/>
      <c r="AS106" s="580"/>
      <c r="AT106" s="580"/>
      <c r="AU106" s="580"/>
      <c r="AV106" s="580"/>
      <c r="AW106" s="580"/>
      <c r="AX106" s="580"/>
      <c r="AY106" s="580"/>
      <c r="AZ106" s="580"/>
      <c r="BA106" s="580"/>
      <c r="BB106" s="580"/>
      <c r="BC106" s="580"/>
      <c r="BD106" s="580"/>
      <c r="BE106" s="580"/>
    </row>
    <row r="107" spans="1:57">
      <c r="A107" s="580"/>
      <c r="B107" s="580"/>
      <c r="C107" s="580"/>
      <c r="D107" s="580"/>
      <c r="E107" s="580"/>
      <c r="F107" s="580"/>
      <c r="G107" s="580"/>
      <c r="H107" s="580"/>
      <c r="I107" s="580"/>
      <c r="J107" s="580"/>
      <c r="K107" s="580"/>
      <c r="L107" s="580"/>
      <c r="M107" s="580"/>
      <c r="N107" s="580"/>
      <c r="O107" s="580"/>
      <c r="P107" s="580"/>
      <c r="Q107" s="580"/>
      <c r="R107" s="580"/>
      <c r="S107" s="580"/>
      <c r="T107" s="580"/>
      <c r="U107" s="580"/>
      <c r="V107" s="580"/>
      <c r="W107" s="580"/>
      <c r="X107" s="580"/>
      <c r="Y107" s="580"/>
      <c r="Z107" s="580"/>
      <c r="AA107" s="580"/>
      <c r="AB107" s="580"/>
      <c r="AC107" s="580"/>
      <c r="AD107" s="580"/>
      <c r="AE107" s="580"/>
      <c r="AF107" s="580"/>
      <c r="AG107" s="580"/>
      <c r="AH107" s="580"/>
      <c r="AI107" s="580"/>
      <c r="AJ107" s="580"/>
      <c r="AK107" s="580"/>
      <c r="AL107" s="580"/>
      <c r="AM107" s="580"/>
      <c r="AN107" s="580"/>
      <c r="AO107" s="580"/>
      <c r="AP107" s="580"/>
      <c r="AQ107" s="580"/>
      <c r="AR107" s="580"/>
      <c r="AS107" s="580"/>
      <c r="AT107" s="580"/>
      <c r="AU107" s="580"/>
      <c r="AV107" s="580"/>
      <c r="AW107" s="580"/>
      <c r="AX107" s="580"/>
      <c r="AY107" s="580"/>
      <c r="AZ107" s="580"/>
      <c r="BA107" s="580"/>
      <c r="BB107" s="580"/>
      <c r="BC107" s="580"/>
      <c r="BD107" s="580"/>
      <c r="BE107" s="580"/>
    </row>
    <row r="108" spans="1:57">
      <c r="A108" s="580"/>
      <c r="B108" s="580"/>
      <c r="C108" s="580"/>
      <c r="D108" s="580"/>
      <c r="E108" s="580"/>
      <c r="F108" s="580"/>
      <c r="G108" s="580"/>
      <c r="H108" s="580"/>
      <c r="I108" s="580"/>
      <c r="J108" s="580"/>
      <c r="K108" s="580"/>
      <c r="L108" s="580"/>
      <c r="M108" s="580"/>
      <c r="N108" s="580"/>
      <c r="O108" s="580"/>
      <c r="P108" s="580"/>
      <c r="Q108" s="580"/>
      <c r="R108" s="580"/>
      <c r="S108" s="580"/>
      <c r="T108" s="580"/>
      <c r="U108" s="580"/>
      <c r="V108" s="580"/>
      <c r="W108" s="580"/>
      <c r="X108" s="580"/>
      <c r="Y108" s="580"/>
      <c r="Z108" s="580"/>
      <c r="AA108" s="580"/>
      <c r="AB108" s="580"/>
      <c r="AC108" s="580"/>
      <c r="AD108" s="580"/>
      <c r="AE108" s="580"/>
      <c r="AF108" s="580"/>
      <c r="AG108" s="580"/>
      <c r="AH108" s="580"/>
      <c r="AI108" s="580"/>
      <c r="AJ108" s="580"/>
      <c r="AK108" s="580"/>
      <c r="AL108" s="580"/>
      <c r="AM108" s="580"/>
      <c r="AN108" s="580"/>
      <c r="AO108" s="580"/>
      <c r="AP108" s="580"/>
      <c r="AQ108" s="580"/>
      <c r="AR108" s="580"/>
      <c r="AS108" s="580"/>
      <c r="AT108" s="580"/>
      <c r="AU108" s="580"/>
      <c r="AV108" s="580"/>
      <c r="AW108" s="580"/>
      <c r="AX108" s="580"/>
      <c r="AY108" s="580"/>
      <c r="AZ108" s="580"/>
      <c r="BA108" s="580"/>
      <c r="BB108" s="580"/>
      <c r="BC108" s="580"/>
      <c r="BD108" s="580"/>
      <c r="BE108" s="580"/>
    </row>
    <row r="109" spans="1:57">
      <c r="A109" s="580"/>
      <c r="B109" s="580"/>
      <c r="C109" s="580"/>
      <c r="D109" s="580"/>
      <c r="E109" s="580"/>
      <c r="F109" s="580"/>
      <c r="G109" s="580"/>
      <c r="H109" s="580"/>
      <c r="I109" s="580"/>
      <c r="J109" s="580"/>
      <c r="K109" s="580"/>
      <c r="L109" s="580"/>
      <c r="M109" s="580"/>
      <c r="N109" s="580"/>
      <c r="O109" s="580"/>
      <c r="P109" s="580"/>
      <c r="Q109" s="580"/>
      <c r="R109" s="580"/>
      <c r="S109" s="580"/>
      <c r="T109" s="580"/>
      <c r="U109" s="580"/>
      <c r="V109" s="580"/>
      <c r="W109" s="580"/>
      <c r="X109" s="580"/>
      <c r="Y109" s="580"/>
      <c r="Z109" s="580"/>
      <c r="AA109" s="580"/>
      <c r="AB109" s="580"/>
      <c r="AC109" s="580"/>
      <c r="AD109" s="580"/>
      <c r="AE109" s="580"/>
      <c r="AF109" s="580"/>
      <c r="AG109" s="580"/>
      <c r="AH109" s="580"/>
      <c r="AI109" s="580"/>
      <c r="AJ109" s="580"/>
      <c r="AK109" s="580"/>
      <c r="AL109" s="580"/>
      <c r="AM109" s="580"/>
      <c r="AN109" s="580"/>
      <c r="AO109" s="580"/>
      <c r="AP109" s="580"/>
      <c r="AQ109" s="580"/>
      <c r="AR109" s="580"/>
      <c r="AS109" s="580"/>
      <c r="AT109" s="580"/>
      <c r="AU109" s="580"/>
      <c r="AV109" s="580"/>
      <c r="AW109" s="580"/>
      <c r="AX109" s="580"/>
      <c r="AY109" s="580"/>
      <c r="AZ109" s="580"/>
      <c r="BA109" s="580"/>
      <c r="BB109" s="580"/>
      <c r="BC109" s="580"/>
      <c r="BD109" s="580"/>
      <c r="BE109" s="580"/>
    </row>
    <row r="110" spans="1:57">
      <c r="A110" s="580"/>
      <c r="B110" s="580"/>
      <c r="C110" s="580"/>
      <c r="D110" s="580"/>
      <c r="E110" s="580"/>
      <c r="F110" s="580"/>
      <c r="G110" s="580"/>
      <c r="H110" s="580"/>
      <c r="I110" s="580"/>
      <c r="J110" s="580"/>
      <c r="K110" s="580"/>
      <c r="L110" s="580"/>
      <c r="M110" s="580"/>
      <c r="N110" s="580"/>
      <c r="O110" s="580"/>
      <c r="P110" s="580"/>
      <c r="Q110" s="580"/>
      <c r="R110" s="580"/>
      <c r="S110" s="580"/>
      <c r="T110" s="580"/>
      <c r="U110" s="580"/>
      <c r="V110" s="580"/>
      <c r="W110" s="580"/>
      <c r="X110" s="580"/>
      <c r="Y110" s="580"/>
      <c r="Z110" s="580"/>
      <c r="AA110" s="580"/>
      <c r="AB110" s="580"/>
      <c r="AC110" s="580"/>
      <c r="AD110" s="580"/>
      <c r="AE110" s="580"/>
      <c r="AF110" s="580"/>
      <c r="AG110" s="580"/>
      <c r="AH110" s="580"/>
      <c r="AI110" s="580"/>
      <c r="AJ110" s="580"/>
      <c r="AK110" s="580"/>
      <c r="AL110" s="580"/>
      <c r="AM110" s="580"/>
      <c r="AN110" s="580"/>
      <c r="AO110" s="580"/>
      <c r="AP110" s="580"/>
      <c r="AQ110" s="580"/>
      <c r="AR110" s="580"/>
      <c r="AS110" s="580"/>
      <c r="AT110" s="580"/>
      <c r="AU110" s="580"/>
      <c r="AV110" s="580"/>
      <c r="AW110" s="580"/>
      <c r="AX110" s="580"/>
      <c r="AY110" s="580"/>
      <c r="AZ110" s="580"/>
      <c r="BA110" s="580"/>
      <c r="BB110" s="580"/>
      <c r="BC110" s="580"/>
      <c r="BD110" s="580"/>
      <c r="BE110" s="580"/>
    </row>
    <row r="111" spans="1:57">
      <c r="A111" s="580"/>
      <c r="B111" s="616"/>
      <c r="C111" s="580"/>
      <c r="D111" s="616"/>
      <c r="E111" s="580"/>
      <c r="F111" s="580"/>
      <c r="G111" s="580"/>
      <c r="H111" s="580"/>
      <c r="I111" s="580"/>
      <c r="J111" s="580"/>
      <c r="K111" s="580"/>
      <c r="L111" s="580"/>
      <c r="M111" s="580"/>
      <c r="N111" s="580"/>
      <c r="O111" s="580"/>
      <c r="P111" s="580"/>
      <c r="Q111" s="580"/>
      <c r="R111" s="580"/>
      <c r="S111" s="580"/>
      <c r="T111" s="580"/>
      <c r="U111" s="580"/>
      <c r="V111" s="580"/>
      <c r="W111" s="580"/>
      <c r="X111" s="580"/>
      <c r="Y111" s="580"/>
      <c r="Z111" s="580"/>
      <c r="AA111" s="580"/>
      <c r="AB111" s="580"/>
      <c r="AC111" s="580"/>
      <c r="AD111" s="580"/>
      <c r="AE111" s="580"/>
      <c r="AF111" s="580"/>
      <c r="AG111" s="580"/>
      <c r="AH111" s="580"/>
      <c r="AI111" s="580"/>
      <c r="AJ111" s="580"/>
      <c r="AK111" s="580"/>
      <c r="AL111" s="580"/>
      <c r="AM111" s="580"/>
      <c r="AN111" s="580"/>
      <c r="AO111" s="580"/>
      <c r="AP111" s="580"/>
      <c r="AQ111" s="580"/>
      <c r="AR111" s="580"/>
      <c r="AS111" s="580"/>
      <c r="AT111" s="580"/>
      <c r="AU111" s="580"/>
      <c r="AV111" s="580"/>
      <c r="AW111" s="580"/>
      <c r="AX111" s="580"/>
      <c r="AY111" s="580"/>
      <c r="AZ111" s="580"/>
      <c r="BA111" s="580"/>
      <c r="BB111" s="580"/>
      <c r="BC111" s="580"/>
      <c r="BD111" s="580"/>
      <c r="BE111" s="580"/>
    </row>
    <row r="112" spans="1:57">
      <c r="A112" s="580"/>
      <c r="B112" s="616"/>
      <c r="C112" s="580"/>
      <c r="D112" s="616"/>
      <c r="E112" s="580"/>
      <c r="F112" s="580"/>
      <c r="G112" s="580"/>
      <c r="H112" s="580"/>
      <c r="I112" s="580"/>
      <c r="J112" s="580"/>
      <c r="K112" s="580"/>
      <c r="L112" s="580"/>
      <c r="M112" s="580"/>
      <c r="N112" s="580"/>
      <c r="O112" s="580"/>
      <c r="P112" s="580"/>
      <c r="Q112" s="580"/>
      <c r="R112" s="580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0"/>
      <c r="AD112" s="580"/>
      <c r="AE112" s="580"/>
      <c r="AF112" s="580"/>
      <c r="AG112" s="580"/>
      <c r="AH112" s="580"/>
      <c r="AI112" s="580"/>
      <c r="AJ112" s="580"/>
      <c r="AK112" s="580"/>
      <c r="AL112" s="580"/>
      <c r="AM112" s="580"/>
      <c r="AN112" s="580"/>
      <c r="AO112" s="580"/>
      <c r="AP112" s="580"/>
      <c r="AQ112" s="580"/>
      <c r="AR112" s="580"/>
      <c r="AS112" s="580"/>
      <c r="AT112" s="580"/>
      <c r="AU112" s="580"/>
      <c r="AV112" s="580"/>
      <c r="AW112" s="580"/>
      <c r="AX112" s="580"/>
      <c r="AY112" s="580"/>
      <c r="AZ112" s="580"/>
      <c r="BA112" s="580"/>
      <c r="BB112" s="580"/>
      <c r="BC112" s="580"/>
      <c r="BD112" s="580"/>
      <c r="BE112" s="580"/>
    </row>
    <row r="113" spans="1:57">
      <c r="A113" s="580"/>
      <c r="B113" s="616"/>
      <c r="C113" s="580"/>
      <c r="D113" s="616"/>
      <c r="E113" s="580"/>
      <c r="F113" s="580"/>
      <c r="G113" s="580"/>
      <c r="H113" s="580"/>
      <c r="I113" s="580"/>
      <c r="J113" s="580"/>
      <c r="K113" s="580"/>
      <c r="L113" s="580"/>
      <c r="M113" s="580"/>
      <c r="N113" s="580"/>
      <c r="O113" s="580"/>
      <c r="P113" s="580"/>
      <c r="Q113" s="580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0"/>
      <c r="AD113" s="580"/>
      <c r="AE113" s="580"/>
      <c r="AF113" s="580"/>
      <c r="AG113" s="580"/>
      <c r="AH113" s="580"/>
      <c r="AI113" s="580"/>
      <c r="AJ113" s="580"/>
      <c r="AK113" s="580"/>
      <c r="AL113" s="580"/>
      <c r="AM113" s="580"/>
      <c r="AN113" s="580"/>
      <c r="AO113" s="580"/>
      <c r="AP113" s="580"/>
      <c r="AQ113" s="580"/>
      <c r="AR113" s="580"/>
      <c r="AS113" s="580"/>
      <c r="AT113" s="580"/>
      <c r="AU113" s="580"/>
      <c r="AV113" s="580"/>
      <c r="AW113" s="580"/>
      <c r="AX113" s="580"/>
      <c r="AY113" s="580"/>
      <c r="AZ113" s="580"/>
      <c r="BA113" s="580"/>
      <c r="BB113" s="580"/>
      <c r="BC113" s="580"/>
      <c r="BD113" s="580"/>
      <c r="BE113" s="580"/>
    </row>
    <row r="114" spans="1:57">
      <c r="A114" s="580"/>
      <c r="B114" s="616"/>
      <c r="C114" s="580"/>
      <c r="D114" s="616"/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580"/>
      <c r="P114" s="580"/>
      <c r="Q114" s="580"/>
      <c r="R114" s="580"/>
      <c r="S114" s="580"/>
      <c r="T114" s="580"/>
      <c r="U114" s="580"/>
      <c r="V114" s="580"/>
      <c r="W114" s="580"/>
      <c r="X114" s="580"/>
      <c r="Y114" s="580"/>
      <c r="Z114" s="580"/>
      <c r="AA114" s="580"/>
      <c r="AB114" s="580"/>
      <c r="AC114" s="580"/>
      <c r="AD114" s="580"/>
      <c r="AE114" s="580"/>
      <c r="AF114" s="580"/>
      <c r="AG114" s="580"/>
      <c r="AH114" s="580"/>
      <c r="AI114" s="580"/>
      <c r="AJ114" s="580"/>
      <c r="AK114" s="580"/>
      <c r="AL114" s="580"/>
      <c r="AM114" s="580"/>
      <c r="AN114" s="580"/>
      <c r="AO114" s="580"/>
      <c r="AP114" s="580"/>
      <c r="AQ114" s="580"/>
      <c r="AR114" s="580"/>
      <c r="AS114" s="580"/>
      <c r="AT114" s="580"/>
      <c r="AU114" s="580"/>
      <c r="AV114" s="580"/>
      <c r="AW114" s="580"/>
      <c r="AX114" s="580"/>
      <c r="AY114" s="580"/>
      <c r="AZ114" s="580"/>
      <c r="BA114" s="580"/>
      <c r="BB114" s="580"/>
      <c r="BC114" s="580"/>
      <c r="BD114" s="580"/>
      <c r="BE114" s="580"/>
    </row>
    <row r="115" spans="1:57">
      <c r="A115" s="580"/>
      <c r="B115" s="616"/>
      <c r="C115" s="580"/>
      <c r="D115" s="616"/>
      <c r="E115" s="580"/>
      <c r="F115" s="580"/>
      <c r="G115" s="580"/>
      <c r="H115" s="580"/>
      <c r="I115" s="580"/>
      <c r="J115" s="580"/>
      <c r="K115" s="580"/>
      <c r="L115" s="580"/>
      <c r="M115" s="580"/>
      <c r="N115" s="580"/>
      <c r="O115" s="580"/>
      <c r="P115" s="580"/>
      <c r="Q115" s="580"/>
      <c r="R115" s="580"/>
      <c r="S115" s="580"/>
      <c r="T115" s="580"/>
      <c r="U115" s="580"/>
      <c r="V115" s="580"/>
      <c r="W115" s="580"/>
      <c r="X115" s="580"/>
      <c r="Y115" s="580"/>
      <c r="Z115" s="580"/>
      <c r="AA115" s="580"/>
      <c r="AB115" s="580"/>
      <c r="AC115" s="580"/>
      <c r="AD115" s="580"/>
      <c r="AE115" s="580"/>
      <c r="AF115" s="580"/>
      <c r="AG115" s="580"/>
      <c r="AH115" s="580"/>
      <c r="AI115" s="580"/>
      <c r="AJ115" s="580"/>
      <c r="AK115" s="580"/>
      <c r="AL115" s="580"/>
      <c r="AM115" s="580"/>
      <c r="AN115" s="580"/>
      <c r="AO115" s="580"/>
      <c r="AP115" s="580"/>
      <c r="AQ115" s="580"/>
      <c r="AR115" s="580"/>
      <c r="AS115" s="580"/>
      <c r="AT115" s="580"/>
      <c r="AU115" s="580"/>
      <c r="AV115" s="580"/>
      <c r="AW115" s="580"/>
      <c r="AX115" s="580"/>
      <c r="AY115" s="580"/>
      <c r="AZ115" s="580"/>
      <c r="BA115" s="580"/>
      <c r="BB115" s="580"/>
      <c r="BC115" s="580"/>
      <c r="BD115" s="580"/>
      <c r="BE115" s="580"/>
    </row>
    <row r="116" spans="1:57">
      <c r="A116" s="580"/>
      <c r="B116" s="616"/>
      <c r="C116" s="580"/>
      <c r="D116" s="616"/>
      <c r="E116" s="580"/>
      <c r="F116" s="580"/>
      <c r="G116" s="580"/>
      <c r="H116" s="580"/>
      <c r="I116" s="580"/>
      <c r="J116" s="580"/>
      <c r="K116" s="580"/>
      <c r="L116" s="580"/>
      <c r="M116" s="580"/>
      <c r="N116" s="580"/>
      <c r="O116" s="580"/>
      <c r="P116" s="580"/>
      <c r="Q116" s="580"/>
      <c r="R116" s="580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0"/>
      <c r="AD116" s="580"/>
      <c r="AE116" s="580"/>
      <c r="AF116" s="580"/>
      <c r="AG116" s="580"/>
      <c r="AH116" s="580"/>
      <c r="AI116" s="580"/>
      <c r="AJ116" s="580"/>
      <c r="AK116" s="580"/>
      <c r="AL116" s="580"/>
      <c r="AM116" s="580"/>
      <c r="AN116" s="580"/>
      <c r="AO116" s="580"/>
      <c r="AP116" s="580"/>
      <c r="AQ116" s="580"/>
      <c r="AR116" s="580"/>
      <c r="AS116" s="580"/>
      <c r="AT116" s="580"/>
      <c r="AU116" s="580"/>
      <c r="AV116" s="580"/>
      <c r="AW116" s="580"/>
      <c r="AX116" s="580"/>
      <c r="AY116" s="580"/>
      <c r="AZ116" s="580"/>
      <c r="BA116" s="580"/>
      <c r="BB116" s="580"/>
      <c r="BC116" s="580"/>
      <c r="BD116" s="580"/>
      <c r="BE116" s="580"/>
    </row>
    <row r="117" spans="1:57">
      <c r="A117" s="580"/>
      <c r="B117" s="616"/>
      <c r="C117" s="580"/>
      <c r="D117" s="616"/>
      <c r="E117" s="580"/>
      <c r="F117" s="580"/>
      <c r="G117" s="580"/>
      <c r="H117" s="580"/>
      <c r="I117" s="580"/>
      <c r="J117" s="580"/>
      <c r="K117" s="580"/>
      <c r="L117" s="580"/>
      <c r="M117" s="580"/>
      <c r="N117" s="580"/>
      <c r="O117" s="580"/>
      <c r="P117" s="580"/>
      <c r="Q117" s="580"/>
      <c r="R117" s="580"/>
      <c r="S117" s="580"/>
      <c r="T117" s="580"/>
      <c r="U117" s="580"/>
      <c r="V117" s="580"/>
      <c r="W117" s="580"/>
      <c r="X117" s="580"/>
      <c r="Y117" s="580"/>
      <c r="Z117" s="580"/>
      <c r="AA117" s="580"/>
      <c r="AB117" s="580"/>
      <c r="AC117" s="580"/>
      <c r="AD117" s="580"/>
      <c r="AE117" s="580"/>
      <c r="AF117" s="580"/>
      <c r="AG117" s="580"/>
      <c r="AH117" s="580"/>
      <c r="AI117" s="580"/>
      <c r="AJ117" s="580"/>
      <c r="AK117" s="580"/>
      <c r="AL117" s="580"/>
      <c r="AM117" s="580"/>
      <c r="AN117" s="580"/>
      <c r="AO117" s="580"/>
      <c r="AP117" s="580"/>
      <c r="AQ117" s="580"/>
      <c r="AR117" s="580"/>
      <c r="AS117" s="580"/>
      <c r="AT117" s="580"/>
      <c r="AU117" s="580"/>
      <c r="AV117" s="580"/>
      <c r="AW117" s="580"/>
      <c r="AX117" s="580"/>
      <c r="AY117" s="580"/>
      <c r="AZ117" s="580"/>
      <c r="BA117" s="580"/>
      <c r="BB117" s="580"/>
      <c r="BC117" s="580"/>
      <c r="BD117" s="580"/>
      <c r="BE117" s="580"/>
    </row>
    <row r="118" spans="1:57">
      <c r="A118" s="580"/>
      <c r="B118" s="616"/>
      <c r="C118" s="580"/>
      <c r="D118" s="616"/>
      <c r="E118" s="580"/>
      <c r="F118" s="580"/>
      <c r="G118" s="580"/>
      <c r="H118" s="580"/>
      <c r="I118" s="580"/>
      <c r="J118" s="580"/>
      <c r="K118" s="580"/>
      <c r="L118" s="580"/>
      <c r="M118" s="580"/>
      <c r="N118" s="580"/>
      <c r="O118" s="580"/>
      <c r="P118" s="580"/>
      <c r="Q118" s="580"/>
      <c r="R118" s="580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0"/>
      <c r="AD118" s="580"/>
      <c r="AE118" s="580"/>
      <c r="AF118" s="580"/>
      <c r="AG118" s="580"/>
      <c r="AH118" s="580"/>
      <c r="AI118" s="580"/>
      <c r="AJ118" s="580"/>
      <c r="AK118" s="580"/>
      <c r="AL118" s="580"/>
      <c r="AM118" s="580"/>
      <c r="AN118" s="580"/>
      <c r="AO118" s="580"/>
      <c r="AP118" s="580"/>
      <c r="AQ118" s="580"/>
      <c r="AR118" s="580"/>
      <c r="AS118" s="580"/>
      <c r="AT118" s="580"/>
      <c r="AU118" s="580"/>
      <c r="AV118" s="580"/>
      <c r="AW118" s="580"/>
      <c r="AX118" s="580"/>
      <c r="AY118" s="580"/>
      <c r="AZ118" s="580"/>
      <c r="BA118" s="580"/>
      <c r="BB118" s="580"/>
      <c r="BC118" s="580"/>
      <c r="BD118" s="580"/>
      <c r="BE118" s="580"/>
    </row>
    <row r="119" spans="1:57">
      <c r="A119" s="580"/>
      <c r="B119" s="616"/>
      <c r="C119" s="580"/>
      <c r="D119" s="616"/>
      <c r="E119" s="580"/>
      <c r="F119" s="580"/>
      <c r="G119" s="580"/>
      <c r="H119" s="580"/>
      <c r="I119" s="580"/>
      <c r="J119" s="580"/>
      <c r="K119" s="580"/>
      <c r="L119" s="580"/>
      <c r="M119" s="580"/>
      <c r="N119" s="580"/>
      <c r="O119" s="580"/>
      <c r="P119" s="580"/>
      <c r="Q119" s="580"/>
      <c r="R119" s="580"/>
      <c r="S119" s="580"/>
      <c r="T119" s="580"/>
      <c r="U119" s="580"/>
      <c r="V119" s="580"/>
      <c r="W119" s="580"/>
      <c r="X119" s="580"/>
      <c r="Y119" s="580"/>
      <c r="Z119" s="580"/>
      <c r="AA119" s="580"/>
      <c r="AB119" s="580"/>
      <c r="AC119" s="580"/>
      <c r="AD119" s="580"/>
      <c r="AE119" s="580"/>
      <c r="AF119" s="580"/>
      <c r="AG119" s="580"/>
      <c r="AH119" s="580"/>
      <c r="AI119" s="580"/>
      <c r="AJ119" s="580"/>
      <c r="AK119" s="580"/>
      <c r="AL119" s="580"/>
      <c r="AM119" s="580"/>
      <c r="AN119" s="580"/>
      <c r="AO119" s="580"/>
      <c r="AP119" s="580"/>
      <c r="AQ119" s="580"/>
      <c r="AR119" s="580"/>
      <c r="AS119" s="580"/>
      <c r="AT119" s="580"/>
      <c r="AU119" s="580"/>
      <c r="AV119" s="580"/>
      <c r="AW119" s="580"/>
      <c r="AX119" s="580"/>
      <c r="AY119" s="580"/>
      <c r="AZ119" s="580"/>
      <c r="BA119" s="580"/>
      <c r="BB119" s="580"/>
      <c r="BC119" s="580"/>
      <c r="BD119" s="580"/>
      <c r="BE119" s="580"/>
    </row>
    <row r="120" spans="1:57">
      <c r="A120" s="580"/>
      <c r="B120" s="616"/>
      <c r="C120" s="580"/>
      <c r="D120" s="616"/>
      <c r="E120" s="580"/>
      <c r="F120" s="580"/>
      <c r="G120" s="580"/>
      <c r="H120" s="580"/>
      <c r="I120" s="580"/>
      <c r="J120" s="580"/>
      <c r="K120" s="580"/>
      <c r="L120" s="580"/>
      <c r="M120" s="580"/>
      <c r="N120" s="580"/>
      <c r="O120" s="580"/>
      <c r="P120" s="580"/>
      <c r="Q120" s="580"/>
      <c r="R120" s="580"/>
      <c r="S120" s="580"/>
      <c r="T120" s="580"/>
      <c r="U120" s="580"/>
      <c r="V120" s="580"/>
      <c r="W120" s="580"/>
      <c r="X120" s="580"/>
      <c r="Y120" s="580"/>
      <c r="Z120" s="580"/>
      <c r="AA120" s="580"/>
      <c r="AB120" s="580"/>
      <c r="AC120" s="580"/>
      <c r="AD120" s="580"/>
      <c r="AE120" s="580"/>
      <c r="AF120" s="580"/>
      <c r="AG120" s="580"/>
      <c r="AH120" s="580"/>
      <c r="AI120" s="580"/>
      <c r="AJ120" s="580"/>
      <c r="AK120" s="580"/>
      <c r="AL120" s="580"/>
      <c r="AM120" s="580"/>
      <c r="AN120" s="580"/>
      <c r="AO120" s="580"/>
      <c r="AP120" s="580"/>
      <c r="AQ120" s="580"/>
      <c r="AR120" s="580"/>
      <c r="AS120" s="580"/>
      <c r="AT120" s="580"/>
      <c r="AU120" s="580"/>
      <c r="AV120" s="580"/>
      <c r="AW120" s="580"/>
      <c r="AX120" s="580"/>
      <c r="AY120" s="580"/>
      <c r="AZ120" s="580"/>
      <c r="BA120" s="580"/>
      <c r="BB120" s="580"/>
      <c r="BC120" s="580"/>
      <c r="BD120" s="580"/>
      <c r="BE120" s="580"/>
    </row>
    <row r="121" spans="1:57">
      <c r="A121" s="580"/>
      <c r="B121" s="616"/>
      <c r="C121" s="580"/>
      <c r="D121" s="616"/>
      <c r="E121" s="580"/>
      <c r="F121" s="580"/>
      <c r="G121" s="580"/>
      <c r="H121" s="580"/>
      <c r="I121" s="580"/>
      <c r="J121" s="580"/>
      <c r="K121" s="580"/>
      <c r="L121" s="580"/>
      <c r="M121" s="580"/>
      <c r="N121" s="580"/>
      <c r="O121" s="580"/>
      <c r="P121" s="580"/>
      <c r="Q121" s="580"/>
      <c r="R121" s="580"/>
      <c r="S121" s="580"/>
      <c r="T121" s="580"/>
      <c r="U121" s="580"/>
      <c r="V121" s="580"/>
      <c r="W121" s="580"/>
      <c r="X121" s="580"/>
      <c r="Y121" s="580"/>
      <c r="Z121" s="580"/>
      <c r="AA121" s="580"/>
      <c r="AB121" s="580"/>
      <c r="AC121" s="580"/>
      <c r="AD121" s="580"/>
      <c r="AE121" s="580"/>
      <c r="AF121" s="580"/>
      <c r="AG121" s="580"/>
      <c r="AH121" s="580"/>
      <c r="AI121" s="580"/>
      <c r="AJ121" s="580"/>
      <c r="AK121" s="580"/>
      <c r="AL121" s="580"/>
      <c r="AM121" s="580"/>
      <c r="AN121" s="580"/>
      <c r="AO121" s="580"/>
      <c r="AP121" s="580"/>
      <c r="AQ121" s="580"/>
      <c r="AR121" s="580"/>
      <c r="AS121" s="580"/>
      <c r="AT121" s="580"/>
      <c r="AU121" s="580"/>
      <c r="AV121" s="580"/>
      <c r="AW121" s="580"/>
      <c r="AX121" s="580"/>
      <c r="AY121" s="580"/>
      <c r="AZ121" s="580"/>
      <c r="BA121" s="580"/>
      <c r="BB121" s="580"/>
      <c r="BC121" s="580"/>
      <c r="BD121" s="580"/>
      <c r="BE121" s="580"/>
    </row>
    <row r="122" spans="1:57">
      <c r="A122" s="580"/>
      <c r="B122" s="616"/>
      <c r="C122" s="580"/>
      <c r="D122" s="616"/>
      <c r="E122" s="580"/>
      <c r="F122" s="580"/>
      <c r="G122" s="580"/>
      <c r="H122" s="580"/>
      <c r="I122" s="580"/>
      <c r="J122" s="580"/>
      <c r="K122" s="580"/>
      <c r="L122" s="580"/>
      <c r="M122" s="580"/>
      <c r="N122" s="580"/>
      <c r="O122" s="580"/>
      <c r="P122" s="580"/>
      <c r="Q122" s="580"/>
      <c r="R122" s="580"/>
      <c r="S122" s="580"/>
      <c r="T122" s="580"/>
      <c r="U122" s="580"/>
      <c r="V122" s="580"/>
      <c r="W122" s="580"/>
      <c r="X122" s="580"/>
      <c r="Y122" s="580"/>
      <c r="Z122" s="580"/>
      <c r="AA122" s="580"/>
      <c r="AB122" s="580"/>
      <c r="AC122" s="580"/>
      <c r="AD122" s="580"/>
      <c r="AE122" s="580"/>
      <c r="AF122" s="580"/>
      <c r="AG122" s="580"/>
      <c r="AH122" s="580"/>
      <c r="AI122" s="580"/>
      <c r="AJ122" s="580"/>
      <c r="AK122" s="580"/>
      <c r="AL122" s="580"/>
      <c r="AM122" s="580"/>
      <c r="AN122" s="580"/>
      <c r="AO122" s="580"/>
      <c r="AP122" s="580"/>
      <c r="AQ122" s="580"/>
      <c r="AR122" s="580"/>
      <c r="AS122" s="580"/>
      <c r="AT122" s="580"/>
      <c r="AU122" s="580"/>
      <c r="AV122" s="580"/>
      <c r="AW122" s="580"/>
      <c r="AX122" s="580"/>
      <c r="AY122" s="580"/>
      <c r="AZ122" s="580"/>
      <c r="BA122" s="580"/>
      <c r="BB122" s="580"/>
      <c r="BC122" s="580"/>
      <c r="BD122" s="580"/>
      <c r="BE122" s="580"/>
    </row>
    <row r="123" spans="1:57">
      <c r="A123" s="580"/>
      <c r="B123" s="616"/>
      <c r="C123" s="580"/>
      <c r="D123" s="616"/>
      <c r="E123" s="580"/>
      <c r="F123" s="580"/>
      <c r="G123" s="580"/>
      <c r="H123" s="580"/>
      <c r="I123" s="580"/>
      <c r="J123" s="580"/>
      <c r="K123" s="580"/>
      <c r="L123" s="580"/>
      <c r="M123" s="580"/>
      <c r="N123" s="580"/>
      <c r="O123" s="580"/>
      <c r="P123" s="580"/>
      <c r="Q123" s="580"/>
      <c r="R123" s="580"/>
      <c r="S123" s="580"/>
      <c r="T123" s="580"/>
      <c r="U123" s="580"/>
      <c r="V123" s="580"/>
      <c r="W123" s="580"/>
      <c r="X123" s="580"/>
      <c r="Y123" s="580"/>
      <c r="Z123" s="580"/>
      <c r="AA123" s="580"/>
      <c r="AB123" s="580"/>
      <c r="AC123" s="580"/>
      <c r="AD123" s="580"/>
      <c r="AE123" s="580"/>
      <c r="AF123" s="580"/>
      <c r="AG123" s="580"/>
      <c r="AH123" s="580"/>
      <c r="AI123" s="580"/>
      <c r="AJ123" s="580"/>
      <c r="AK123" s="580"/>
      <c r="AL123" s="580"/>
      <c r="AM123" s="580"/>
      <c r="AN123" s="580"/>
      <c r="AO123" s="580"/>
      <c r="AP123" s="580"/>
      <c r="AQ123" s="580"/>
      <c r="AR123" s="580"/>
      <c r="AS123" s="580"/>
      <c r="AT123" s="580"/>
      <c r="AU123" s="580"/>
      <c r="AV123" s="580"/>
      <c r="AW123" s="580"/>
      <c r="AX123" s="580"/>
      <c r="AY123" s="580"/>
      <c r="AZ123" s="580"/>
      <c r="BA123" s="580"/>
      <c r="BB123" s="580"/>
      <c r="BC123" s="580"/>
      <c r="BD123" s="580"/>
      <c r="BE123" s="580"/>
    </row>
    <row r="124" spans="1:57">
      <c r="A124" s="580"/>
      <c r="B124" s="616"/>
      <c r="C124" s="580"/>
      <c r="D124" s="616"/>
      <c r="E124" s="580"/>
      <c r="F124" s="580"/>
      <c r="G124" s="580"/>
      <c r="H124" s="580"/>
      <c r="I124" s="580"/>
      <c r="J124" s="580"/>
      <c r="K124" s="580"/>
      <c r="L124" s="580"/>
      <c r="M124" s="580"/>
      <c r="N124" s="580"/>
      <c r="O124" s="580"/>
      <c r="P124" s="580"/>
      <c r="Q124" s="580"/>
      <c r="R124" s="580"/>
      <c r="S124" s="580"/>
      <c r="T124" s="580"/>
      <c r="U124" s="580"/>
      <c r="V124" s="580"/>
      <c r="W124" s="580"/>
      <c r="X124" s="580"/>
      <c r="Y124" s="580"/>
      <c r="Z124" s="580"/>
      <c r="AA124" s="580"/>
      <c r="AB124" s="580"/>
      <c r="AC124" s="580"/>
      <c r="AD124" s="580"/>
      <c r="AE124" s="580"/>
      <c r="AF124" s="580"/>
      <c r="AG124" s="580"/>
      <c r="AH124" s="580"/>
      <c r="AI124" s="580"/>
      <c r="AJ124" s="580"/>
      <c r="AK124" s="580"/>
      <c r="AL124" s="580"/>
      <c r="AM124" s="580"/>
      <c r="AN124" s="580"/>
      <c r="AO124" s="580"/>
      <c r="AP124" s="580"/>
      <c r="AQ124" s="580"/>
      <c r="AR124" s="580"/>
      <c r="AS124" s="580"/>
      <c r="AT124" s="580"/>
      <c r="AU124" s="580"/>
      <c r="AV124" s="580"/>
      <c r="AW124" s="580"/>
      <c r="AX124" s="580"/>
      <c r="AY124" s="580"/>
      <c r="AZ124" s="580"/>
      <c r="BA124" s="580"/>
      <c r="BB124" s="580"/>
      <c r="BC124" s="580"/>
      <c r="BD124" s="580"/>
      <c r="BE124" s="580"/>
    </row>
    <row r="125" spans="1:57">
      <c r="A125" s="580"/>
      <c r="B125" s="616"/>
      <c r="C125" s="580"/>
      <c r="D125" s="616"/>
      <c r="E125" s="580"/>
      <c r="F125" s="580"/>
      <c r="G125" s="580"/>
      <c r="H125" s="580"/>
      <c r="I125" s="580"/>
      <c r="J125" s="580"/>
      <c r="K125" s="580"/>
      <c r="L125" s="580"/>
      <c r="M125" s="580"/>
      <c r="N125" s="580"/>
      <c r="O125" s="580"/>
      <c r="P125" s="580"/>
      <c r="Q125" s="580"/>
      <c r="R125" s="580"/>
      <c r="S125" s="580"/>
      <c r="T125" s="580"/>
      <c r="U125" s="580"/>
      <c r="V125" s="580"/>
      <c r="W125" s="580"/>
      <c r="X125" s="580"/>
      <c r="Y125" s="580"/>
      <c r="Z125" s="580"/>
      <c r="AA125" s="580"/>
      <c r="AB125" s="580"/>
      <c r="AC125" s="580"/>
      <c r="AD125" s="580"/>
      <c r="AE125" s="580"/>
      <c r="AF125" s="580"/>
      <c r="AG125" s="580"/>
      <c r="AH125" s="580"/>
      <c r="AI125" s="580"/>
      <c r="AJ125" s="580"/>
      <c r="AK125" s="580"/>
      <c r="AL125" s="580"/>
      <c r="AM125" s="580"/>
      <c r="AN125" s="580"/>
      <c r="AO125" s="580"/>
      <c r="AP125" s="580"/>
      <c r="AQ125" s="580"/>
      <c r="AR125" s="580"/>
      <c r="AS125" s="580"/>
      <c r="AT125" s="580"/>
      <c r="AU125" s="580"/>
      <c r="AV125" s="580"/>
      <c r="AW125" s="580"/>
      <c r="AX125" s="580"/>
      <c r="AY125" s="580"/>
      <c r="AZ125" s="580"/>
      <c r="BA125" s="580"/>
      <c r="BB125" s="580"/>
      <c r="BC125" s="580"/>
      <c r="BD125" s="580"/>
      <c r="BE125" s="580"/>
    </row>
    <row r="126" spans="1:57">
      <c r="A126" s="580"/>
      <c r="B126" s="616"/>
      <c r="C126" s="580"/>
      <c r="D126" s="616"/>
      <c r="E126" s="580"/>
      <c r="F126" s="580"/>
      <c r="G126" s="580"/>
      <c r="H126" s="580"/>
      <c r="I126" s="580"/>
      <c r="J126" s="580"/>
      <c r="K126" s="580"/>
      <c r="L126" s="580"/>
      <c r="M126" s="580"/>
      <c r="N126" s="580"/>
      <c r="O126" s="580"/>
      <c r="P126" s="580"/>
      <c r="Q126" s="580"/>
      <c r="R126" s="580"/>
      <c r="S126" s="580"/>
      <c r="T126" s="580"/>
      <c r="U126" s="580"/>
      <c r="V126" s="580"/>
      <c r="W126" s="580"/>
      <c r="X126" s="580"/>
      <c r="Y126" s="580"/>
      <c r="Z126" s="580"/>
      <c r="AA126" s="580"/>
      <c r="AB126" s="580"/>
      <c r="AC126" s="580"/>
      <c r="AD126" s="580"/>
      <c r="AE126" s="580"/>
      <c r="AF126" s="580"/>
      <c r="AG126" s="580"/>
      <c r="AH126" s="580"/>
      <c r="AI126" s="580"/>
      <c r="AJ126" s="580"/>
      <c r="AK126" s="580"/>
      <c r="AL126" s="580"/>
      <c r="AM126" s="580"/>
      <c r="AN126" s="580"/>
      <c r="AO126" s="580"/>
      <c r="AP126" s="580"/>
      <c r="AQ126" s="580"/>
      <c r="AR126" s="580"/>
      <c r="AS126" s="580"/>
      <c r="AT126" s="580"/>
      <c r="AU126" s="580"/>
      <c r="AV126" s="580"/>
      <c r="AW126" s="580"/>
      <c r="AX126" s="580"/>
      <c r="AY126" s="580"/>
      <c r="AZ126" s="580"/>
      <c r="BA126" s="580"/>
      <c r="BB126" s="580"/>
      <c r="BC126" s="580"/>
      <c r="BD126" s="580"/>
      <c r="BE126" s="580"/>
    </row>
    <row r="127" spans="1:57">
      <c r="A127" s="580"/>
      <c r="B127" s="616"/>
      <c r="C127" s="580"/>
      <c r="D127" s="616"/>
      <c r="E127" s="580"/>
      <c r="F127" s="580"/>
      <c r="G127" s="580"/>
      <c r="H127" s="580"/>
      <c r="I127" s="580"/>
      <c r="J127" s="580"/>
      <c r="K127" s="580"/>
      <c r="L127" s="580"/>
      <c r="M127" s="580"/>
      <c r="N127" s="580"/>
      <c r="O127" s="580"/>
      <c r="P127" s="580"/>
      <c r="Q127" s="580"/>
      <c r="R127" s="580"/>
      <c r="S127" s="580"/>
      <c r="T127" s="580"/>
      <c r="U127" s="580"/>
      <c r="V127" s="580"/>
      <c r="W127" s="580"/>
      <c r="X127" s="580"/>
      <c r="Y127" s="580"/>
      <c r="Z127" s="580"/>
      <c r="AA127" s="580"/>
      <c r="AB127" s="580"/>
      <c r="AC127" s="580"/>
      <c r="AD127" s="580"/>
      <c r="AE127" s="580"/>
      <c r="AF127" s="580"/>
      <c r="AG127" s="580"/>
      <c r="AH127" s="580"/>
      <c r="AI127" s="580"/>
      <c r="AJ127" s="580"/>
      <c r="AK127" s="580"/>
      <c r="AL127" s="580"/>
      <c r="AM127" s="580"/>
      <c r="AN127" s="580"/>
      <c r="AO127" s="580"/>
      <c r="AP127" s="580"/>
      <c r="AQ127" s="580"/>
      <c r="AR127" s="580"/>
      <c r="AS127" s="580"/>
      <c r="AT127" s="580"/>
      <c r="AU127" s="580"/>
      <c r="AV127" s="580"/>
      <c r="AW127" s="580"/>
      <c r="AX127" s="580"/>
      <c r="AY127" s="580"/>
      <c r="AZ127" s="580"/>
      <c r="BA127" s="580"/>
      <c r="BB127" s="580"/>
      <c r="BC127" s="580"/>
      <c r="BD127" s="580"/>
      <c r="BE127" s="580"/>
    </row>
    <row r="128" spans="1:57">
      <c r="A128" s="580"/>
      <c r="B128" s="616"/>
      <c r="C128" s="580"/>
      <c r="D128" s="616"/>
      <c r="E128" s="580"/>
      <c r="F128" s="580"/>
      <c r="G128" s="580"/>
      <c r="H128" s="580"/>
      <c r="I128" s="580"/>
      <c r="J128" s="580"/>
      <c r="K128" s="580"/>
      <c r="L128" s="580"/>
      <c r="M128" s="580"/>
      <c r="N128" s="580"/>
      <c r="O128" s="580"/>
      <c r="P128" s="580"/>
      <c r="Q128" s="580"/>
      <c r="R128" s="580"/>
      <c r="S128" s="580"/>
      <c r="T128" s="580"/>
      <c r="U128" s="580"/>
      <c r="V128" s="580"/>
      <c r="W128" s="580"/>
      <c r="X128" s="580"/>
      <c r="Y128" s="580"/>
      <c r="Z128" s="580"/>
      <c r="AA128" s="580"/>
      <c r="AB128" s="580"/>
      <c r="AC128" s="580"/>
      <c r="AD128" s="580"/>
      <c r="AE128" s="580"/>
      <c r="AF128" s="580"/>
      <c r="AG128" s="580"/>
      <c r="AH128" s="580"/>
      <c r="AI128" s="580"/>
      <c r="AJ128" s="580"/>
      <c r="AK128" s="580"/>
      <c r="AL128" s="580"/>
      <c r="AM128" s="580"/>
      <c r="AN128" s="580"/>
      <c r="AO128" s="580"/>
      <c r="AP128" s="580"/>
      <c r="AQ128" s="580"/>
      <c r="AR128" s="580"/>
      <c r="AS128" s="580"/>
      <c r="AT128" s="580"/>
      <c r="AU128" s="580"/>
      <c r="AV128" s="580"/>
      <c r="AW128" s="580"/>
      <c r="AX128" s="580"/>
      <c r="AY128" s="580"/>
      <c r="AZ128" s="580"/>
      <c r="BA128" s="580"/>
      <c r="BB128" s="580"/>
      <c r="BC128" s="580"/>
      <c r="BD128" s="580"/>
      <c r="BE128" s="580"/>
    </row>
    <row r="129" spans="1:57">
      <c r="A129" s="580"/>
      <c r="B129" s="616"/>
      <c r="C129" s="580"/>
      <c r="D129" s="616"/>
      <c r="E129" s="580"/>
      <c r="F129" s="580"/>
      <c r="G129" s="580"/>
      <c r="H129" s="580"/>
      <c r="I129" s="580"/>
      <c r="J129" s="580"/>
      <c r="K129" s="580"/>
      <c r="L129" s="580"/>
      <c r="M129" s="580"/>
      <c r="N129" s="580"/>
      <c r="O129" s="580"/>
      <c r="P129" s="580"/>
      <c r="Q129" s="580"/>
      <c r="R129" s="580"/>
      <c r="S129" s="580"/>
      <c r="T129" s="580"/>
      <c r="U129" s="580"/>
      <c r="V129" s="580"/>
      <c r="W129" s="580"/>
      <c r="X129" s="580"/>
      <c r="Y129" s="580"/>
      <c r="Z129" s="580"/>
      <c r="AA129" s="580"/>
      <c r="AB129" s="580"/>
      <c r="AC129" s="580"/>
      <c r="AD129" s="580"/>
      <c r="AE129" s="580"/>
      <c r="AF129" s="580"/>
      <c r="AG129" s="580"/>
      <c r="AH129" s="580"/>
      <c r="AI129" s="580"/>
      <c r="AJ129" s="580"/>
      <c r="AK129" s="580"/>
      <c r="AL129" s="580"/>
      <c r="AM129" s="580"/>
      <c r="AN129" s="580"/>
      <c r="AO129" s="580"/>
      <c r="AP129" s="580"/>
      <c r="AQ129" s="580"/>
      <c r="AR129" s="580"/>
      <c r="AS129" s="580"/>
      <c r="AT129" s="580"/>
      <c r="AU129" s="580"/>
      <c r="AV129" s="580"/>
      <c r="AW129" s="580"/>
      <c r="AX129" s="580"/>
      <c r="AY129" s="580"/>
      <c r="AZ129" s="580"/>
      <c r="BA129" s="580"/>
      <c r="BB129" s="580"/>
      <c r="BC129" s="580"/>
      <c r="BD129" s="580"/>
      <c r="BE129" s="580"/>
    </row>
    <row r="130" spans="1:57">
      <c r="A130" s="580"/>
      <c r="B130" s="616"/>
      <c r="C130" s="580"/>
      <c r="D130" s="616"/>
      <c r="E130" s="580"/>
      <c r="F130" s="580"/>
      <c r="G130" s="580"/>
      <c r="H130" s="580"/>
      <c r="I130" s="580"/>
      <c r="J130" s="580"/>
      <c r="K130" s="580"/>
      <c r="L130" s="580"/>
      <c r="M130" s="580"/>
      <c r="N130" s="580"/>
      <c r="O130" s="580"/>
      <c r="P130" s="580"/>
      <c r="Q130" s="580"/>
      <c r="R130" s="580"/>
      <c r="S130" s="580"/>
      <c r="T130" s="580"/>
      <c r="U130" s="580"/>
      <c r="V130" s="580"/>
      <c r="W130" s="580"/>
      <c r="X130" s="580"/>
      <c r="Y130" s="580"/>
      <c r="Z130" s="580"/>
      <c r="AA130" s="580"/>
      <c r="AB130" s="580"/>
      <c r="AC130" s="580"/>
      <c r="AD130" s="580"/>
      <c r="AE130" s="580"/>
      <c r="AF130" s="580"/>
      <c r="AG130" s="580"/>
      <c r="AH130" s="580"/>
      <c r="AI130" s="580"/>
      <c r="AJ130" s="580"/>
      <c r="AK130" s="580"/>
      <c r="AL130" s="580"/>
      <c r="AM130" s="580"/>
      <c r="AN130" s="580"/>
      <c r="AO130" s="580"/>
      <c r="AP130" s="580"/>
      <c r="AQ130" s="580"/>
      <c r="AR130" s="580"/>
      <c r="AS130" s="580"/>
      <c r="AT130" s="580"/>
      <c r="AU130" s="580"/>
      <c r="AV130" s="580"/>
      <c r="AW130" s="580"/>
      <c r="AX130" s="580"/>
      <c r="AY130" s="580"/>
      <c r="AZ130" s="580"/>
      <c r="BA130" s="580"/>
      <c r="BB130" s="580"/>
      <c r="BC130" s="580"/>
      <c r="BD130" s="580"/>
      <c r="BE130" s="580"/>
    </row>
    <row r="131" spans="1:57">
      <c r="A131" s="580"/>
      <c r="B131" s="616"/>
      <c r="C131" s="580"/>
      <c r="D131" s="616"/>
      <c r="E131" s="580"/>
      <c r="F131" s="580"/>
      <c r="G131" s="580"/>
      <c r="H131" s="580"/>
      <c r="I131" s="580"/>
      <c r="J131" s="580"/>
      <c r="K131" s="580"/>
      <c r="L131" s="580"/>
      <c r="M131" s="580"/>
      <c r="N131" s="580"/>
      <c r="O131" s="580"/>
      <c r="P131" s="580"/>
      <c r="Q131" s="580"/>
      <c r="R131" s="580"/>
      <c r="S131" s="580"/>
      <c r="T131" s="580"/>
      <c r="U131" s="580"/>
      <c r="V131" s="580"/>
      <c r="W131" s="580"/>
      <c r="X131" s="580"/>
      <c r="Y131" s="580"/>
      <c r="Z131" s="580"/>
      <c r="AA131" s="580"/>
      <c r="AB131" s="580"/>
      <c r="AC131" s="580"/>
      <c r="AD131" s="580"/>
      <c r="AE131" s="580"/>
      <c r="AF131" s="580"/>
      <c r="AG131" s="580"/>
      <c r="AH131" s="580"/>
      <c r="AI131" s="580"/>
      <c r="AJ131" s="580"/>
      <c r="AK131" s="580"/>
      <c r="AL131" s="580"/>
      <c r="AM131" s="580"/>
      <c r="AN131" s="580"/>
      <c r="AO131" s="580"/>
      <c r="AP131" s="580"/>
      <c r="AQ131" s="580"/>
      <c r="AR131" s="580"/>
      <c r="AS131" s="580"/>
      <c r="AT131" s="580"/>
      <c r="AU131" s="580"/>
      <c r="AV131" s="580"/>
      <c r="AW131" s="580"/>
      <c r="AX131" s="580"/>
      <c r="AY131" s="580"/>
      <c r="AZ131" s="580"/>
      <c r="BA131" s="580"/>
      <c r="BB131" s="580"/>
      <c r="BC131" s="580"/>
      <c r="BD131" s="580"/>
      <c r="BE131" s="580"/>
    </row>
    <row r="132" spans="1:57">
      <c r="A132" s="580"/>
      <c r="B132" s="616"/>
      <c r="C132" s="580"/>
      <c r="D132" s="616"/>
      <c r="E132" s="580"/>
      <c r="F132" s="580"/>
      <c r="G132" s="580"/>
      <c r="H132" s="580"/>
      <c r="I132" s="580"/>
      <c r="J132" s="580"/>
      <c r="K132" s="580"/>
      <c r="L132" s="580"/>
      <c r="M132" s="580"/>
      <c r="N132" s="580"/>
      <c r="O132" s="580"/>
      <c r="P132" s="580"/>
      <c r="Q132" s="580"/>
      <c r="R132" s="580"/>
      <c r="S132" s="580"/>
      <c r="T132" s="580"/>
      <c r="U132" s="580"/>
      <c r="V132" s="580"/>
      <c r="W132" s="580"/>
      <c r="X132" s="580"/>
      <c r="Y132" s="580"/>
      <c r="Z132" s="580"/>
      <c r="AA132" s="580"/>
      <c r="AB132" s="580"/>
      <c r="AC132" s="580"/>
      <c r="AD132" s="580"/>
      <c r="AE132" s="580"/>
      <c r="AF132" s="580"/>
      <c r="AG132" s="580"/>
      <c r="AH132" s="580"/>
      <c r="AI132" s="580"/>
      <c r="AJ132" s="580"/>
      <c r="AK132" s="580"/>
      <c r="AL132" s="580"/>
      <c r="AM132" s="580"/>
      <c r="AN132" s="580"/>
      <c r="AO132" s="580"/>
      <c r="AP132" s="580"/>
      <c r="AQ132" s="580"/>
      <c r="AR132" s="580"/>
      <c r="AS132" s="580"/>
      <c r="AT132" s="580"/>
      <c r="AU132" s="580"/>
      <c r="AV132" s="580"/>
      <c r="AW132" s="580"/>
      <c r="AX132" s="580"/>
      <c r="AY132" s="580"/>
      <c r="AZ132" s="580"/>
      <c r="BA132" s="580"/>
      <c r="BB132" s="580"/>
      <c r="BC132" s="580"/>
      <c r="BD132" s="580"/>
      <c r="BE132" s="580"/>
    </row>
    <row r="133" spans="1:57">
      <c r="A133" s="580"/>
      <c r="B133" s="616"/>
      <c r="C133" s="580"/>
      <c r="D133" s="616"/>
      <c r="E133" s="580"/>
      <c r="F133" s="580"/>
      <c r="G133" s="580"/>
      <c r="H133" s="580"/>
      <c r="I133" s="580"/>
      <c r="J133" s="580"/>
      <c r="K133" s="580"/>
      <c r="L133" s="580"/>
      <c r="M133" s="580"/>
      <c r="N133" s="580"/>
      <c r="O133" s="580"/>
      <c r="P133" s="580"/>
      <c r="Q133" s="580"/>
      <c r="R133" s="580"/>
      <c r="S133" s="580"/>
      <c r="T133" s="580"/>
      <c r="U133" s="580"/>
      <c r="V133" s="580"/>
      <c r="W133" s="580"/>
      <c r="X133" s="580"/>
      <c r="Y133" s="580"/>
      <c r="Z133" s="580"/>
      <c r="AA133" s="580"/>
      <c r="AB133" s="580"/>
      <c r="AC133" s="580"/>
      <c r="AD133" s="580"/>
      <c r="AE133" s="580"/>
      <c r="AF133" s="580"/>
      <c r="AG133" s="580"/>
      <c r="AH133" s="580"/>
      <c r="AI133" s="580"/>
      <c r="AJ133" s="580"/>
      <c r="AK133" s="580"/>
      <c r="AL133" s="580"/>
      <c r="AM133" s="580"/>
      <c r="AN133" s="580"/>
      <c r="AO133" s="580"/>
      <c r="AP133" s="580"/>
      <c r="AQ133" s="580"/>
      <c r="AR133" s="580"/>
      <c r="AS133" s="580"/>
      <c r="AT133" s="580"/>
      <c r="AU133" s="580"/>
      <c r="AV133" s="580"/>
      <c r="AW133" s="580"/>
      <c r="AX133" s="580"/>
      <c r="AY133" s="580"/>
      <c r="AZ133" s="580"/>
      <c r="BA133" s="580"/>
      <c r="BB133" s="580"/>
      <c r="BC133" s="580"/>
      <c r="BD133" s="580"/>
      <c r="BE133" s="580"/>
    </row>
    <row r="134" spans="1:57">
      <c r="A134" s="580"/>
      <c r="B134" s="616"/>
      <c r="C134" s="580"/>
      <c r="D134" s="616"/>
      <c r="E134" s="580"/>
      <c r="F134" s="580"/>
      <c r="G134" s="580"/>
      <c r="H134" s="580"/>
      <c r="I134" s="580"/>
      <c r="J134" s="580"/>
      <c r="K134" s="580"/>
      <c r="L134" s="580"/>
      <c r="M134" s="580"/>
      <c r="N134" s="580"/>
      <c r="O134" s="580"/>
      <c r="P134" s="580"/>
      <c r="Q134" s="580"/>
      <c r="R134" s="580"/>
      <c r="S134" s="580"/>
      <c r="T134" s="580"/>
      <c r="U134" s="580"/>
      <c r="V134" s="580"/>
      <c r="W134" s="580"/>
      <c r="X134" s="580"/>
      <c r="Y134" s="580"/>
      <c r="Z134" s="580"/>
      <c r="AA134" s="580"/>
      <c r="AB134" s="580"/>
      <c r="AC134" s="580"/>
      <c r="AD134" s="580"/>
      <c r="AE134" s="580"/>
      <c r="AF134" s="580"/>
      <c r="AG134" s="580"/>
      <c r="AH134" s="580"/>
      <c r="AI134" s="580"/>
      <c r="AJ134" s="580"/>
      <c r="AK134" s="580"/>
      <c r="AL134" s="580"/>
      <c r="AM134" s="580"/>
      <c r="AN134" s="580"/>
      <c r="AO134" s="580"/>
      <c r="AP134" s="580"/>
      <c r="AQ134" s="580"/>
      <c r="AR134" s="580"/>
      <c r="AS134" s="580"/>
      <c r="AT134" s="580"/>
      <c r="AU134" s="580"/>
      <c r="AV134" s="580"/>
      <c r="AW134" s="580"/>
      <c r="AX134" s="580"/>
      <c r="AY134" s="580"/>
      <c r="AZ134" s="580"/>
      <c r="BA134" s="580"/>
      <c r="BB134" s="580"/>
      <c r="BC134" s="580"/>
      <c r="BD134" s="580"/>
      <c r="BE134" s="580"/>
    </row>
    <row r="135" spans="1:57">
      <c r="A135" s="580"/>
      <c r="B135" s="616"/>
      <c r="C135" s="580"/>
      <c r="D135" s="616"/>
      <c r="E135" s="580"/>
      <c r="F135" s="580"/>
      <c r="G135" s="580"/>
      <c r="H135" s="580"/>
      <c r="I135" s="580"/>
      <c r="J135" s="580"/>
      <c r="K135" s="580"/>
      <c r="L135" s="580"/>
      <c r="M135" s="580"/>
      <c r="N135" s="580"/>
      <c r="O135" s="580"/>
      <c r="P135" s="580"/>
      <c r="Q135" s="580"/>
      <c r="R135" s="580"/>
      <c r="S135" s="580"/>
      <c r="T135" s="580"/>
      <c r="U135" s="580"/>
      <c r="V135" s="580"/>
      <c r="W135" s="580"/>
      <c r="X135" s="580"/>
      <c r="Y135" s="580"/>
      <c r="Z135" s="580"/>
      <c r="AA135" s="580"/>
      <c r="AB135" s="580"/>
      <c r="AC135" s="580"/>
      <c r="AD135" s="580"/>
      <c r="AE135" s="580"/>
      <c r="AF135" s="580"/>
      <c r="AG135" s="580"/>
      <c r="AH135" s="580"/>
      <c r="AI135" s="580"/>
      <c r="AJ135" s="580"/>
      <c r="AK135" s="580"/>
      <c r="AL135" s="580"/>
      <c r="AM135" s="580"/>
      <c r="AN135" s="580"/>
      <c r="AO135" s="580"/>
      <c r="AP135" s="580"/>
      <c r="AQ135" s="580"/>
      <c r="AR135" s="580"/>
      <c r="AS135" s="580"/>
      <c r="AT135" s="580"/>
      <c r="AU135" s="580"/>
      <c r="AV135" s="580"/>
      <c r="AW135" s="580"/>
      <c r="AX135" s="580"/>
      <c r="AY135" s="580"/>
      <c r="AZ135" s="580"/>
      <c r="BA135" s="580"/>
      <c r="BB135" s="580"/>
      <c r="BC135" s="580"/>
      <c r="BD135" s="580"/>
      <c r="BE135" s="580"/>
    </row>
    <row r="136" spans="1:57">
      <c r="A136" s="580"/>
      <c r="B136" s="616"/>
      <c r="C136" s="580"/>
      <c r="D136" s="616"/>
      <c r="E136" s="580"/>
      <c r="F136" s="580"/>
      <c r="G136" s="580"/>
      <c r="H136" s="580"/>
      <c r="I136" s="580"/>
      <c r="J136" s="580"/>
      <c r="K136" s="580"/>
      <c r="L136" s="580"/>
      <c r="M136" s="580"/>
      <c r="N136" s="580"/>
      <c r="O136" s="580"/>
      <c r="P136" s="580"/>
      <c r="Q136" s="580"/>
      <c r="R136" s="580"/>
      <c r="S136" s="580"/>
      <c r="T136" s="580"/>
      <c r="U136" s="580"/>
      <c r="V136" s="580"/>
      <c r="W136" s="580"/>
      <c r="X136" s="580"/>
      <c r="Y136" s="580"/>
      <c r="Z136" s="580"/>
      <c r="AA136" s="580"/>
      <c r="AB136" s="580"/>
      <c r="AC136" s="580"/>
      <c r="AD136" s="580"/>
      <c r="AE136" s="580"/>
      <c r="AF136" s="580"/>
      <c r="AG136" s="580"/>
      <c r="AH136" s="580"/>
      <c r="AI136" s="580"/>
      <c r="AJ136" s="580"/>
      <c r="AK136" s="580"/>
      <c r="AL136" s="580"/>
      <c r="AM136" s="580"/>
      <c r="AN136" s="580"/>
      <c r="AO136" s="580"/>
      <c r="AP136" s="580"/>
      <c r="AQ136" s="580"/>
      <c r="AR136" s="580"/>
      <c r="AS136" s="580"/>
      <c r="AT136" s="580"/>
      <c r="AU136" s="580"/>
      <c r="AV136" s="580"/>
      <c r="AW136" s="580"/>
      <c r="AX136" s="580"/>
      <c r="AY136" s="580"/>
      <c r="AZ136" s="580"/>
      <c r="BA136" s="580"/>
      <c r="BB136" s="580"/>
      <c r="BC136" s="580"/>
      <c r="BD136" s="580"/>
      <c r="BE136" s="580"/>
    </row>
    <row r="137" spans="1:57">
      <c r="A137" s="580"/>
      <c r="B137" s="616"/>
      <c r="C137" s="580"/>
      <c r="D137" s="616"/>
      <c r="E137" s="580"/>
      <c r="F137" s="580"/>
      <c r="G137" s="580"/>
      <c r="H137" s="580"/>
      <c r="I137" s="580"/>
      <c r="J137" s="580"/>
      <c r="K137" s="580"/>
      <c r="L137" s="580"/>
      <c r="M137" s="580"/>
      <c r="N137" s="580"/>
      <c r="O137" s="580"/>
      <c r="P137" s="580"/>
      <c r="Q137" s="580"/>
      <c r="R137" s="580"/>
      <c r="S137" s="580"/>
      <c r="T137" s="580"/>
      <c r="U137" s="580"/>
      <c r="V137" s="580"/>
      <c r="W137" s="580"/>
      <c r="X137" s="580"/>
      <c r="Y137" s="580"/>
      <c r="Z137" s="580"/>
      <c r="AA137" s="580"/>
      <c r="AB137" s="580"/>
      <c r="AC137" s="580"/>
      <c r="AD137" s="580"/>
      <c r="AE137" s="580"/>
      <c r="AF137" s="580"/>
      <c r="AG137" s="580"/>
      <c r="AH137" s="580"/>
      <c r="AI137" s="580"/>
      <c r="AJ137" s="580"/>
      <c r="AK137" s="580"/>
      <c r="AL137" s="580"/>
      <c r="AM137" s="580"/>
      <c r="AN137" s="580"/>
      <c r="AO137" s="580"/>
      <c r="AP137" s="580"/>
      <c r="AQ137" s="580"/>
      <c r="AR137" s="580"/>
      <c r="AS137" s="580"/>
      <c r="AT137" s="580"/>
      <c r="AU137" s="580"/>
      <c r="AV137" s="580"/>
      <c r="AW137" s="580"/>
      <c r="AX137" s="580"/>
      <c r="AY137" s="580"/>
      <c r="AZ137" s="580"/>
      <c r="BA137" s="580"/>
      <c r="BB137" s="580"/>
      <c r="BC137" s="580"/>
      <c r="BD137" s="580"/>
      <c r="BE137" s="580"/>
    </row>
    <row r="138" spans="1:57">
      <c r="A138" s="580"/>
      <c r="B138" s="616"/>
      <c r="C138" s="580"/>
      <c r="D138" s="616"/>
      <c r="E138" s="580"/>
      <c r="F138" s="580"/>
      <c r="G138" s="580"/>
      <c r="H138" s="580"/>
      <c r="I138" s="580"/>
      <c r="J138" s="580"/>
      <c r="K138" s="580"/>
      <c r="L138" s="580"/>
      <c r="M138" s="580"/>
      <c r="N138" s="580"/>
      <c r="O138" s="580"/>
      <c r="P138" s="580"/>
      <c r="Q138" s="580"/>
      <c r="R138" s="580"/>
      <c r="S138" s="580"/>
      <c r="T138" s="580"/>
      <c r="U138" s="580"/>
      <c r="V138" s="580"/>
      <c r="W138" s="580"/>
      <c r="X138" s="580"/>
      <c r="Y138" s="580"/>
      <c r="Z138" s="580"/>
      <c r="AA138" s="580"/>
      <c r="AB138" s="580"/>
      <c r="AC138" s="580"/>
      <c r="AD138" s="580"/>
      <c r="AE138" s="580"/>
      <c r="AF138" s="580"/>
      <c r="AG138" s="580"/>
      <c r="AH138" s="580"/>
      <c r="AI138" s="580"/>
      <c r="AJ138" s="580"/>
      <c r="AK138" s="580"/>
      <c r="AL138" s="580"/>
      <c r="AM138" s="580"/>
      <c r="AN138" s="580"/>
      <c r="AO138" s="580"/>
      <c r="AP138" s="580"/>
      <c r="AQ138" s="580"/>
      <c r="AR138" s="580"/>
      <c r="AS138" s="580"/>
      <c r="AT138" s="580"/>
      <c r="AU138" s="580"/>
      <c r="AV138" s="580"/>
      <c r="AW138" s="580"/>
      <c r="AX138" s="580"/>
      <c r="AY138" s="580"/>
      <c r="AZ138" s="580"/>
      <c r="BA138" s="580"/>
      <c r="BB138" s="580"/>
      <c r="BC138" s="580"/>
      <c r="BD138" s="580"/>
      <c r="BE138" s="580"/>
    </row>
    <row r="139" spans="1:57">
      <c r="A139" s="580"/>
      <c r="B139" s="616"/>
      <c r="C139" s="580"/>
      <c r="D139" s="616"/>
      <c r="E139" s="580"/>
      <c r="F139" s="580"/>
      <c r="G139" s="580"/>
      <c r="H139" s="580"/>
      <c r="I139" s="580"/>
      <c r="J139" s="580"/>
      <c r="K139" s="580"/>
      <c r="L139" s="580"/>
      <c r="M139" s="580"/>
      <c r="N139" s="580"/>
      <c r="O139" s="580"/>
      <c r="P139" s="580"/>
      <c r="Q139" s="580"/>
      <c r="R139" s="580"/>
      <c r="S139" s="580"/>
      <c r="T139" s="580"/>
      <c r="U139" s="580"/>
      <c r="V139" s="580"/>
      <c r="W139" s="580"/>
      <c r="X139" s="580"/>
      <c r="Y139" s="580"/>
      <c r="Z139" s="580"/>
      <c r="AA139" s="580"/>
      <c r="AB139" s="580"/>
      <c r="AC139" s="580"/>
      <c r="AD139" s="580"/>
      <c r="AE139" s="580"/>
      <c r="AF139" s="580"/>
      <c r="AG139" s="580"/>
      <c r="AH139" s="580"/>
      <c r="AI139" s="580"/>
      <c r="AJ139" s="580"/>
      <c r="AK139" s="580"/>
      <c r="AL139" s="580"/>
      <c r="AM139" s="580"/>
      <c r="AN139" s="580"/>
      <c r="AO139" s="580"/>
      <c r="AP139" s="580"/>
      <c r="AQ139" s="580"/>
      <c r="AR139" s="580"/>
      <c r="AS139" s="580"/>
      <c r="AT139" s="580"/>
      <c r="AU139" s="580"/>
      <c r="AV139" s="580"/>
      <c r="AW139" s="580"/>
      <c r="AX139" s="580"/>
      <c r="AY139" s="580"/>
      <c r="AZ139" s="580"/>
      <c r="BA139" s="580"/>
      <c r="BB139" s="580"/>
      <c r="BC139" s="580"/>
      <c r="BD139" s="580"/>
      <c r="BE139" s="580"/>
    </row>
    <row r="140" spans="1:57">
      <c r="A140" s="580"/>
      <c r="B140" s="616"/>
      <c r="C140" s="580"/>
      <c r="D140" s="616"/>
      <c r="E140" s="580"/>
      <c r="F140" s="580"/>
      <c r="G140" s="580"/>
      <c r="H140" s="580"/>
      <c r="I140" s="580"/>
      <c r="J140" s="580"/>
      <c r="K140" s="580"/>
      <c r="L140" s="580"/>
      <c r="M140" s="580"/>
      <c r="N140" s="580"/>
      <c r="O140" s="580"/>
      <c r="P140" s="580"/>
      <c r="Q140" s="580"/>
      <c r="R140" s="580"/>
      <c r="S140" s="580"/>
      <c r="T140" s="580"/>
      <c r="U140" s="580"/>
      <c r="V140" s="580"/>
      <c r="W140" s="580"/>
      <c r="X140" s="580"/>
      <c r="Y140" s="580"/>
      <c r="Z140" s="580"/>
      <c r="AA140" s="580"/>
      <c r="AB140" s="580"/>
      <c r="AC140" s="580"/>
      <c r="AD140" s="580"/>
      <c r="AE140" s="580"/>
      <c r="AF140" s="580"/>
      <c r="AG140" s="580"/>
      <c r="AH140" s="580"/>
      <c r="AI140" s="580"/>
      <c r="AJ140" s="580"/>
      <c r="AK140" s="580"/>
      <c r="AL140" s="580"/>
      <c r="AM140" s="580"/>
      <c r="AN140" s="580"/>
      <c r="AO140" s="580"/>
      <c r="AP140" s="580"/>
      <c r="AQ140" s="580"/>
      <c r="AR140" s="580"/>
      <c r="AS140" s="580"/>
      <c r="AT140" s="580"/>
      <c r="AU140" s="580"/>
      <c r="AV140" s="580"/>
      <c r="AW140" s="580"/>
      <c r="AX140" s="580"/>
      <c r="AY140" s="580"/>
      <c r="AZ140" s="580"/>
      <c r="BA140" s="580"/>
      <c r="BB140" s="580"/>
      <c r="BC140" s="580"/>
      <c r="BD140" s="580"/>
      <c r="BE140" s="580"/>
    </row>
    <row r="141" spans="1:57">
      <c r="A141" s="580"/>
      <c r="B141" s="616"/>
      <c r="C141" s="580"/>
      <c r="D141" s="616"/>
      <c r="E141" s="580"/>
      <c r="F141" s="580"/>
      <c r="G141" s="580"/>
      <c r="H141" s="580"/>
      <c r="I141" s="580"/>
      <c r="J141" s="580"/>
      <c r="K141" s="580"/>
      <c r="L141" s="580"/>
      <c r="M141" s="580"/>
      <c r="N141" s="580"/>
      <c r="O141" s="580"/>
      <c r="P141" s="580"/>
      <c r="Q141" s="580"/>
      <c r="R141" s="580"/>
      <c r="S141" s="580"/>
      <c r="T141" s="580"/>
      <c r="U141" s="580"/>
      <c r="V141" s="580"/>
      <c r="W141" s="580"/>
      <c r="X141" s="580"/>
      <c r="Y141" s="580"/>
      <c r="Z141" s="580"/>
      <c r="AA141" s="580"/>
      <c r="AB141" s="580"/>
      <c r="AC141" s="580"/>
      <c r="AD141" s="580"/>
      <c r="AE141" s="580"/>
      <c r="AF141" s="580"/>
      <c r="AG141" s="580"/>
      <c r="AH141" s="580"/>
      <c r="AI141" s="580"/>
      <c r="AJ141" s="580"/>
      <c r="AK141" s="580"/>
      <c r="AL141" s="580"/>
      <c r="AM141" s="580"/>
      <c r="AN141" s="580"/>
      <c r="AO141" s="580"/>
      <c r="AP141" s="580"/>
      <c r="AQ141" s="580"/>
      <c r="AR141" s="580"/>
      <c r="AS141" s="580"/>
      <c r="AT141" s="580"/>
      <c r="AU141" s="580"/>
      <c r="AV141" s="580"/>
      <c r="AW141" s="580"/>
      <c r="AX141" s="580"/>
      <c r="AY141" s="580"/>
      <c r="AZ141" s="580"/>
      <c r="BA141" s="580"/>
      <c r="BB141" s="580"/>
      <c r="BC141" s="580"/>
      <c r="BD141" s="580"/>
      <c r="BE141" s="580"/>
    </row>
    <row r="142" spans="1:57">
      <c r="A142" s="580"/>
      <c r="B142" s="616"/>
      <c r="C142" s="580"/>
      <c r="D142" s="616"/>
      <c r="E142" s="580"/>
      <c r="F142" s="580"/>
      <c r="G142" s="580"/>
      <c r="H142" s="580"/>
      <c r="I142" s="580"/>
      <c r="J142" s="580"/>
      <c r="K142" s="580"/>
      <c r="L142" s="580"/>
      <c r="M142" s="580"/>
      <c r="N142" s="580"/>
      <c r="O142" s="580"/>
      <c r="P142" s="580"/>
      <c r="Q142" s="580"/>
      <c r="R142" s="580"/>
      <c r="S142" s="580"/>
      <c r="T142" s="580"/>
      <c r="U142" s="580"/>
      <c r="V142" s="580"/>
      <c r="W142" s="580"/>
      <c r="X142" s="580"/>
      <c r="Y142" s="580"/>
      <c r="Z142" s="580"/>
      <c r="AA142" s="580"/>
      <c r="AB142" s="580"/>
      <c r="AC142" s="580"/>
      <c r="AD142" s="580"/>
      <c r="AE142" s="580"/>
      <c r="AF142" s="580"/>
      <c r="AG142" s="580"/>
      <c r="AH142" s="580"/>
      <c r="AI142" s="580"/>
      <c r="AJ142" s="580"/>
      <c r="AK142" s="580"/>
      <c r="AL142" s="580"/>
      <c r="AM142" s="580"/>
      <c r="AN142" s="580"/>
      <c r="AO142" s="580"/>
      <c r="AP142" s="580"/>
      <c r="AQ142" s="580"/>
      <c r="AR142" s="580"/>
      <c r="AS142" s="580"/>
      <c r="AT142" s="580"/>
      <c r="AU142" s="580"/>
      <c r="AV142" s="580"/>
      <c r="AW142" s="580"/>
      <c r="AX142" s="580"/>
      <c r="AY142" s="580"/>
      <c r="AZ142" s="580"/>
      <c r="BA142" s="580"/>
      <c r="BB142" s="580"/>
      <c r="BC142" s="580"/>
      <c r="BD142" s="580"/>
      <c r="BE142" s="580"/>
    </row>
    <row r="143" spans="1:57">
      <c r="A143" s="580"/>
      <c r="B143" s="616"/>
      <c r="C143" s="580"/>
      <c r="D143" s="616"/>
      <c r="E143" s="580"/>
      <c r="F143" s="580"/>
      <c r="G143" s="580"/>
      <c r="H143" s="580"/>
      <c r="I143" s="580"/>
      <c r="J143" s="580"/>
      <c r="K143" s="580"/>
      <c r="L143" s="580"/>
      <c r="M143" s="580"/>
      <c r="N143" s="580"/>
      <c r="O143" s="580"/>
      <c r="P143" s="580"/>
      <c r="Q143" s="580"/>
      <c r="R143" s="580"/>
      <c r="S143" s="580"/>
      <c r="T143" s="580"/>
      <c r="U143" s="580"/>
      <c r="V143" s="580"/>
      <c r="W143" s="580"/>
      <c r="X143" s="580"/>
      <c r="Y143" s="580"/>
      <c r="Z143" s="580"/>
      <c r="AA143" s="580"/>
      <c r="AB143" s="580"/>
      <c r="AC143" s="580"/>
      <c r="AD143" s="580"/>
      <c r="AE143" s="580"/>
      <c r="AF143" s="580"/>
      <c r="AG143" s="580"/>
      <c r="AH143" s="580"/>
      <c r="AI143" s="580"/>
      <c r="AJ143" s="580"/>
      <c r="AK143" s="580"/>
      <c r="AL143" s="580"/>
      <c r="AM143" s="580"/>
      <c r="AN143" s="580"/>
      <c r="AO143" s="580"/>
      <c r="AP143" s="580"/>
      <c r="AQ143" s="580"/>
      <c r="AR143" s="580"/>
      <c r="AS143" s="580"/>
      <c r="AT143" s="580"/>
      <c r="AU143" s="580"/>
      <c r="AV143" s="580"/>
      <c r="AW143" s="580"/>
      <c r="AX143" s="580"/>
      <c r="AY143" s="580"/>
      <c r="AZ143" s="580"/>
      <c r="BA143" s="580"/>
      <c r="BB143" s="580"/>
      <c r="BC143" s="580"/>
      <c r="BD143" s="580"/>
      <c r="BE143" s="580"/>
    </row>
    <row r="144" spans="1:57">
      <c r="A144" s="580"/>
      <c r="B144" s="616"/>
      <c r="C144" s="580"/>
      <c r="D144" s="616"/>
      <c r="E144" s="580"/>
      <c r="F144" s="580"/>
      <c r="G144" s="580"/>
      <c r="H144" s="580"/>
      <c r="I144" s="580"/>
      <c r="J144" s="580"/>
      <c r="K144" s="580"/>
      <c r="L144" s="580"/>
      <c r="M144" s="580"/>
      <c r="N144" s="580"/>
      <c r="O144" s="580"/>
      <c r="P144" s="580"/>
      <c r="Q144" s="580"/>
      <c r="R144" s="580"/>
      <c r="S144" s="580"/>
      <c r="T144" s="580"/>
      <c r="U144" s="580"/>
      <c r="V144" s="580"/>
      <c r="W144" s="580"/>
      <c r="X144" s="580"/>
      <c r="Y144" s="580"/>
      <c r="Z144" s="580"/>
      <c r="AA144" s="580"/>
      <c r="AB144" s="580"/>
      <c r="AC144" s="580"/>
      <c r="AD144" s="580"/>
      <c r="AE144" s="580"/>
      <c r="AF144" s="580"/>
      <c r="AG144" s="580"/>
      <c r="AH144" s="580"/>
      <c r="AI144" s="580"/>
      <c r="AJ144" s="580"/>
      <c r="AK144" s="580"/>
      <c r="AL144" s="580"/>
      <c r="AM144" s="580"/>
      <c r="AN144" s="580"/>
      <c r="AO144" s="580"/>
      <c r="AP144" s="580"/>
      <c r="AQ144" s="580"/>
      <c r="AR144" s="580"/>
      <c r="AS144" s="580"/>
      <c r="AT144" s="580"/>
      <c r="AU144" s="580"/>
      <c r="AV144" s="580"/>
      <c r="AW144" s="580"/>
      <c r="AX144" s="580"/>
      <c r="AY144" s="580"/>
      <c r="AZ144" s="580"/>
      <c r="BA144" s="580"/>
      <c r="BB144" s="580"/>
      <c r="BC144" s="580"/>
      <c r="BD144" s="580"/>
      <c r="BE144" s="580"/>
    </row>
    <row r="145" spans="1:57">
      <c r="A145" s="580"/>
      <c r="B145" s="616"/>
      <c r="C145" s="580"/>
      <c r="D145" s="616"/>
      <c r="E145" s="580"/>
      <c r="F145" s="580"/>
      <c r="G145" s="580"/>
      <c r="H145" s="580"/>
      <c r="I145" s="580"/>
      <c r="J145" s="580"/>
      <c r="K145" s="580"/>
      <c r="L145" s="580"/>
      <c r="M145" s="580"/>
      <c r="N145" s="580"/>
      <c r="O145" s="580"/>
      <c r="P145" s="580"/>
      <c r="Q145" s="580"/>
      <c r="R145" s="580"/>
      <c r="S145" s="580"/>
      <c r="T145" s="580"/>
      <c r="U145" s="580"/>
      <c r="V145" s="580"/>
      <c r="W145" s="580"/>
      <c r="X145" s="580"/>
      <c r="Y145" s="580"/>
      <c r="Z145" s="580"/>
      <c r="AA145" s="580"/>
      <c r="AB145" s="580"/>
      <c r="AC145" s="580"/>
      <c r="AD145" s="580"/>
      <c r="AE145" s="580"/>
      <c r="AF145" s="580"/>
      <c r="AG145" s="580"/>
      <c r="AH145" s="580"/>
      <c r="AI145" s="580"/>
      <c r="AJ145" s="580"/>
      <c r="AK145" s="580"/>
      <c r="AL145" s="580"/>
      <c r="AM145" s="580"/>
      <c r="AN145" s="580"/>
      <c r="AO145" s="580"/>
      <c r="AP145" s="580"/>
      <c r="AQ145" s="580"/>
      <c r="AR145" s="580"/>
      <c r="AS145" s="580"/>
      <c r="AT145" s="580"/>
      <c r="AU145" s="580"/>
      <c r="AV145" s="580"/>
      <c r="AW145" s="580"/>
      <c r="AX145" s="580"/>
      <c r="AY145" s="580"/>
      <c r="AZ145" s="580"/>
      <c r="BA145" s="580"/>
      <c r="BB145" s="580"/>
      <c r="BC145" s="580"/>
      <c r="BD145" s="580"/>
      <c r="BE145" s="580"/>
    </row>
    <row r="146" spans="1:57">
      <c r="A146" s="580"/>
      <c r="B146" s="616"/>
      <c r="C146" s="580"/>
      <c r="D146" s="616"/>
      <c r="E146" s="580"/>
      <c r="F146" s="580"/>
      <c r="G146" s="580"/>
      <c r="H146" s="580"/>
      <c r="I146" s="580"/>
      <c r="J146" s="580"/>
      <c r="K146" s="580"/>
      <c r="L146" s="580"/>
      <c r="M146" s="580"/>
      <c r="N146" s="580"/>
      <c r="O146" s="580"/>
      <c r="P146" s="580"/>
      <c r="Q146" s="580"/>
      <c r="R146" s="580"/>
      <c r="S146" s="580"/>
      <c r="T146" s="580"/>
      <c r="U146" s="580"/>
      <c r="V146" s="580"/>
      <c r="W146" s="580"/>
      <c r="X146" s="580"/>
      <c r="Y146" s="580"/>
      <c r="Z146" s="580"/>
      <c r="AA146" s="580"/>
      <c r="AB146" s="580"/>
      <c r="AC146" s="580"/>
      <c r="AD146" s="580"/>
      <c r="AE146" s="580"/>
      <c r="AF146" s="580"/>
      <c r="AG146" s="580"/>
      <c r="AH146" s="580"/>
      <c r="AI146" s="580"/>
      <c r="AJ146" s="580"/>
      <c r="AK146" s="580"/>
      <c r="AL146" s="580"/>
      <c r="AM146" s="580"/>
      <c r="AN146" s="580"/>
      <c r="AO146" s="580"/>
      <c r="AP146" s="580"/>
      <c r="AQ146" s="580"/>
      <c r="AR146" s="580"/>
      <c r="AS146" s="580"/>
      <c r="AT146" s="580"/>
      <c r="AU146" s="580"/>
      <c r="AV146" s="580"/>
      <c r="AW146" s="580"/>
      <c r="AX146" s="580"/>
      <c r="AY146" s="580"/>
      <c r="AZ146" s="580"/>
      <c r="BA146" s="580"/>
      <c r="BB146" s="580"/>
      <c r="BC146" s="580"/>
      <c r="BD146" s="580"/>
      <c r="BE146" s="580"/>
    </row>
    <row r="147" spans="1:57">
      <c r="A147" s="580"/>
      <c r="B147" s="616"/>
      <c r="C147" s="580"/>
      <c r="D147" s="616"/>
      <c r="E147" s="580"/>
      <c r="F147" s="580"/>
      <c r="G147" s="580"/>
      <c r="H147" s="580"/>
      <c r="I147" s="580"/>
      <c r="J147" s="580"/>
      <c r="K147" s="580"/>
      <c r="L147" s="580"/>
      <c r="M147" s="580"/>
      <c r="N147" s="580"/>
      <c r="O147" s="580"/>
      <c r="P147" s="580"/>
      <c r="Q147" s="580"/>
      <c r="R147" s="580"/>
      <c r="S147" s="580"/>
      <c r="T147" s="580"/>
      <c r="U147" s="580"/>
      <c r="V147" s="580"/>
      <c r="W147" s="580"/>
      <c r="X147" s="580"/>
      <c r="Y147" s="580"/>
      <c r="Z147" s="580"/>
      <c r="AA147" s="580"/>
      <c r="AB147" s="580"/>
      <c r="AC147" s="580"/>
      <c r="AD147" s="580"/>
      <c r="AE147" s="580"/>
      <c r="AF147" s="580"/>
      <c r="AG147" s="580"/>
      <c r="AH147" s="580"/>
      <c r="AI147" s="580"/>
      <c r="AJ147" s="580"/>
      <c r="AK147" s="580"/>
      <c r="AL147" s="580"/>
      <c r="AM147" s="580"/>
      <c r="AN147" s="580"/>
      <c r="AO147" s="580"/>
      <c r="AP147" s="580"/>
      <c r="AQ147" s="580"/>
      <c r="AR147" s="580"/>
      <c r="AS147" s="580"/>
      <c r="AT147" s="580"/>
      <c r="AU147" s="580"/>
      <c r="AV147" s="580"/>
      <c r="AW147" s="580"/>
      <c r="AX147" s="580"/>
      <c r="AY147" s="580"/>
      <c r="AZ147" s="580"/>
      <c r="BA147" s="580"/>
      <c r="BB147" s="580"/>
      <c r="BC147" s="580"/>
      <c r="BD147" s="580"/>
      <c r="BE147" s="580"/>
    </row>
    <row r="148" spans="1:57">
      <c r="A148" s="580"/>
      <c r="B148" s="616"/>
      <c r="C148" s="580"/>
      <c r="D148" s="616"/>
      <c r="E148" s="580"/>
      <c r="F148" s="580"/>
      <c r="G148" s="580"/>
      <c r="H148" s="580"/>
      <c r="I148" s="580"/>
      <c r="J148" s="580"/>
      <c r="K148" s="580"/>
      <c r="L148" s="580"/>
      <c r="M148" s="580"/>
      <c r="N148" s="580"/>
      <c r="O148" s="580"/>
      <c r="P148" s="580"/>
      <c r="Q148" s="580"/>
      <c r="R148" s="580"/>
      <c r="S148" s="580"/>
      <c r="T148" s="580"/>
      <c r="U148" s="580"/>
      <c r="V148" s="580"/>
      <c r="W148" s="580"/>
      <c r="X148" s="580"/>
      <c r="Y148" s="580"/>
      <c r="Z148" s="580"/>
      <c r="AA148" s="580"/>
      <c r="AB148" s="580"/>
      <c r="AC148" s="580"/>
      <c r="AD148" s="580"/>
      <c r="AE148" s="580"/>
      <c r="AF148" s="580"/>
      <c r="AG148" s="580"/>
      <c r="AH148" s="580"/>
      <c r="AI148" s="580"/>
      <c r="AJ148" s="580"/>
      <c r="AK148" s="580"/>
      <c r="AL148" s="580"/>
      <c r="AM148" s="580"/>
      <c r="AN148" s="580"/>
      <c r="AO148" s="580"/>
      <c r="AP148" s="580"/>
      <c r="AQ148" s="580"/>
      <c r="AR148" s="580"/>
      <c r="AS148" s="580"/>
      <c r="AT148" s="580"/>
      <c r="AU148" s="580"/>
      <c r="AV148" s="580"/>
      <c r="AW148" s="580"/>
      <c r="AX148" s="580"/>
      <c r="AY148" s="580"/>
      <c r="AZ148" s="580"/>
      <c r="BA148" s="580"/>
      <c r="BB148" s="580"/>
      <c r="BC148" s="580"/>
      <c r="BD148" s="580"/>
      <c r="BE148" s="580"/>
    </row>
    <row r="149" spans="1:57">
      <c r="A149" s="580"/>
      <c r="B149" s="616"/>
      <c r="C149" s="580"/>
      <c r="D149" s="616"/>
      <c r="E149" s="580"/>
      <c r="F149" s="580"/>
      <c r="G149" s="580"/>
      <c r="H149" s="580"/>
      <c r="I149" s="580"/>
      <c r="J149" s="580"/>
      <c r="K149" s="580"/>
      <c r="L149" s="580"/>
      <c r="M149" s="580"/>
      <c r="N149" s="580"/>
      <c r="O149" s="580"/>
      <c r="P149" s="580"/>
      <c r="Q149" s="580"/>
      <c r="R149" s="580"/>
      <c r="S149" s="580"/>
      <c r="T149" s="580"/>
      <c r="U149" s="580"/>
      <c r="V149" s="580"/>
      <c r="W149" s="580"/>
      <c r="X149" s="580"/>
      <c r="Y149" s="580"/>
      <c r="Z149" s="580"/>
      <c r="AA149" s="580"/>
      <c r="AB149" s="580"/>
      <c r="AC149" s="580"/>
      <c r="AD149" s="580"/>
      <c r="AE149" s="580"/>
      <c r="AF149" s="580"/>
      <c r="AG149" s="580"/>
      <c r="AH149" s="580"/>
      <c r="AI149" s="580"/>
      <c r="AJ149" s="580"/>
      <c r="AK149" s="580"/>
      <c r="AL149" s="580"/>
      <c r="AM149" s="580"/>
      <c r="AN149" s="580"/>
      <c r="AO149" s="580"/>
      <c r="AP149" s="580"/>
      <c r="AQ149" s="580"/>
      <c r="AR149" s="580"/>
      <c r="AS149" s="580"/>
      <c r="AT149" s="580"/>
      <c r="AU149" s="580"/>
      <c r="AV149" s="580"/>
      <c r="AW149" s="580"/>
      <c r="AX149" s="580"/>
      <c r="AY149" s="580"/>
      <c r="AZ149" s="580"/>
      <c r="BA149" s="580"/>
      <c r="BB149" s="580"/>
      <c r="BC149" s="580"/>
      <c r="BD149" s="580"/>
      <c r="BE149" s="58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E50"/>
  <sheetViews>
    <sheetView topLeftCell="A26" workbookViewId="0">
      <selection sqref="A1:A1048576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426" customFormat="1">
      <c r="A1" s="580"/>
      <c r="B1" s="657"/>
      <c r="C1" s="615"/>
      <c r="D1" s="657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  <c r="W1" s="580"/>
      <c r="X1" s="580"/>
      <c r="Y1" s="580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80"/>
      <c r="BE1" s="580"/>
    </row>
    <row r="2" spans="1:57">
      <c r="A2" s="654"/>
      <c r="B2" s="653"/>
      <c r="C2" s="653"/>
      <c r="D2" s="653" t="s">
        <v>1013</v>
      </c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9"/>
      <c r="R2" s="580"/>
      <c r="S2" s="580"/>
      <c r="T2" s="580"/>
      <c r="U2" s="580"/>
      <c r="V2" s="580"/>
      <c r="W2" s="580"/>
      <c r="X2" s="580"/>
      <c r="Y2" s="580"/>
      <c r="Z2" s="580"/>
      <c r="AA2" s="580"/>
      <c r="AB2" s="580"/>
      <c r="AC2" s="580"/>
      <c r="AD2" s="580"/>
      <c r="AE2" s="580"/>
      <c r="AF2" s="580"/>
      <c r="AG2" s="580"/>
      <c r="AH2" s="580"/>
      <c r="AI2" s="580"/>
      <c r="AJ2" s="580"/>
      <c r="AK2" s="580"/>
      <c r="AL2" s="580"/>
      <c r="AM2" s="580"/>
      <c r="AN2" s="580"/>
      <c r="AO2" s="580"/>
      <c r="AP2" s="580"/>
      <c r="AQ2" s="580"/>
      <c r="AR2" s="580"/>
      <c r="AS2" s="580"/>
      <c r="AT2" s="580"/>
      <c r="AU2" s="580"/>
      <c r="AV2" s="580"/>
      <c r="AW2" s="580"/>
      <c r="AX2" s="580"/>
      <c r="AY2" s="580"/>
      <c r="AZ2" s="580"/>
      <c r="BA2" s="580"/>
      <c r="BB2" s="580"/>
      <c r="BC2" s="580"/>
      <c r="BD2" s="580"/>
      <c r="BE2" s="580"/>
    </row>
    <row r="3" spans="1:57">
      <c r="A3" s="654"/>
      <c r="B3" s="653"/>
      <c r="C3" s="653"/>
      <c r="D3" s="653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594"/>
      <c r="R3" s="580"/>
      <c r="S3" s="580"/>
      <c r="T3" s="580"/>
      <c r="U3" s="580"/>
      <c r="V3" s="580"/>
      <c r="W3" s="580"/>
      <c r="X3" s="580"/>
      <c r="Y3" s="580"/>
      <c r="Z3" s="580"/>
      <c r="AA3" s="580"/>
      <c r="AB3" s="580"/>
      <c r="AC3" s="580"/>
      <c r="AD3" s="580"/>
      <c r="AE3" s="580"/>
      <c r="AF3" s="580"/>
      <c r="AG3" s="580"/>
      <c r="AH3" s="580"/>
      <c r="AI3" s="580"/>
      <c r="AJ3" s="580"/>
      <c r="AK3" s="580"/>
      <c r="AL3" s="580"/>
      <c r="AM3" s="580"/>
      <c r="AN3" s="580"/>
      <c r="AO3" s="580"/>
      <c r="AP3" s="580"/>
      <c r="AQ3" s="580"/>
      <c r="AR3" s="580"/>
      <c r="AS3" s="580"/>
      <c r="AT3" s="580"/>
      <c r="AU3" s="580"/>
      <c r="AV3" s="580"/>
      <c r="AW3" s="580"/>
      <c r="AX3" s="580"/>
      <c r="AY3" s="580"/>
      <c r="AZ3" s="580"/>
      <c r="BA3" s="580"/>
      <c r="BB3" s="580"/>
      <c r="BC3" s="580"/>
      <c r="BD3" s="580"/>
      <c r="BE3" s="580"/>
    </row>
    <row r="4" spans="1:57" ht="18.5" customHeight="1">
      <c r="A4" s="583"/>
      <c r="B4" s="649" t="s">
        <v>0</v>
      </c>
      <c r="C4" s="650" t="s">
        <v>1</v>
      </c>
      <c r="D4" s="649" t="s">
        <v>2</v>
      </c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3"/>
      <c r="AB4" s="583"/>
      <c r="AC4" s="583"/>
      <c r="AD4" s="583"/>
      <c r="AE4" s="583"/>
      <c r="AF4" s="583"/>
      <c r="AG4" s="583"/>
      <c r="AH4" s="583"/>
      <c r="AI4" s="583"/>
      <c r="AJ4" s="583"/>
      <c r="AK4" s="583"/>
      <c r="AL4" s="583"/>
      <c r="AM4" s="583"/>
      <c r="AN4" s="583"/>
      <c r="AO4" s="583"/>
      <c r="AP4" s="583"/>
      <c r="AQ4" s="583"/>
      <c r="AR4" s="583"/>
      <c r="AS4" s="583"/>
      <c r="AT4" s="583"/>
      <c r="AU4" s="583"/>
      <c r="AV4" s="583"/>
      <c r="AW4" s="583"/>
      <c r="AX4" s="583"/>
      <c r="AY4" s="583"/>
      <c r="AZ4" s="583"/>
      <c r="BA4" s="583"/>
      <c r="BB4" s="583"/>
      <c r="BC4" s="583"/>
      <c r="BD4" s="583"/>
      <c r="BE4" s="583"/>
    </row>
    <row r="5" spans="1:57">
      <c r="A5" s="583" t="s">
        <v>3</v>
      </c>
      <c r="B5" s="661"/>
      <c r="C5" s="629"/>
      <c r="D5" s="661"/>
      <c r="E5" s="588"/>
      <c r="F5" s="588"/>
      <c r="G5" s="662"/>
      <c r="H5" s="663"/>
      <c r="I5" s="663"/>
      <c r="J5" s="663"/>
      <c r="K5" s="663"/>
      <c r="L5" s="663"/>
      <c r="M5" s="583"/>
      <c r="N5" s="583"/>
      <c r="O5" s="583"/>
      <c r="P5" s="583"/>
      <c r="Q5" s="583"/>
      <c r="R5" s="583"/>
      <c r="S5" s="583"/>
      <c r="T5" s="583"/>
      <c r="U5" s="583"/>
      <c r="V5" s="583"/>
      <c r="W5" s="587"/>
      <c r="X5" s="583"/>
      <c r="Y5" s="583"/>
      <c r="Z5" s="583"/>
      <c r="AA5" s="583"/>
      <c r="AB5" s="583"/>
      <c r="AC5" s="583"/>
      <c r="AD5" s="583"/>
      <c r="AE5" s="583"/>
      <c r="AF5" s="583"/>
      <c r="AG5" s="583"/>
      <c r="AH5" s="583"/>
      <c r="AI5" s="583"/>
      <c r="AJ5" s="583"/>
      <c r="AK5" s="583"/>
      <c r="AL5" s="583"/>
      <c r="AM5" s="583"/>
      <c r="AN5" s="583"/>
      <c r="AO5" s="583"/>
      <c r="AP5" s="583"/>
      <c r="AQ5" s="583"/>
      <c r="AR5" s="583"/>
      <c r="AS5" s="583"/>
      <c r="AT5" s="583"/>
      <c r="AU5" s="583"/>
      <c r="AV5" s="583"/>
      <c r="AW5" s="583"/>
      <c r="AX5" s="583"/>
      <c r="AY5" s="583"/>
      <c r="AZ5" s="583"/>
      <c r="BA5" s="583"/>
      <c r="BB5" s="583"/>
      <c r="BC5" s="583"/>
      <c r="BD5" s="583"/>
      <c r="BE5" s="583"/>
    </row>
    <row r="6" spans="1:57">
      <c r="A6" s="583" t="s">
        <v>4</v>
      </c>
      <c r="B6" s="661"/>
      <c r="C6" s="629"/>
      <c r="D6" s="661"/>
      <c r="E6" s="664" t="s">
        <v>5</v>
      </c>
      <c r="F6" s="664" t="s">
        <v>6</v>
      </c>
      <c r="G6" s="664" t="s">
        <v>7</v>
      </c>
      <c r="H6" s="664" t="s">
        <v>8</v>
      </c>
      <c r="I6" s="665" t="s">
        <v>9</v>
      </c>
      <c r="J6" s="665" t="s">
        <v>10</v>
      </c>
      <c r="K6" s="665" t="s">
        <v>11</v>
      </c>
      <c r="L6" s="665" t="s">
        <v>12</v>
      </c>
      <c r="M6" s="665" t="s">
        <v>13</v>
      </c>
      <c r="N6" s="665" t="s">
        <v>14</v>
      </c>
      <c r="O6" s="665" t="s">
        <v>15</v>
      </c>
      <c r="P6" s="665" t="s">
        <v>16</v>
      </c>
      <c r="Q6" s="583"/>
      <c r="R6" s="583"/>
      <c r="S6" s="583"/>
      <c r="T6" s="583"/>
      <c r="U6" s="583"/>
      <c r="V6" s="583"/>
      <c r="W6" s="587"/>
      <c r="X6" s="583"/>
      <c r="Y6" s="583"/>
      <c r="Z6" s="583"/>
      <c r="AA6" s="583"/>
      <c r="AB6" s="583"/>
      <c r="AC6" s="583"/>
      <c r="AD6" s="583"/>
      <c r="AE6" s="583"/>
      <c r="AF6" s="583"/>
      <c r="AG6" s="583"/>
      <c r="AH6" s="583"/>
      <c r="AI6" s="583"/>
      <c r="AJ6" s="583"/>
      <c r="AK6" s="583"/>
      <c r="AL6" s="583"/>
      <c r="AM6" s="583"/>
      <c r="AN6" s="583"/>
      <c r="AO6" s="583"/>
      <c r="AP6" s="583"/>
      <c r="AQ6" s="583"/>
      <c r="AR6" s="583"/>
      <c r="AS6" s="583"/>
      <c r="AT6" s="583"/>
      <c r="AU6" s="583"/>
      <c r="AV6" s="583"/>
      <c r="AW6" s="583"/>
      <c r="AX6" s="583"/>
      <c r="AY6" s="583"/>
      <c r="AZ6" s="583"/>
      <c r="BA6" s="583"/>
      <c r="BB6" s="583"/>
      <c r="BC6" s="583"/>
      <c r="BD6" s="583"/>
      <c r="BE6" s="583"/>
    </row>
    <row r="7" spans="1:57">
      <c r="A7" s="580" t="s">
        <v>1052</v>
      </c>
      <c r="B7" s="625" t="s">
        <v>17</v>
      </c>
      <c r="C7" s="626" t="s">
        <v>18</v>
      </c>
      <c r="D7" s="625" t="s">
        <v>19</v>
      </c>
      <c r="E7" s="635">
        <f t="shared" ref="E7:E12" si="0">1-F7</f>
        <v>0</v>
      </c>
      <c r="F7" s="635">
        <f t="shared" ref="F7:F12" si="1">G7+H7</f>
        <v>1</v>
      </c>
      <c r="G7" s="635">
        <f t="shared" ref="G7:G12" si="2">1-H7-P7</f>
        <v>1</v>
      </c>
      <c r="H7" s="635">
        <f t="shared" ref="H7:H12" si="3">+SUM(I7:O7)</f>
        <v>0</v>
      </c>
      <c r="I7" s="666">
        <v>0</v>
      </c>
      <c r="J7" s="666">
        <v>0</v>
      </c>
      <c r="K7" s="666">
        <v>0</v>
      </c>
      <c r="L7" s="666">
        <v>0</v>
      </c>
      <c r="M7" s="666">
        <v>0</v>
      </c>
      <c r="N7" s="667">
        <v>0</v>
      </c>
      <c r="O7" s="668">
        <v>0</v>
      </c>
      <c r="P7" s="668">
        <v>0</v>
      </c>
      <c r="Q7" s="580"/>
      <c r="R7" s="580"/>
      <c r="S7" s="580"/>
      <c r="T7" s="580"/>
      <c r="U7" s="580"/>
      <c r="V7" s="580"/>
      <c r="W7" s="581"/>
      <c r="X7" s="580"/>
      <c r="Y7" s="580"/>
      <c r="Z7" s="580"/>
      <c r="AA7" s="580"/>
      <c r="AB7" s="580"/>
      <c r="AC7" s="580"/>
      <c r="AD7" s="580"/>
      <c r="AE7" s="580"/>
      <c r="AF7" s="580"/>
      <c r="AG7" s="580"/>
      <c r="AH7" s="580"/>
      <c r="AI7" s="580"/>
      <c r="AJ7" s="580"/>
      <c r="AK7" s="580"/>
      <c r="AL7" s="580"/>
      <c r="AM7" s="580"/>
      <c r="AN7" s="580"/>
      <c r="AO7" s="580"/>
      <c r="AP7" s="580"/>
      <c r="AQ7" s="580"/>
      <c r="AR7" s="580"/>
      <c r="AS7" s="580"/>
      <c r="AT7" s="580"/>
      <c r="AU7" s="580"/>
      <c r="AV7" s="580"/>
      <c r="AW7" s="580"/>
      <c r="AX7" s="580"/>
      <c r="AY7" s="580"/>
      <c r="AZ7" s="580"/>
      <c r="BA7" s="580"/>
      <c r="BB7" s="580"/>
      <c r="BC7" s="580"/>
      <c r="BD7" s="580"/>
      <c r="BE7" s="580"/>
    </row>
    <row r="8" spans="1:57">
      <c r="A8" s="580" t="s">
        <v>1055</v>
      </c>
      <c r="B8" s="625" t="s">
        <v>17</v>
      </c>
      <c r="C8" s="626" t="s">
        <v>18</v>
      </c>
      <c r="D8" s="625" t="s">
        <v>20</v>
      </c>
      <c r="E8" s="635">
        <f t="shared" si="0"/>
        <v>0</v>
      </c>
      <c r="F8" s="635">
        <f t="shared" si="1"/>
        <v>1</v>
      </c>
      <c r="G8" s="635">
        <f t="shared" si="2"/>
        <v>0</v>
      </c>
      <c r="H8" s="635">
        <f t="shared" si="3"/>
        <v>1</v>
      </c>
      <c r="I8" s="669">
        <v>0</v>
      </c>
      <c r="J8" s="669">
        <v>0</v>
      </c>
      <c r="K8" s="669">
        <v>0</v>
      </c>
      <c r="L8" s="669">
        <v>0</v>
      </c>
      <c r="M8" s="669">
        <v>0</v>
      </c>
      <c r="N8" s="667">
        <v>0</v>
      </c>
      <c r="O8" s="668">
        <v>1</v>
      </c>
      <c r="P8" s="668">
        <v>0</v>
      </c>
      <c r="Q8" s="580"/>
      <c r="R8" s="580"/>
      <c r="S8" s="580"/>
      <c r="T8" s="580"/>
      <c r="U8" s="580"/>
      <c r="V8" s="580"/>
      <c r="W8" s="581"/>
      <c r="X8" s="580"/>
      <c r="Y8" s="580"/>
      <c r="Z8" s="580"/>
      <c r="AA8" s="580"/>
      <c r="AB8" s="580"/>
      <c r="AC8" s="580"/>
      <c r="AD8" s="580"/>
      <c r="AE8" s="580"/>
      <c r="AF8" s="580"/>
      <c r="AG8" s="580"/>
      <c r="AH8" s="580"/>
      <c r="AI8" s="580"/>
      <c r="AJ8" s="580"/>
      <c r="AK8" s="580"/>
      <c r="AL8" s="580"/>
      <c r="AM8" s="580"/>
      <c r="AN8" s="580"/>
      <c r="AO8" s="580"/>
      <c r="AP8" s="580"/>
      <c r="AQ8" s="580"/>
      <c r="AR8" s="580"/>
      <c r="AS8" s="580"/>
      <c r="AT8" s="580"/>
      <c r="AU8" s="580"/>
      <c r="AV8" s="580"/>
      <c r="AW8" s="580"/>
      <c r="AX8" s="580"/>
      <c r="AY8" s="580"/>
      <c r="AZ8" s="580"/>
      <c r="BA8" s="580"/>
      <c r="BB8" s="580"/>
      <c r="BC8" s="580"/>
      <c r="BD8" s="580"/>
      <c r="BE8" s="580"/>
    </row>
    <row r="9" spans="1:57">
      <c r="A9" s="580" t="s">
        <v>1057</v>
      </c>
      <c r="B9" s="625" t="s">
        <v>17</v>
      </c>
      <c r="C9" s="626" t="s">
        <v>18</v>
      </c>
      <c r="D9" s="625" t="s">
        <v>21</v>
      </c>
      <c r="E9" s="635">
        <f t="shared" si="0"/>
        <v>1</v>
      </c>
      <c r="F9" s="635">
        <f t="shared" si="1"/>
        <v>0</v>
      </c>
      <c r="G9" s="635">
        <f t="shared" si="2"/>
        <v>0</v>
      </c>
      <c r="H9" s="635">
        <f t="shared" si="3"/>
        <v>0</v>
      </c>
      <c r="I9" s="669">
        <v>0</v>
      </c>
      <c r="J9" s="669">
        <v>0</v>
      </c>
      <c r="K9" s="669">
        <v>0</v>
      </c>
      <c r="L9" s="669">
        <v>0</v>
      </c>
      <c r="M9" s="669">
        <v>0</v>
      </c>
      <c r="N9" s="667">
        <v>0</v>
      </c>
      <c r="O9" s="668">
        <v>0</v>
      </c>
      <c r="P9" s="668">
        <v>1</v>
      </c>
      <c r="Q9" s="580"/>
      <c r="R9" s="580"/>
      <c r="S9" s="580"/>
      <c r="T9" s="580"/>
      <c r="U9" s="580"/>
      <c r="V9" s="580"/>
      <c r="W9" s="581"/>
      <c r="X9" s="580"/>
      <c r="Y9" s="580"/>
      <c r="Z9" s="580"/>
      <c r="AA9" s="580"/>
      <c r="AB9" s="580"/>
      <c r="AC9" s="580"/>
      <c r="AD9" s="580"/>
      <c r="AE9" s="580"/>
      <c r="AF9" s="580"/>
      <c r="AG9" s="580"/>
      <c r="AH9" s="580"/>
      <c r="AI9" s="580"/>
      <c r="AJ9" s="580"/>
      <c r="AK9" s="580"/>
      <c r="AL9" s="580"/>
      <c r="AM9" s="580"/>
      <c r="AN9" s="580"/>
      <c r="AO9" s="580"/>
      <c r="AP9" s="580"/>
      <c r="AQ9" s="580"/>
      <c r="AR9" s="580"/>
      <c r="AS9" s="580"/>
      <c r="AT9" s="580"/>
      <c r="AU9" s="580"/>
      <c r="AV9" s="580"/>
      <c r="AW9" s="580"/>
      <c r="AX9" s="580"/>
      <c r="AY9" s="580"/>
      <c r="AZ9" s="580"/>
      <c r="BA9" s="580"/>
      <c r="BB9" s="580"/>
      <c r="BC9" s="580"/>
      <c r="BD9" s="580"/>
      <c r="BE9" s="580"/>
    </row>
    <row r="10" spans="1:57">
      <c r="A10" s="580" t="s">
        <v>1059</v>
      </c>
      <c r="B10" s="625" t="s">
        <v>17</v>
      </c>
      <c r="C10" s="626" t="s">
        <v>18</v>
      </c>
      <c r="D10" s="625" t="s">
        <v>22</v>
      </c>
      <c r="E10" s="635">
        <f t="shared" si="0"/>
        <v>1</v>
      </c>
      <c r="F10" s="635">
        <f t="shared" si="1"/>
        <v>0</v>
      </c>
      <c r="G10" s="635">
        <f t="shared" si="2"/>
        <v>0</v>
      </c>
      <c r="H10" s="635">
        <f t="shared" si="3"/>
        <v>0</v>
      </c>
      <c r="I10" s="669">
        <v>0</v>
      </c>
      <c r="J10" s="669">
        <v>0</v>
      </c>
      <c r="K10" s="669">
        <v>0</v>
      </c>
      <c r="L10" s="669">
        <v>0</v>
      </c>
      <c r="M10" s="669">
        <v>0</v>
      </c>
      <c r="N10" s="667">
        <v>0</v>
      </c>
      <c r="O10" s="668">
        <v>0</v>
      </c>
      <c r="P10" s="668">
        <v>1</v>
      </c>
      <c r="Q10" s="580"/>
      <c r="R10" s="580"/>
      <c r="S10" s="580"/>
      <c r="T10" s="580"/>
      <c r="U10" s="580"/>
      <c r="V10" s="580"/>
      <c r="W10" s="581"/>
      <c r="X10" s="580"/>
      <c r="Y10" s="580"/>
      <c r="Z10" s="580"/>
      <c r="AA10" s="580"/>
      <c r="AB10" s="580"/>
      <c r="AC10" s="580"/>
      <c r="AD10" s="580"/>
      <c r="AE10" s="580"/>
      <c r="AF10" s="580"/>
      <c r="AG10" s="580"/>
      <c r="AH10" s="580"/>
      <c r="AI10" s="580"/>
      <c r="AJ10" s="580"/>
      <c r="AK10" s="580"/>
      <c r="AL10" s="580"/>
      <c r="AM10" s="580"/>
      <c r="AN10" s="580"/>
      <c r="AO10" s="580"/>
      <c r="AP10" s="580"/>
      <c r="AQ10" s="580"/>
      <c r="AR10" s="580"/>
      <c r="AS10" s="580"/>
      <c r="AT10" s="580"/>
      <c r="AU10" s="580"/>
      <c r="AV10" s="580"/>
      <c r="AW10" s="580"/>
      <c r="AX10" s="580"/>
      <c r="AY10" s="580"/>
      <c r="AZ10" s="580"/>
      <c r="BA10" s="580"/>
      <c r="BB10" s="580"/>
      <c r="BC10" s="580"/>
      <c r="BD10" s="580"/>
      <c r="BE10" s="580"/>
    </row>
    <row r="11" spans="1:57">
      <c r="A11" s="580" t="s">
        <v>1061</v>
      </c>
      <c r="B11" s="625" t="s">
        <v>17</v>
      </c>
      <c r="C11" s="626" t="s">
        <v>18</v>
      </c>
      <c r="D11" s="625" t="s">
        <v>23</v>
      </c>
      <c r="E11" s="635">
        <f t="shared" si="0"/>
        <v>0</v>
      </c>
      <c r="F11" s="635">
        <f t="shared" si="1"/>
        <v>1</v>
      </c>
      <c r="G11" s="635">
        <f t="shared" si="2"/>
        <v>0</v>
      </c>
      <c r="H11" s="635">
        <f t="shared" si="3"/>
        <v>1</v>
      </c>
      <c r="I11" s="669">
        <v>0</v>
      </c>
      <c r="J11" s="669">
        <v>0</v>
      </c>
      <c r="K11" s="669">
        <v>0</v>
      </c>
      <c r="L11" s="669">
        <v>0</v>
      </c>
      <c r="M11" s="669">
        <v>0</v>
      </c>
      <c r="N11" s="667">
        <v>0</v>
      </c>
      <c r="O11" s="668">
        <v>1</v>
      </c>
      <c r="P11" s="668">
        <v>0</v>
      </c>
      <c r="Q11" s="580"/>
      <c r="R11" s="580"/>
      <c r="S11" s="580"/>
      <c r="T11" s="580"/>
      <c r="U11" s="580"/>
      <c r="V11" s="580"/>
      <c r="W11" s="581"/>
      <c r="X11" s="580"/>
      <c r="Y11" s="580"/>
      <c r="Z11" s="580"/>
      <c r="AA11" s="580"/>
      <c r="AB11" s="580"/>
      <c r="AC11" s="580"/>
      <c r="AD11" s="580"/>
      <c r="AE11" s="580"/>
      <c r="AF11" s="580"/>
      <c r="AG11" s="580"/>
      <c r="AH11" s="580"/>
      <c r="AI11" s="580"/>
      <c r="AJ11" s="580"/>
      <c r="AK11" s="580"/>
      <c r="AL11" s="580"/>
      <c r="AM11" s="580"/>
      <c r="AN11" s="580"/>
      <c r="AO11" s="580"/>
      <c r="AP11" s="580"/>
      <c r="AQ11" s="580"/>
      <c r="AR11" s="580"/>
      <c r="AS11" s="580"/>
      <c r="AT11" s="580"/>
      <c r="AU11" s="580"/>
      <c r="AV11" s="580"/>
      <c r="AW11" s="580"/>
      <c r="AX11" s="580"/>
      <c r="AY11" s="580"/>
      <c r="AZ11" s="580"/>
      <c r="BA11" s="580"/>
      <c r="BB11" s="580"/>
      <c r="BC11" s="580"/>
      <c r="BD11" s="580"/>
      <c r="BE11" s="580"/>
    </row>
    <row r="12" spans="1:57">
      <c r="A12" s="580" t="s">
        <v>1063</v>
      </c>
      <c r="B12" s="625" t="s">
        <v>17</v>
      </c>
      <c r="C12" s="626" t="s">
        <v>18</v>
      </c>
      <c r="D12" s="625" t="s">
        <v>24</v>
      </c>
      <c r="E12" s="635">
        <f t="shared" si="0"/>
        <v>0</v>
      </c>
      <c r="F12" s="635">
        <f t="shared" si="1"/>
        <v>1</v>
      </c>
      <c r="G12" s="635">
        <f t="shared" si="2"/>
        <v>1</v>
      </c>
      <c r="H12" s="635">
        <f t="shared" si="3"/>
        <v>0</v>
      </c>
      <c r="I12" s="669">
        <v>0</v>
      </c>
      <c r="J12" s="669">
        <v>0</v>
      </c>
      <c r="K12" s="669">
        <v>0</v>
      </c>
      <c r="L12" s="669">
        <v>0</v>
      </c>
      <c r="M12" s="669">
        <v>0</v>
      </c>
      <c r="N12" s="667">
        <v>0</v>
      </c>
      <c r="O12" s="668">
        <v>0</v>
      </c>
      <c r="P12" s="668">
        <v>0</v>
      </c>
      <c r="Q12" s="580"/>
      <c r="R12" s="580"/>
      <c r="S12" s="580"/>
      <c r="T12" s="580"/>
      <c r="U12" s="580"/>
      <c r="V12" s="580"/>
      <c r="W12" s="581"/>
      <c r="X12" s="580"/>
      <c r="Y12" s="580"/>
      <c r="Z12" s="580"/>
      <c r="AA12" s="580"/>
      <c r="AB12" s="580"/>
      <c r="AC12" s="580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80"/>
      <c r="AS12" s="580"/>
      <c r="AT12" s="580"/>
      <c r="AU12" s="580"/>
      <c r="AV12" s="580"/>
      <c r="AW12" s="580"/>
      <c r="AX12" s="580"/>
      <c r="AY12" s="580"/>
      <c r="AZ12" s="580"/>
      <c r="BA12" s="580"/>
      <c r="BB12" s="580"/>
      <c r="BC12" s="580"/>
      <c r="BD12" s="580"/>
      <c r="BE12" s="580"/>
    </row>
    <row r="13" spans="1:57" s="672" customFormat="1">
      <c r="A13" s="580"/>
      <c r="B13" s="625"/>
      <c r="C13" s="626"/>
      <c r="D13" s="625"/>
      <c r="E13" s="635"/>
      <c r="F13" s="635"/>
      <c r="G13" s="635"/>
      <c r="H13" s="635"/>
      <c r="I13" s="669"/>
      <c r="J13" s="669"/>
      <c r="K13" s="669"/>
      <c r="L13" s="669"/>
      <c r="M13" s="669"/>
      <c r="N13" s="667"/>
      <c r="O13" s="668"/>
      <c r="P13" s="668"/>
      <c r="Q13" s="580"/>
      <c r="R13" s="580"/>
      <c r="S13" s="580"/>
      <c r="T13" s="580"/>
      <c r="U13" s="580"/>
      <c r="V13" s="580"/>
      <c r="W13" s="581"/>
      <c r="X13" s="580"/>
      <c r="Y13" s="580"/>
      <c r="Z13" s="580"/>
      <c r="AA13" s="580"/>
      <c r="AB13" s="580"/>
      <c r="AC13" s="580"/>
      <c r="AD13" s="580"/>
      <c r="AE13" s="580"/>
      <c r="AF13" s="580"/>
      <c r="AG13" s="580"/>
      <c r="AH13" s="580"/>
      <c r="AI13" s="580"/>
      <c r="AJ13" s="580"/>
      <c r="AK13" s="580"/>
      <c r="AL13" s="580"/>
      <c r="AM13" s="580"/>
      <c r="AN13" s="580"/>
      <c r="AO13" s="580"/>
      <c r="AP13" s="580"/>
      <c r="AQ13" s="580"/>
      <c r="AR13" s="580"/>
      <c r="AS13" s="580"/>
      <c r="AT13" s="580"/>
      <c r="AU13" s="580"/>
      <c r="AV13" s="580"/>
      <c r="AW13" s="580"/>
      <c r="AX13" s="580"/>
      <c r="AY13" s="580"/>
      <c r="AZ13" s="580"/>
      <c r="BA13" s="580"/>
      <c r="BB13" s="580"/>
      <c r="BC13" s="580"/>
      <c r="BD13" s="580"/>
      <c r="BE13" s="580"/>
    </row>
    <row r="14" spans="1:57" ht="14.65" customHeight="1">
      <c r="A14" s="607" t="s">
        <v>3</v>
      </c>
      <c r="B14" s="580"/>
      <c r="C14" s="580"/>
      <c r="D14" s="580"/>
      <c r="E14" s="630"/>
      <c r="F14" s="630"/>
      <c r="G14" s="630"/>
      <c r="H14" s="630"/>
      <c r="I14" s="580"/>
      <c r="J14" s="580"/>
      <c r="K14" s="580"/>
      <c r="L14" s="580"/>
      <c r="M14" s="580"/>
      <c r="N14" s="580"/>
      <c r="O14" s="580"/>
      <c r="P14" s="580"/>
      <c r="Q14" s="580"/>
      <c r="R14" s="580"/>
      <c r="S14" s="580"/>
      <c r="T14" s="580"/>
      <c r="U14" s="580"/>
      <c r="V14" s="580"/>
      <c r="W14" s="580"/>
      <c r="X14" s="580"/>
      <c r="Y14" s="580"/>
      <c r="Z14" s="580"/>
      <c r="AA14" s="580"/>
      <c r="AB14" s="580"/>
      <c r="AC14" s="580"/>
      <c r="AD14" s="580"/>
      <c r="AE14" s="580"/>
      <c r="AF14" s="580"/>
      <c r="AG14" s="580"/>
      <c r="AH14" s="580"/>
      <c r="AI14" s="580"/>
      <c r="AJ14" s="580"/>
      <c r="AK14" s="580"/>
      <c r="AL14" s="580"/>
      <c r="AM14" s="580"/>
      <c r="AN14" s="580"/>
      <c r="AO14" s="580"/>
      <c r="AP14" s="580"/>
      <c r="AQ14" s="580"/>
      <c r="AR14" s="580"/>
      <c r="AS14" s="580"/>
    </row>
    <row r="15" spans="1:57" ht="14.65" customHeight="1">
      <c r="A15" s="607" t="s">
        <v>4</v>
      </c>
      <c r="B15" s="580"/>
      <c r="C15" s="580"/>
      <c r="D15" s="580"/>
      <c r="E15" s="633" t="s">
        <v>5</v>
      </c>
      <c r="F15" s="633" t="s">
        <v>6</v>
      </c>
      <c r="G15" s="633" t="s">
        <v>7</v>
      </c>
      <c r="H15" s="633" t="s">
        <v>8</v>
      </c>
      <c r="I15" s="634" t="s">
        <v>9</v>
      </c>
      <c r="J15" s="634" t="s">
        <v>10</v>
      </c>
      <c r="K15" s="634" t="s">
        <v>11</v>
      </c>
      <c r="L15" s="634" t="s">
        <v>12</v>
      </c>
      <c r="M15" s="634" t="s">
        <v>13</v>
      </c>
      <c r="N15" s="634" t="s">
        <v>14</v>
      </c>
      <c r="O15" s="634" t="s">
        <v>15</v>
      </c>
      <c r="P15" s="634" t="s">
        <v>16</v>
      </c>
      <c r="Q15" s="580"/>
      <c r="R15" s="580"/>
      <c r="S15" s="580"/>
      <c r="T15" s="580"/>
      <c r="U15" s="580"/>
      <c r="V15" s="580"/>
      <c r="W15" s="580"/>
      <c r="X15" s="580"/>
      <c r="Y15" s="580"/>
      <c r="Z15" s="580"/>
      <c r="AA15" s="580"/>
      <c r="AB15" s="580"/>
      <c r="AC15" s="580"/>
      <c r="AD15" s="580"/>
      <c r="AE15" s="580"/>
      <c r="AF15" s="580"/>
      <c r="AG15" s="580"/>
      <c r="AH15" s="580"/>
      <c r="AI15" s="580"/>
      <c r="AJ15" s="580"/>
      <c r="AK15" s="580"/>
      <c r="AL15" s="580"/>
      <c r="AM15" s="580"/>
      <c r="AN15" s="580"/>
      <c r="AO15" s="580"/>
      <c r="AP15" s="580"/>
      <c r="AQ15" s="580"/>
      <c r="AR15" s="580"/>
      <c r="AS15" s="580"/>
    </row>
    <row r="16" spans="1:57" ht="14.65" customHeight="1">
      <c r="A16" s="580" t="s">
        <v>1069</v>
      </c>
      <c r="B16" s="580"/>
      <c r="C16" s="580"/>
      <c r="D16" s="580"/>
      <c r="E16" s="635">
        <f>1-F16</f>
        <v>0</v>
      </c>
      <c r="F16" s="635">
        <f>G16+H16</f>
        <v>1</v>
      </c>
      <c r="G16" s="635">
        <f>1-H16</f>
        <v>1</v>
      </c>
      <c r="H16" s="635">
        <f>+SUM(I16:O16)</f>
        <v>0</v>
      </c>
      <c r="I16" s="636">
        <v>0</v>
      </c>
      <c r="J16" s="636">
        <v>0</v>
      </c>
      <c r="K16" s="636">
        <v>0</v>
      </c>
      <c r="L16" s="636">
        <v>0</v>
      </c>
      <c r="M16" s="636">
        <v>0</v>
      </c>
      <c r="N16" s="637">
        <v>0</v>
      </c>
      <c r="O16" s="638">
        <v>0</v>
      </c>
      <c r="P16" s="638">
        <v>0</v>
      </c>
      <c r="Q16" s="580"/>
      <c r="R16" s="580"/>
      <c r="S16" s="580"/>
      <c r="T16" s="580"/>
      <c r="U16" s="580"/>
      <c r="V16" s="580"/>
      <c r="W16" s="580"/>
      <c r="X16" s="580"/>
      <c r="Y16" s="580"/>
      <c r="Z16" s="580"/>
      <c r="AA16" s="580"/>
      <c r="AB16" s="580"/>
      <c r="AC16" s="580"/>
      <c r="AD16" s="580"/>
      <c r="AE16" s="580"/>
      <c r="AF16" s="580"/>
      <c r="AG16" s="580"/>
      <c r="AH16" s="580"/>
      <c r="AI16" s="580"/>
      <c r="AJ16" s="580"/>
      <c r="AK16" s="580"/>
      <c r="AL16" s="580"/>
      <c r="AM16" s="580"/>
      <c r="AN16" s="580"/>
      <c r="AO16" s="580"/>
      <c r="AP16" s="580"/>
      <c r="AQ16" s="580"/>
      <c r="AR16" s="580"/>
      <c r="AS16" s="580"/>
    </row>
    <row r="17" spans="1:57">
      <c r="A17" s="580" t="s">
        <v>1071</v>
      </c>
      <c r="B17" s="580"/>
      <c r="C17" s="580"/>
      <c r="D17" s="580"/>
      <c r="E17" s="635">
        <f>1-F17</f>
        <v>0</v>
      </c>
      <c r="F17" s="635">
        <f>G17+H17</f>
        <v>1</v>
      </c>
      <c r="G17" s="635">
        <f>1-H17</f>
        <v>0</v>
      </c>
      <c r="H17" s="635">
        <f>+SUM(I17:O17)</f>
        <v>1</v>
      </c>
      <c r="I17" s="639">
        <v>0.25</v>
      </c>
      <c r="J17" s="639">
        <v>0.25</v>
      </c>
      <c r="K17" s="639">
        <v>0.25</v>
      </c>
      <c r="L17" s="639">
        <v>0</v>
      </c>
      <c r="M17" s="639">
        <v>0.25</v>
      </c>
      <c r="N17" s="637">
        <v>0</v>
      </c>
      <c r="O17" s="638">
        <v>0</v>
      </c>
      <c r="P17" s="638">
        <v>0</v>
      </c>
      <c r="Q17" s="580"/>
      <c r="R17" s="580"/>
      <c r="S17" s="580"/>
      <c r="T17" s="580"/>
      <c r="U17" s="580"/>
      <c r="V17" s="580"/>
      <c r="W17" s="580"/>
      <c r="X17" s="580"/>
      <c r="Y17" s="580"/>
      <c r="Z17" s="580"/>
      <c r="AA17" s="580"/>
      <c r="AB17" s="580"/>
      <c r="AC17" s="580"/>
      <c r="AD17" s="580"/>
      <c r="AE17" s="580"/>
      <c r="AF17" s="580"/>
      <c r="AG17" s="580"/>
      <c r="AH17" s="580"/>
      <c r="AI17" s="580"/>
      <c r="AJ17" s="580"/>
      <c r="AK17" s="580"/>
      <c r="AL17" s="580"/>
      <c r="AM17" s="580"/>
      <c r="AN17" s="580"/>
      <c r="AO17" s="580"/>
      <c r="AP17" s="580"/>
      <c r="AQ17" s="580"/>
      <c r="AR17" s="580"/>
      <c r="AS17" s="580"/>
    </row>
    <row r="18" spans="1:57">
      <c r="A18" s="580" t="s">
        <v>1073</v>
      </c>
      <c r="B18" s="580"/>
      <c r="C18" s="580"/>
      <c r="D18" s="580"/>
      <c r="E18" s="635">
        <f>1-F18</f>
        <v>0</v>
      </c>
      <c r="F18" s="635">
        <f>G18+H18</f>
        <v>1</v>
      </c>
      <c r="G18" s="635">
        <f>1-H18</f>
        <v>0</v>
      </c>
      <c r="H18" s="635">
        <f>+SUM(I18:O18)</f>
        <v>1</v>
      </c>
      <c r="I18" s="639">
        <v>0.25</v>
      </c>
      <c r="J18" s="639">
        <v>0.25</v>
      </c>
      <c r="K18" s="639">
        <v>0.25</v>
      </c>
      <c r="L18" s="639">
        <v>0</v>
      </c>
      <c r="M18" s="639">
        <v>0.25</v>
      </c>
      <c r="N18" s="637">
        <v>0</v>
      </c>
      <c r="O18" s="638">
        <v>0</v>
      </c>
      <c r="P18" s="638">
        <v>0</v>
      </c>
      <c r="Q18" s="580"/>
      <c r="R18" s="580"/>
      <c r="S18" s="580"/>
      <c r="T18" s="580"/>
      <c r="U18" s="580"/>
      <c r="V18" s="580"/>
      <c r="W18" s="580"/>
      <c r="X18" s="580"/>
      <c r="Y18" s="580"/>
      <c r="Z18" s="580"/>
      <c r="AA18" s="580"/>
      <c r="AB18" s="580"/>
      <c r="AC18" s="580"/>
      <c r="AD18" s="580"/>
      <c r="AE18" s="580"/>
      <c r="AF18" s="580"/>
      <c r="AG18" s="580"/>
      <c r="AH18" s="580"/>
      <c r="AI18" s="580"/>
      <c r="AJ18" s="580"/>
      <c r="AK18" s="580"/>
      <c r="AL18" s="580"/>
      <c r="AM18" s="580"/>
      <c r="AN18" s="580"/>
      <c r="AO18" s="580"/>
      <c r="AP18" s="580"/>
      <c r="AQ18" s="580"/>
      <c r="AR18" s="580"/>
      <c r="AS18" s="580"/>
    </row>
    <row r="19" spans="1:57">
      <c r="A19" s="580" t="s">
        <v>1075</v>
      </c>
      <c r="B19" s="580"/>
      <c r="C19" s="580"/>
      <c r="D19" s="580"/>
      <c r="E19" s="635">
        <f>1-F19</f>
        <v>0</v>
      </c>
      <c r="F19" s="635">
        <f>G19+H19</f>
        <v>1</v>
      </c>
      <c r="G19" s="635">
        <f>1-H19</f>
        <v>0</v>
      </c>
      <c r="H19" s="635">
        <f>+SUM(I19:O19)</f>
        <v>1</v>
      </c>
      <c r="I19" s="639">
        <v>0.25</v>
      </c>
      <c r="J19" s="639">
        <v>0.25</v>
      </c>
      <c r="K19" s="639">
        <v>0.25</v>
      </c>
      <c r="L19" s="639">
        <v>0</v>
      </c>
      <c r="M19" s="639">
        <v>0.25</v>
      </c>
      <c r="N19" s="637">
        <v>0</v>
      </c>
      <c r="O19" s="638">
        <v>0</v>
      </c>
      <c r="P19" s="638">
        <v>0</v>
      </c>
      <c r="Q19" s="580"/>
      <c r="R19" s="580"/>
      <c r="S19" s="580"/>
      <c r="T19" s="580"/>
      <c r="U19" s="580"/>
      <c r="V19" s="580"/>
      <c r="W19" s="580"/>
      <c r="X19" s="580"/>
      <c r="Y19" s="580"/>
      <c r="Z19" s="580"/>
      <c r="AA19" s="580"/>
      <c r="AB19" s="580"/>
      <c r="AC19" s="580"/>
      <c r="AD19" s="580"/>
      <c r="AE19" s="580"/>
      <c r="AF19" s="580"/>
      <c r="AG19" s="580"/>
      <c r="AH19" s="580"/>
      <c r="AI19" s="580"/>
      <c r="AJ19" s="580"/>
      <c r="AK19" s="580"/>
      <c r="AL19" s="580"/>
      <c r="AM19" s="580"/>
      <c r="AN19" s="580"/>
      <c r="AO19" s="580"/>
      <c r="AP19" s="580"/>
      <c r="AQ19" s="580"/>
      <c r="AR19" s="580"/>
      <c r="AS19" s="580"/>
    </row>
    <row r="20" spans="1:57">
      <c r="A20" s="580" t="s">
        <v>1077</v>
      </c>
      <c r="B20" s="580"/>
      <c r="C20" s="580"/>
      <c r="D20" s="580"/>
      <c r="E20" s="635">
        <f>1-F20</f>
        <v>0</v>
      </c>
      <c r="F20" s="635">
        <f>G20+H20</f>
        <v>1</v>
      </c>
      <c r="G20" s="635">
        <f>1-H20</f>
        <v>0</v>
      </c>
      <c r="H20" s="635">
        <f>+SUM(I20:O20)</f>
        <v>1</v>
      </c>
      <c r="I20" s="639">
        <v>0.25</v>
      </c>
      <c r="J20" s="639">
        <v>0.25</v>
      </c>
      <c r="K20" s="639">
        <v>0.25</v>
      </c>
      <c r="L20" s="639">
        <v>0</v>
      </c>
      <c r="M20" s="639">
        <v>0.25</v>
      </c>
      <c r="N20" s="637">
        <v>0</v>
      </c>
      <c r="O20" s="638">
        <v>0</v>
      </c>
      <c r="P20" s="638">
        <v>0</v>
      </c>
      <c r="Q20" s="580"/>
      <c r="R20" s="580"/>
      <c r="S20" s="580"/>
      <c r="T20" s="580"/>
      <c r="U20" s="580"/>
      <c r="V20" s="580"/>
      <c r="W20" s="580"/>
      <c r="X20" s="580"/>
      <c r="Y20" s="580"/>
      <c r="Z20" s="580"/>
      <c r="AA20" s="580"/>
      <c r="AB20" s="580"/>
      <c r="AC20" s="580"/>
      <c r="AD20" s="580"/>
      <c r="AE20" s="580"/>
      <c r="AF20" s="580"/>
      <c r="AG20" s="580"/>
      <c r="AH20" s="580"/>
      <c r="AI20" s="580"/>
      <c r="AJ20" s="580"/>
      <c r="AK20" s="580"/>
      <c r="AL20" s="580"/>
      <c r="AM20" s="580"/>
      <c r="AN20" s="580"/>
      <c r="AO20" s="580"/>
      <c r="AP20" s="580"/>
      <c r="AQ20" s="580"/>
      <c r="AR20" s="580"/>
      <c r="AS20" s="580"/>
    </row>
    <row r="21" spans="1:57">
      <c r="A21" s="580" t="s">
        <v>1079</v>
      </c>
      <c r="B21" s="580"/>
      <c r="C21" s="580"/>
      <c r="D21" s="580"/>
      <c r="E21" s="635">
        <f>1-F21</f>
        <v>0</v>
      </c>
      <c r="F21" s="635">
        <f>G21+H21</f>
        <v>1</v>
      </c>
      <c r="G21" s="635">
        <f>1-H21</f>
        <v>0</v>
      </c>
      <c r="H21" s="635">
        <f>+SUM(I21:O21)</f>
        <v>1</v>
      </c>
      <c r="I21" s="639">
        <v>0</v>
      </c>
      <c r="J21" s="639">
        <v>0</v>
      </c>
      <c r="K21" s="639">
        <v>0.5</v>
      </c>
      <c r="L21" s="639">
        <v>0</v>
      </c>
      <c r="M21" s="639">
        <v>0.5</v>
      </c>
      <c r="N21" s="637">
        <v>0</v>
      </c>
      <c r="O21" s="638">
        <v>0</v>
      </c>
      <c r="P21" s="638">
        <v>0</v>
      </c>
      <c r="Q21" s="580"/>
      <c r="R21" s="580"/>
      <c r="S21" s="580"/>
      <c r="T21" s="580"/>
      <c r="U21" s="580"/>
      <c r="V21" s="580"/>
      <c r="W21" s="580"/>
      <c r="X21" s="580"/>
      <c r="Y21" s="580"/>
      <c r="Z21" s="580"/>
      <c r="AA21" s="580"/>
      <c r="AB21" s="580"/>
      <c r="AC21" s="580"/>
      <c r="AD21" s="580"/>
      <c r="AE21" s="580"/>
      <c r="AF21" s="580"/>
      <c r="AG21" s="580"/>
      <c r="AH21" s="580"/>
      <c r="AI21" s="580"/>
      <c r="AJ21" s="580"/>
      <c r="AK21" s="580"/>
      <c r="AL21" s="580"/>
      <c r="AM21" s="580"/>
      <c r="AN21" s="580"/>
      <c r="AO21" s="580"/>
      <c r="AP21" s="580"/>
      <c r="AQ21" s="580"/>
      <c r="AR21" s="580"/>
      <c r="AS21" s="580"/>
    </row>
    <row r="22" spans="1:57" s="579" customFormat="1">
      <c r="A22" s="580"/>
      <c r="B22" s="657"/>
      <c r="C22" s="615"/>
      <c r="D22" s="657"/>
      <c r="E22" s="635"/>
      <c r="F22" s="635"/>
      <c r="G22" s="635"/>
      <c r="H22" s="635"/>
      <c r="I22" s="639"/>
      <c r="J22" s="639"/>
      <c r="K22" s="639"/>
      <c r="L22" s="639"/>
      <c r="M22" s="639"/>
      <c r="N22" s="637"/>
      <c r="O22" s="638"/>
      <c r="P22" s="638"/>
      <c r="Q22" s="580"/>
      <c r="R22" s="580"/>
      <c r="S22" s="580"/>
      <c r="T22" s="580"/>
      <c r="U22" s="580"/>
      <c r="V22" s="580"/>
      <c r="W22" s="581"/>
      <c r="X22" s="580"/>
      <c r="Y22" s="580"/>
      <c r="Z22" s="580"/>
      <c r="AA22" s="580"/>
      <c r="AB22" s="580"/>
      <c r="AC22" s="580"/>
      <c r="AD22" s="580"/>
      <c r="AE22" s="580"/>
      <c r="AF22" s="580"/>
      <c r="AG22" s="580"/>
      <c r="AH22" s="580"/>
      <c r="AI22" s="580"/>
      <c r="AJ22" s="580"/>
      <c r="AK22" s="580"/>
      <c r="AL22" s="580"/>
      <c r="AM22" s="580"/>
      <c r="AN22" s="580"/>
      <c r="AO22" s="580"/>
      <c r="AP22" s="580"/>
      <c r="AQ22" s="580"/>
      <c r="AR22" s="580"/>
      <c r="AS22" s="580"/>
      <c r="AT22" s="580"/>
      <c r="AU22" s="580"/>
      <c r="AV22" s="580"/>
      <c r="AW22" s="580"/>
      <c r="AX22" s="580"/>
      <c r="AY22" s="580"/>
      <c r="AZ22" s="580"/>
      <c r="BA22" s="580"/>
      <c r="BB22" s="580"/>
      <c r="BC22" s="580"/>
      <c r="BD22" s="580"/>
      <c r="BE22" s="580"/>
    </row>
    <row r="23" spans="1:57" ht="14.65" customHeight="1">
      <c r="A23" s="583" t="s">
        <v>3</v>
      </c>
      <c r="B23" s="661"/>
      <c r="C23" s="629"/>
      <c r="D23" s="661"/>
      <c r="E23" s="663"/>
      <c r="F23" s="663"/>
      <c r="G23" s="663"/>
      <c r="H23" s="663"/>
      <c r="I23" s="583"/>
      <c r="J23" s="583"/>
      <c r="K23" s="583"/>
      <c r="L23" s="583"/>
      <c r="M23" s="583"/>
      <c r="N23" s="583"/>
      <c r="O23" s="583"/>
      <c r="P23" s="583"/>
      <c r="Q23" s="583"/>
      <c r="R23" s="583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583"/>
      <c r="AD23" s="583"/>
      <c r="AE23" s="583"/>
      <c r="AF23" s="583"/>
      <c r="AG23" s="583"/>
      <c r="AH23" s="583"/>
      <c r="AI23" s="583"/>
      <c r="AJ23" s="583"/>
      <c r="AK23" s="583"/>
      <c r="AL23" s="583"/>
      <c r="AM23" s="583"/>
      <c r="AN23" s="583"/>
      <c r="AO23" s="583"/>
      <c r="AP23" s="583"/>
      <c r="AQ23" s="583"/>
      <c r="AR23" s="583"/>
      <c r="AS23" s="583"/>
      <c r="AT23" s="583"/>
      <c r="AU23" s="583"/>
      <c r="AV23" s="583"/>
      <c r="AW23" s="583"/>
      <c r="AX23" s="583"/>
      <c r="AY23" s="583"/>
      <c r="AZ23" s="583"/>
      <c r="BA23" s="583"/>
      <c r="BB23" s="583"/>
      <c r="BC23" s="583"/>
      <c r="BD23" s="583"/>
      <c r="BE23" s="583"/>
    </row>
    <row r="24" spans="1:57" ht="14.65" customHeight="1">
      <c r="A24" s="583" t="s">
        <v>25</v>
      </c>
      <c r="B24" s="661"/>
      <c r="C24" s="629"/>
      <c r="D24" s="661"/>
      <c r="E24" s="664" t="s">
        <v>5</v>
      </c>
      <c r="F24" s="664" t="s">
        <v>6</v>
      </c>
      <c r="G24" s="664" t="s">
        <v>7</v>
      </c>
      <c r="H24" s="664" t="s">
        <v>8</v>
      </c>
      <c r="I24" s="665" t="s">
        <v>9</v>
      </c>
      <c r="J24" s="665" t="s">
        <v>10</v>
      </c>
      <c r="K24" s="665" t="s">
        <v>11</v>
      </c>
      <c r="L24" s="665" t="s">
        <v>12</v>
      </c>
      <c r="M24" s="665" t="s">
        <v>13</v>
      </c>
      <c r="N24" s="665" t="s">
        <v>14</v>
      </c>
      <c r="O24" s="665" t="s">
        <v>15</v>
      </c>
      <c r="P24" s="665" t="s">
        <v>16</v>
      </c>
      <c r="Q24" s="583"/>
      <c r="R24" s="583"/>
      <c r="S24" s="583"/>
      <c r="T24" s="583"/>
      <c r="U24" s="583"/>
      <c r="V24" s="583"/>
      <c r="W24" s="583"/>
      <c r="X24" s="583"/>
      <c r="Y24" s="583"/>
      <c r="Z24" s="583"/>
      <c r="AA24" s="583"/>
      <c r="AB24" s="583"/>
      <c r="AC24" s="583"/>
      <c r="AD24" s="583"/>
      <c r="AE24" s="583"/>
      <c r="AF24" s="583"/>
      <c r="AG24" s="583"/>
      <c r="AH24" s="583"/>
      <c r="AI24" s="583"/>
      <c r="AJ24" s="583"/>
      <c r="AK24" s="583"/>
      <c r="AL24" s="583"/>
      <c r="AM24" s="583"/>
      <c r="AN24" s="583"/>
      <c r="AO24" s="583"/>
      <c r="AP24" s="583"/>
      <c r="AQ24" s="583"/>
      <c r="AR24" s="583"/>
      <c r="AS24" s="583"/>
      <c r="AT24" s="583"/>
      <c r="AU24" s="583"/>
      <c r="AV24" s="583"/>
      <c r="AW24" s="583"/>
      <c r="AX24" s="583"/>
      <c r="AY24" s="583"/>
      <c r="AZ24" s="583"/>
      <c r="BA24" s="583"/>
      <c r="BB24" s="583"/>
      <c r="BC24" s="583"/>
      <c r="BD24" s="583"/>
      <c r="BE24" s="583"/>
    </row>
    <row r="25" spans="1:57" ht="14.65" customHeight="1">
      <c r="A25" s="580" t="s">
        <v>1082</v>
      </c>
      <c r="B25" s="625" t="s">
        <v>17</v>
      </c>
      <c r="C25" s="626" t="s">
        <v>18</v>
      </c>
      <c r="D25" s="625" t="s">
        <v>26</v>
      </c>
      <c r="E25" s="635">
        <f t="shared" ref="E25:E35" si="4">1-F25</f>
        <v>0</v>
      </c>
      <c r="F25" s="635">
        <f t="shared" ref="F25:F35" si="5">G25+H25</f>
        <v>1</v>
      </c>
      <c r="G25" s="635">
        <f t="shared" ref="G25:G35" si="6">1-H25</f>
        <v>1</v>
      </c>
      <c r="H25" s="635">
        <f t="shared" ref="H25:H35" si="7">+SUM(I25:O25)</f>
        <v>0</v>
      </c>
      <c r="I25" s="666">
        <v>0</v>
      </c>
      <c r="J25" s="666">
        <v>0</v>
      </c>
      <c r="K25" s="666">
        <v>0</v>
      </c>
      <c r="L25" s="666">
        <v>0</v>
      </c>
      <c r="M25" s="666">
        <v>0</v>
      </c>
      <c r="N25" s="667">
        <v>0</v>
      </c>
      <c r="O25" s="668">
        <v>0</v>
      </c>
      <c r="P25" s="668">
        <v>0</v>
      </c>
      <c r="Q25" s="580"/>
      <c r="R25" s="580"/>
      <c r="S25" s="580"/>
      <c r="T25" s="580"/>
      <c r="U25" s="580"/>
      <c r="V25" s="580"/>
      <c r="W25" s="580"/>
      <c r="X25" s="580"/>
      <c r="Y25" s="580"/>
      <c r="Z25" s="580"/>
      <c r="AA25" s="580"/>
      <c r="AB25" s="580"/>
      <c r="AC25" s="580"/>
      <c r="AD25" s="580"/>
      <c r="AE25" s="580"/>
      <c r="AF25" s="580"/>
      <c r="AG25" s="580"/>
      <c r="AH25" s="580"/>
      <c r="AI25" s="580"/>
      <c r="AJ25" s="580"/>
      <c r="AK25" s="580"/>
      <c r="AL25" s="580"/>
      <c r="AM25" s="580"/>
      <c r="AN25" s="580"/>
      <c r="AO25" s="580"/>
      <c r="AP25" s="580"/>
      <c r="AQ25" s="580"/>
      <c r="AR25" s="580"/>
      <c r="AS25" s="580"/>
      <c r="AT25" s="580"/>
      <c r="AU25" s="580"/>
      <c r="AV25" s="580"/>
      <c r="AW25" s="580"/>
      <c r="AX25" s="580"/>
      <c r="AY25" s="580"/>
      <c r="AZ25" s="580"/>
      <c r="BA25" s="580"/>
      <c r="BB25" s="580"/>
      <c r="BC25" s="580"/>
      <c r="BD25" s="580"/>
      <c r="BE25" s="580"/>
    </row>
    <row r="26" spans="1:57">
      <c r="A26" s="580" t="s">
        <v>1084</v>
      </c>
      <c r="B26" s="625" t="s">
        <v>17</v>
      </c>
      <c r="C26" s="626" t="s">
        <v>18</v>
      </c>
      <c r="D26" s="625" t="s">
        <v>27</v>
      </c>
      <c r="E26" s="635">
        <f t="shared" si="4"/>
        <v>0</v>
      </c>
      <c r="F26" s="635">
        <f t="shared" si="5"/>
        <v>1</v>
      </c>
      <c r="G26" s="635">
        <f t="shared" si="6"/>
        <v>0</v>
      </c>
      <c r="H26" s="635">
        <f t="shared" si="7"/>
        <v>1</v>
      </c>
      <c r="I26" s="669">
        <v>0</v>
      </c>
      <c r="J26" s="669">
        <v>0</v>
      </c>
      <c r="K26" s="669">
        <v>0.5</v>
      </c>
      <c r="L26" s="669">
        <v>0.5</v>
      </c>
      <c r="M26" s="669">
        <v>0</v>
      </c>
      <c r="N26" s="667">
        <v>0</v>
      </c>
      <c r="O26" s="668">
        <v>0</v>
      </c>
      <c r="P26" s="668">
        <v>0</v>
      </c>
      <c r="Q26" s="580"/>
      <c r="R26" s="580"/>
      <c r="S26" s="580"/>
      <c r="T26" s="580"/>
      <c r="U26" s="580"/>
      <c r="V26" s="580"/>
      <c r="W26" s="580"/>
      <c r="X26" s="580"/>
      <c r="Y26" s="580"/>
      <c r="Z26" s="580"/>
      <c r="AA26" s="580"/>
      <c r="AB26" s="580"/>
      <c r="AC26" s="580"/>
      <c r="AD26" s="580"/>
      <c r="AE26" s="580"/>
      <c r="AF26" s="580"/>
      <c r="AG26" s="580"/>
      <c r="AH26" s="580"/>
      <c r="AI26" s="580"/>
      <c r="AJ26" s="580"/>
      <c r="AK26" s="580"/>
      <c r="AL26" s="580"/>
      <c r="AM26" s="580"/>
      <c r="AN26" s="580"/>
      <c r="AO26" s="580"/>
      <c r="AP26" s="580"/>
      <c r="AQ26" s="580"/>
      <c r="AR26" s="580"/>
      <c r="AS26" s="580"/>
      <c r="AT26" s="580"/>
      <c r="AU26" s="580"/>
      <c r="AV26" s="580"/>
      <c r="AW26" s="580"/>
      <c r="AX26" s="580"/>
      <c r="AY26" s="580"/>
      <c r="AZ26" s="580"/>
      <c r="BA26" s="580"/>
      <c r="BB26" s="580"/>
      <c r="BC26" s="580"/>
      <c r="BD26" s="580"/>
      <c r="BE26" s="580"/>
    </row>
    <row r="27" spans="1:57">
      <c r="A27" s="580" t="s">
        <v>1086</v>
      </c>
      <c r="B27" s="625" t="s">
        <v>17</v>
      </c>
      <c r="C27" s="626" t="s">
        <v>18</v>
      </c>
      <c r="D27" s="625" t="s">
        <v>28</v>
      </c>
      <c r="E27" s="635">
        <f t="shared" si="4"/>
        <v>0</v>
      </c>
      <c r="F27" s="635">
        <f t="shared" si="5"/>
        <v>1</v>
      </c>
      <c r="G27" s="635">
        <f t="shared" si="6"/>
        <v>0</v>
      </c>
      <c r="H27" s="635">
        <f t="shared" si="7"/>
        <v>1</v>
      </c>
      <c r="I27" s="669">
        <v>0</v>
      </c>
      <c r="J27" s="669">
        <v>0</v>
      </c>
      <c r="K27" s="669">
        <v>0.5</v>
      </c>
      <c r="L27" s="669">
        <v>0.5</v>
      </c>
      <c r="M27" s="669">
        <v>0</v>
      </c>
      <c r="N27" s="667">
        <v>0</v>
      </c>
      <c r="O27" s="668">
        <v>0</v>
      </c>
      <c r="P27" s="668">
        <v>0</v>
      </c>
      <c r="Q27" s="580"/>
      <c r="R27" s="580"/>
      <c r="S27" s="580"/>
      <c r="T27" s="580"/>
      <c r="U27" s="580"/>
      <c r="V27" s="580"/>
      <c r="W27" s="580"/>
      <c r="X27" s="580"/>
      <c r="Y27" s="580"/>
      <c r="Z27" s="580"/>
      <c r="AA27" s="580"/>
      <c r="AB27" s="580"/>
      <c r="AC27" s="580"/>
      <c r="AD27" s="580"/>
      <c r="AE27" s="580"/>
      <c r="AF27" s="580"/>
      <c r="AG27" s="580"/>
      <c r="AH27" s="580"/>
      <c r="AI27" s="580"/>
      <c r="AJ27" s="580"/>
      <c r="AK27" s="580"/>
      <c r="AL27" s="580"/>
      <c r="AM27" s="580"/>
      <c r="AN27" s="580"/>
      <c r="AO27" s="580"/>
      <c r="AP27" s="580"/>
      <c r="AQ27" s="580"/>
      <c r="AR27" s="580"/>
      <c r="AS27" s="580"/>
      <c r="AT27" s="580"/>
      <c r="AU27" s="580"/>
      <c r="AV27" s="580"/>
      <c r="AW27" s="580"/>
      <c r="AX27" s="580"/>
      <c r="AY27" s="580"/>
      <c r="AZ27" s="580"/>
      <c r="BA27" s="580"/>
      <c r="BB27" s="580"/>
      <c r="BC27" s="580"/>
      <c r="BD27" s="580"/>
      <c r="BE27" s="580"/>
    </row>
    <row r="28" spans="1:57">
      <c r="A28" s="580" t="s">
        <v>1088</v>
      </c>
      <c r="B28" s="625" t="s">
        <v>17</v>
      </c>
      <c r="C28" s="626" t="s">
        <v>18</v>
      </c>
      <c r="D28" s="625" t="s">
        <v>29</v>
      </c>
      <c r="E28" s="635">
        <f t="shared" si="4"/>
        <v>0</v>
      </c>
      <c r="F28" s="635">
        <f t="shared" si="5"/>
        <v>1</v>
      </c>
      <c r="G28" s="635">
        <f t="shared" si="6"/>
        <v>1</v>
      </c>
      <c r="H28" s="635">
        <f t="shared" si="7"/>
        <v>0</v>
      </c>
      <c r="I28" s="669">
        <v>0</v>
      </c>
      <c r="J28" s="669">
        <v>0</v>
      </c>
      <c r="K28" s="669">
        <v>0</v>
      </c>
      <c r="L28" s="669">
        <v>0</v>
      </c>
      <c r="M28" s="669">
        <v>0</v>
      </c>
      <c r="N28" s="667">
        <v>0</v>
      </c>
      <c r="O28" s="668">
        <v>0</v>
      </c>
      <c r="P28" s="668">
        <v>0</v>
      </c>
      <c r="Q28" s="580"/>
      <c r="R28" s="580"/>
      <c r="S28" s="580"/>
      <c r="T28" s="580"/>
      <c r="U28" s="580"/>
      <c r="V28" s="580"/>
      <c r="W28" s="580"/>
      <c r="X28" s="580"/>
      <c r="Y28" s="580"/>
      <c r="Z28" s="580"/>
      <c r="AA28" s="580"/>
      <c r="AB28" s="580"/>
      <c r="AC28" s="580"/>
      <c r="AD28" s="580"/>
      <c r="AE28" s="580"/>
      <c r="AF28" s="580"/>
      <c r="AG28" s="580"/>
      <c r="AH28" s="580"/>
      <c r="AI28" s="580"/>
      <c r="AJ28" s="580"/>
      <c r="AK28" s="580"/>
      <c r="AL28" s="580"/>
      <c r="AM28" s="580"/>
      <c r="AN28" s="580"/>
      <c r="AO28" s="580"/>
      <c r="AP28" s="580"/>
      <c r="AQ28" s="580"/>
      <c r="AR28" s="580"/>
      <c r="AS28" s="580"/>
      <c r="AT28" s="580"/>
      <c r="AU28" s="580"/>
      <c r="AV28" s="580"/>
      <c r="AW28" s="580"/>
      <c r="AX28" s="580"/>
      <c r="AY28" s="580"/>
      <c r="AZ28" s="580"/>
      <c r="BA28" s="580"/>
      <c r="BB28" s="580"/>
      <c r="BC28" s="580"/>
      <c r="BD28" s="580"/>
      <c r="BE28" s="580"/>
    </row>
    <row r="29" spans="1:57">
      <c r="A29" s="580" t="s">
        <v>1090</v>
      </c>
      <c r="B29" s="625" t="s">
        <v>17</v>
      </c>
      <c r="C29" s="626" t="s">
        <v>18</v>
      </c>
      <c r="D29" s="625" t="s">
        <v>30</v>
      </c>
      <c r="E29" s="635">
        <f t="shared" si="4"/>
        <v>0</v>
      </c>
      <c r="F29" s="635">
        <f t="shared" si="5"/>
        <v>1</v>
      </c>
      <c r="G29" s="635">
        <f t="shared" si="6"/>
        <v>1</v>
      </c>
      <c r="H29" s="635">
        <f t="shared" si="7"/>
        <v>0</v>
      </c>
      <c r="I29" s="669">
        <v>0</v>
      </c>
      <c r="J29" s="669">
        <v>0</v>
      </c>
      <c r="K29" s="669">
        <v>0</v>
      </c>
      <c r="L29" s="669">
        <v>0</v>
      </c>
      <c r="M29" s="669">
        <v>0</v>
      </c>
      <c r="N29" s="667">
        <v>0</v>
      </c>
      <c r="O29" s="668">
        <v>0</v>
      </c>
      <c r="P29" s="668">
        <v>0</v>
      </c>
      <c r="Q29" s="580"/>
      <c r="R29" s="580"/>
      <c r="S29" s="580"/>
      <c r="T29" s="580"/>
      <c r="U29" s="580"/>
      <c r="V29" s="580"/>
      <c r="W29" s="580"/>
      <c r="X29" s="580"/>
      <c r="Y29" s="580"/>
      <c r="Z29" s="580"/>
      <c r="AA29" s="580"/>
      <c r="AB29" s="580"/>
      <c r="AC29" s="580"/>
      <c r="AD29" s="580"/>
      <c r="AE29" s="580"/>
      <c r="AF29" s="580"/>
      <c r="AG29" s="580"/>
      <c r="AH29" s="580"/>
      <c r="AI29" s="580"/>
      <c r="AJ29" s="580"/>
      <c r="AK29" s="580"/>
      <c r="AL29" s="580"/>
      <c r="AM29" s="580"/>
      <c r="AN29" s="580"/>
      <c r="AO29" s="580"/>
      <c r="AP29" s="580"/>
      <c r="AQ29" s="580"/>
      <c r="AR29" s="580"/>
      <c r="AS29" s="580"/>
      <c r="AT29" s="580"/>
      <c r="AU29" s="580"/>
      <c r="AV29" s="580"/>
      <c r="AW29" s="580"/>
      <c r="AX29" s="580"/>
      <c r="AY29" s="580"/>
      <c r="AZ29" s="580"/>
      <c r="BA29" s="580"/>
      <c r="BB29" s="580"/>
      <c r="BC29" s="580"/>
      <c r="BD29" s="580"/>
      <c r="BE29" s="580"/>
    </row>
    <row r="30" spans="1:57">
      <c r="A30" s="580" t="s">
        <v>1092</v>
      </c>
      <c r="B30" s="625" t="s">
        <v>17</v>
      </c>
      <c r="C30" s="626" t="s">
        <v>18</v>
      </c>
      <c r="D30" s="625" t="s">
        <v>31</v>
      </c>
      <c r="E30" s="635">
        <f t="shared" si="4"/>
        <v>0</v>
      </c>
      <c r="F30" s="635">
        <f t="shared" si="5"/>
        <v>1</v>
      </c>
      <c r="G30" s="635">
        <f t="shared" si="6"/>
        <v>1</v>
      </c>
      <c r="H30" s="635">
        <f t="shared" si="7"/>
        <v>0</v>
      </c>
      <c r="I30" s="669">
        <v>0</v>
      </c>
      <c r="J30" s="669">
        <v>0</v>
      </c>
      <c r="K30" s="669">
        <v>0</v>
      </c>
      <c r="L30" s="669">
        <v>0</v>
      </c>
      <c r="M30" s="669">
        <v>0</v>
      </c>
      <c r="N30" s="667">
        <v>0</v>
      </c>
      <c r="O30" s="668">
        <v>0</v>
      </c>
      <c r="P30" s="668">
        <v>0</v>
      </c>
      <c r="Q30" s="580"/>
      <c r="R30" s="580"/>
      <c r="S30" s="580"/>
      <c r="T30" s="580"/>
      <c r="U30" s="580"/>
      <c r="V30" s="580"/>
      <c r="W30" s="580"/>
      <c r="X30" s="580"/>
      <c r="Y30" s="580"/>
      <c r="Z30" s="580"/>
      <c r="AA30" s="580"/>
      <c r="AB30" s="580"/>
      <c r="AC30" s="580"/>
      <c r="AD30" s="580"/>
      <c r="AE30" s="580"/>
      <c r="AF30" s="580"/>
      <c r="AG30" s="580"/>
      <c r="AH30" s="580"/>
      <c r="AI30" s="580"/>
      <c r="AJ30" s="580"/>
      <c r="AK30" s="580"/>
      <c r="AL30" s="580"/>
      <c r="AM30" s="580"/>
      <c r="AN30" s="580"/>
      <c r="AO30" s="580"/>
      <c r="AP30" s="580"/>
      <c r="AQ30" s="580"/>
      <c r="AR30" s="580"/>
      <c r="AS30" s="580"/>
      <c r="AT30" s="580"/>
      <c r="AU30" s="580"/>
      <c r="AV30" s="580"/>
      <c r="AW30" s="580"/>
      <c r="AX30" s="580"/>
      <c r="AY30" s="580"/>
      <c r="AZ30" s="580"/>
      <c r="BA30" s="580"/>
      <c r="BB30" s="580"/>
      <c r="BC30" s="580"/>
      <c r="BD30" s="580"/>
      <c r="BE30" s="580"/>
    </row>
    <row r="31" spans="1:57">
      <c r="A31" s="580" t="s">
        <v>1094</v>
      </c>
      <c r="B31" s="625" t="s">
        <v>17</v>
      </c>
      <c r="C31" s="626" t="s">
        <v>18</v>
      </c>
      <c r="D31" s="625" t="s">
        <v>32</v>
      </c>
      <c r="E31" s="635">
        <f t="shared" si="4"/>
        <v>0</v>
      </c>
      <c r="F31" s="635">
        <f t="shared" si="5"/>
        <v>1</v>
      </c>
      <c r="G31" s="635">
        <f t="shared" si="6"/>
        <v>1</v>
      </c>
      <c r="H31" s="635">
        <f t="shared" si="7"/>
        <v>0</v>
      </c>
      <c r="I31" s="669">
        <v>0</v>
      </c>
      <c r="J31" s="669">
        <v>0</v>
      </c>
      <c r="K31" s="669">
        <v>0</v>
      </c>
      <c r="L31" s="669">
        <v>0</v>
      </c>
      <c r="M31" s="669">
        <v>0</v>
      </c>
      <c r="N31" s="667">
        <v>0</v>
      </c>
      <c r="O31" s="668">
        <v>0</v>
      </c>
      <c r="P31" s="668">
        <v>0</v>
      </c>
      <c r="Q31" s="580"/>
      <c r="R31" s="580"/>
      <c r="S31" s="580"/>
      <c r="T31" s="580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  <c r="AJ31" s="580"/>
      <c r="AK31" s="580"/>
      <c r="AL31" s="580"/>
      <c r="AM31" s="580"/>
      <c r="AN31" s="580"/>
      <c r="AO31" s="580"/>
      <c r="AP31" s="580"/>
      <c r="AQ31" s="580"/>
      <c r="AR31" s="580"/>
      <c r="AS31" s="580"/>
      <c r="AT31" s="580"/>
      <c r="AU31" s="580"/>
      <c r="AV31" s="580"/>
      <c r="AW31" s="580"/>
      <c r="AX31" s="580"/>
      <c r="AY31" s="580"/>
      <c r="AZ31" s="580"/>
      <c r="BA31" s="580"/>
      <c r="BB31" s="580"/>
      <c r="BC31" s="580"/>
      <c r="BD31" s="580"/>
      <c r="BE31" s="580"/>
    </row>
    <row r="32" spans="1:57">
      <c r="A32" s="580" t="s">
        <v>1096</v>
      </c>
      <c r="B32" s="625" t="s">
        <v>17</v>
      </c>
      <c r="C32" s="626" t="s">
        <v>18</v>
      </c>
      <c r="D32" s="625" t="s">
        <v>33</v>
      </c>
      <c r="E32" s="635">
        <f t="shared" si="4"/>
        <v>0</v>
      </c>
      <c r="F32" s="635">
        <f t="shared" si="5"/>
        <v>1</v>
      </c>
      <c r="G32" s="635">
        <f t="shared" si="6"/>
        <v>1</v>
      </c>
      <c r="H32" s="635">
        <f t="shared" si="7"/>
        <v>0</v>
      </c>
      <c r="I32" s="669">
        <v>0</v>
      </c>
      <c r="J32" s="669">
        <v>0</v>
      </c>
      <c r="K32" s="669">
        <v>0</v>
      </c>
      <c r="L32" s="669">
        <v>0</v>
      </c>
      <c r="M32" s="669">
        <v>0</v>
      </c>
      <c r="N32" s="667">
        <v>0</v>
      </c>
      <c r="O32" s="668">
        <v>0</v>
      </c>
      <c r="P32" s="668">
        <v>0</v>
      </c>
      <c r="Q32" s="580"/>
      <c r="R32" s="580"/>
      <c r="S32" s="580"/>
      <c r="T32" s="580"/>
      <c r="U32" s="580"/>
      <c r="V32" s="580"/>
      <c r="W32" s="580"/>
      <c r="X32" s="580"/>
      <c r="Y32" s="580"/>
      <c r="Z32" s="580"/>
      <c r="AA32" s="580"/>
      <c r="AB32" s="580"/>
      <c r="AC32" s="580"/>
      <c r="AD32" s="580"/>
      <c r="AE32" s="580"/>
      <c r="AF32" s="580"/>
      <c r="AG32" s="580"/>
      <c r="AH32" s="580"/>
      <c r="AI32" s="580"/>
      <c r="AJ32" s="580"/>
      <c r="AK32" s="580"/>
      <c r="AL32" s="580"/>
      <c r="AM32" s="580"/>
      <c r="AN32" s="580"/>
      <c r="AO32" s="580"/>
      <c r="AP32" s="580"/>
      <c r="AQ32" s="580"/>
      <c r="AR32" s="580"/>
      <c r="AS32" s="580"/>
      <c r="AT32" s="580"/>
      <c r="AU32" s="580"/>
      <c r="AV32" s="580"/>
      <c r="AW32" s="580"/>
      <c r="AX32" s="580"/>
      <c r="AY32" s="580"/>
      <c r="AZ32" s="580"/>
      <c r="BA32" s="580"/>
      <c r="BB32" s="580"/>
      <c r="BC32" s="580"/>
      <c r="BD32" s="580"/>
      <c r="BE32" s="580"/>
    </row>
    <row r="33" spans="1:57">
      <c r="A33" s="580" t="s">
        <v>1098</v>
      </c>
      <c r="B33" s="625" t="s">
        <v>17</v>
      </c>
      <c r="C33" s="626" t="s">
        <v>18</v>
      </c>
      <c r="D33" s="625" t="s">
        <v>34</v>
      </c>
      <c r="E33" s="635">
        <f t="shared" si="4"/>
        <v>0</v>
      </c>
      <c r="F33" s="635">
        <f t="shared" si="5"/>
        <v>1</v>
      </c>
      <c r="G33" s="635">
        <f t="shared" si="6"/>
        <v>1</v>
      </c>
      <c r="H33" s="635">
        <f t="shared" si="7"/>
        <v>0</v>
      </c>
      <c r="I33" s="669">
        <v>0</v>
      </c>
      <c r="J33" s="669">
        <v>0</v>
      </c>
      <c r="K33" s="669">
        <v>0</v>
      </c>
      <c r="L33" s="669">
        <v>0</v>
      </c>
      <c r="M33" s="669">
        <v>0</v>
      </c>
      <c r="N33" s="667">
        <v>0</v>
      </c>
      <c r="O33" s="668">
        <v>0</v>
      </c>
      <c r="P33" s="668">
        <v>0</v>
      </c>
      <c r="Q33" s="580"/>
      <c r="R33" s="580"/>
      <c r="S33" s="580"/>
      <c r="T33" s="580"/>
      <c r="U33" s="580"/>
      <c r="V33" s="580"/>
      <c r="W33" s="580"/>
      <c r="X33" s="580"/>
      <c r="Y33" s="580"/>
      <c r="Z33" s="580"/>
      <c r="AA33" s="580"/>
      <c r="AB33" s="580"/>
      <c r="AC33" s="580"/>
      <c r="AD33" s="580"/>
      <c r="AE33" s="580"/>
      <c r="AF33" s="580"/>
      <c r="AG33" s="580"/>
      <c r="AH33" s="580"/>
      <c r="AI33" s="580"/>
      <c r="AJ33" s="580"/>
      <c r="AK33" s="580"/>
      <c r="AL33" s="580"/>
      <c r="AM33" s="580"/>
      <c r="AN33" s="580"/>
      <c r="AO33" s="580"/>
      <c r="AP33" s="580"/>
      <c r="AQ33" s="580"/>
      <c r="AR33" s="580"/>
      <c r="AS33" s="580"/>
      <c r="AT33" s="580"/>
      <c r="AU33" s="580"/>
      <c r="AV33" s="580"/>
      <c r="AW33" s="580"/>
      <c r="AX33" s="580"/>
      <c r="AY33" s="580"/>
      <c r="AZ33" s="580"/>
      <c r="BA33" s="580"/>
      <c r="BB33" s="580"/>
      <c r="BC33" s="580"/>
      <c r="BD33" s="580"/>
      <c r="BE33" s="580"/>
    </row>
    <row r="34" spans="1:57">
      <c r="A34" s="580" t="s">
        <v>1100</v>
      </c>
      <c r="B34" s="625" t="s">
        <v>17</v>
      </c>
      <c r="C34" s="626" t="s">
        <v>18</v>
      </c>
      <c r="D34" s="625" t="s">
        <v>35</v>
      </c>
      <c r="E34" s="635">
        <f t="shared" si="4"/>
        <v>0</v>
      </c>
      <c r="F34" s="635">
        <f t="shared" si="5"/>
        <v>1</v>
      </c>
      <c r="G34" s="635">
        <f t="shared" si="6"/>
        <v>1</v>
      </c>
      <c r="H34" s="635">
        <f t="shared" si="7"/>
        <v>0</v>
      </c>
      <c r="I34" s="669">
        <v>0</v>
      </c>
      <c r="J34" s="669">
        <v>0</v>
      </c>
      <c r="K34" s="669">
        <v>0</v>
      </c>
      <c r="L34" s="669">
        <v>0</v>
      </c>
      <c r="M34" s="669">
        <v>0</v>
      </c>
      <c r="N34" s="667">
        <v>0</v>
      </c>
      <c r="O34" s="668">
        <v>0</v>
      </c>
      <c r="P34" s="668">
        <v>0</v>
      </c>
      <c r="Q34" s="580"/>
      <c r="R34" s="580"/>
      <c r="S34" s="580"/>
      <c r="T34" s="580"/>
      <c r="U34" s="580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580"/>
      <c r="AJ34" s="580"/>
      <c r="AK34" s="580"/>
      <c r="AL34" s="580"/>
      <c r="AM34" s="580"/>
      <c r="AN34" s="580"/>
      <c r="AO34" s="580"/>
      <c r="AP34" s="580"/>
      <c r="AQ34" s="580"/>
      <c r="AR34" s="580"/>
      <c r="AS34" s="580"/>
      <c r="AT34" s="580"/>
      <c r="AU34" s="580"/>
      <c r="AV34" s="580"/>
      <c r="AW34" s="580"/>
      <c r="AX34" s="580"/>
      <c r="AY34" s="580"/>
      <c r="AZ34" s="580"/>
      <c r="BA34" s="580"/>
      <c r="BB34" s="580"/>
      <c r="BC34" s="580"/>
      <c r="BD34" s="580"/>
      <c r="BE34" s="580"/>
    </row>
    <row r="35" spans="1:57">
      <c r="A35" s="580" t="s">
        <v>1102</v>
      </c>
      <c r="B35" s="625" t="s">
        <v>17</v>
      </c>
      <c r="C35" s="626" t="s">
        <v>18</v>
      </c>
      <c r="D35" s="625" t="s">
        <v>36</v>
      </c>
      <c r="E35" s="635">
        <f t="shared" si="4"/>
        <v>0</v>
      </c>
      <c r="F35" s="635">
        <f t="shared" si="5"/>
        <v>1</v>
      </c>
      <c r="G35" s="635">
        <f t="shared" si="6"/>
        <v>1</v>
      </c>
      <c r="H35" s="635">
        <f t="shared" si="7"/>
        <v>0</v>
      </c>
      <c r="I35" s="669">
        <v>0</v>
      </c>
      <c r="J35" s="669">
        <v>0</v>
      </c>
      <c r="K35" s="669">
        <v>0</v>
      </c>
      <c r="L35" s="669">
        <v>0</v>
      </c>
      <c r="M35" s="669">
        <v>0</v>
      </c>
      <c r="N35" s="667">
        <v>0</v>
      </c>
      <c r="O35" s="668">
        <v>0</v>
      </c>
      <c r="P35" s="668">
        <v>0</v>
      </c>
      <c r="Q35" s="580"/>
      <c r="R35" s="580"/>
      <c r="S35" s="580"/>
      <c r="T35" s="580"/>
      <c r="U35" s="580"/>
      <c r="V35" s="580"/>
      <c r="W35" s="580"/>
      <c r="X35" s="580"/>
      <c r="Y35" s="580"/>
      <c r="Z35" s="580"/>
      <c r="AA35" s="580"/>
      <c r="AB35" s="580"/>
      <c r="AC35" s="580"/>
      <c r="AD35" s="580"/>
      <c r="AE35" s="580"/>
      <c r="AF35" s="580"/>
      <c r="AG35" s="580"/>
      <c r="AH35" s="580"/>
      <c r="AI35" s="580"/>
      <c r="AJ35" s="580"/>
      <c r="AK35" s="580"/>
      <c r="AL35" s="580"/>
      <c r="AM35" s="580"/>
      <c r="AN35" s="580"/>
      <c r="AO35" s="580"/>
      <c r="AP35" s="580"/>
      <c r="AQ35" s="580"/>
      <c r="AR35" s="580"/>
      <c r="AS35" s="580"/>
      <c r="AT35" s="580"/>
      <c r="AU35" s="580"/>
      <c r="AV35" s="580"/>
      <c r="AW35" s="580"/>
      <c r="AX35" s="580"/>
      <c r="AY35" s="580"/>
      <c r="AZ35" s="580"/>
      <c r="BA35" s="580"/>
      <c r="BB35" s="580"/>
      <c r="BC35" s="580"/>
      <c r="BD35" s="580"/>
      <c r="BE35" s="580"/>
    </row>
    <row r="36" spans="1:57">
      <c r="A36" s="580"/>
      <c r="B36" s="580"/>
      <c r="C36" s="580"/>
      <c r="D36" s="580"/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0"/>
      <c r="Q36" s="580"/>
      <c r="R36" s="580"/>
      <c r="S36" s="580"/>
      <c r="T36" s="580"/>
      <c r="U36" s="580"/>
      <c r="V36" s="580"/>
      <c r="W36" s="580"/>
      <c r="X36" s="580"/>
      <c r="Y36" s="580"/>
      <c r="Z36" s="580"/>
      <c r="AA36" s="580"/>
      <c r="AB36" s="580"/>
      <c r="AC36" s="580"/>
      <c r="AD36" s="580"/>
      <c r="AE36" s="580"/>
      <c r="AF36" s="580"/>
      <c r="AG36" s="580"/>
      <c r="AH36" s="580"/>
      <c r="AI36" s="580"/>
      <c r="AJ36" s="580"/>
      <c r="AK36" s="580"/>
      <c r="AL36" s="580"/>
      <c r="AM36" s="580"/>
      <c r="AN36" s="580"/>
      <c r="AO36" s="580"/>
      <c r="AP36" s="580"/>
      <c r="AQ36" s="580"/>
      <c r="AR36" s="580"/>
      <c r="AS36" s="580"/>
      <c r="AT36" s="580"/>
      <c r="AU36" s="580"/>
      <c r="AV36" s="580"/>
      <c r="AW36" s="580"/>
      <c r="AX36" s="580"/>
      <c r="AY36" s="580"/>
      <c r="AZ36" s="580"/>
      <c r="BA36" s="580"/>
      <c r="BB36" s="580"/>
      <c r="BC36" s="580"/>
      <c r="BD36" s="580"/>
      <c r="BE36" s="580"/>
    </row>
    <row r="37" spans="1:57" ht="14.65" customHeight="1">
      <c r="A37" s="583" t="s">
        <v>3</v>
      </c>
      <c r="B37" s="661"/>
      <c r="C37" s="629"/>
      <c r="D37" s="661"/>
      <c r="E37" s="663"/>
      <c r="F37" s="663"/>
      <c r="G37" s="663"/>
      <c r="H37" s="663"/>
      <c r="I37" s="583"/>
      <c r="J37" s="583"/>
      <c r="K37" s="583"/>
      <c r="L37" s="583"/>
      <c r="M37" s="583"/>
      <c r="N37" s="583"/>
      <c r="O37" s="583"/>
      <c r="P37" s="583"/>
      <c r="Q37" s="583"/>
      <c r="R37" s="583"/>
      <c r="S37" s="583"/>
      <c r="T37" s="583"/>
      <c r="U37" s="583"/>
      <c r="V37" s="583"/>
      <c r="W37" s="583"/>
      <c r="X37" s="583"/>
      <c r="Y37" s="583"/>
      <c r="Z37" s="583"/>
      <c r="AA37" s="583"/>
      <c r="AB37" s="583"/>
      <c r="AC37" s="583"/>
      <c r="AD37" s="583"/>
      <c r="AE37" s="583"/>
      <c r="AF37" s="583"/>
      <c r="AG37" s="583"/>
      <c r="AH37" s="583"/>
      <c r="AI37" s="583"/>
      <c r="AJ37" s="583"/>
      <c r="AK37" s="583"/>
      <c r="AL37" s="583"/>
      <c r="AM37" s="583"/>
      <c r="AN37" s="583"/>
      <c r="AO37" s="583"/>
      <c r="AP37" s="583"/>
      <c r="AQ37" s="583"/>
      <c r="AR37" s="583"/>
      <c r="AS37" s="583"/>
      <c r="AT37" s="583"/>
      <c r="AU37" s="583"/>
      <c r="AV37" s="583"/>
      <c r="AW37" s="583"/>
      <c r="AX37" s="583"/>
      <c r="AY37" s="583"/>
      <c r="AZ37" s="583"/>
      <c r="BA37" s="583"/>
      <c r="BB37" s="583"/>
      <c r="BC37" s="583"/>
      <c r="BD37" s="583"/>
      <c r="BE37" s="583"/>
    </row>
    <row r="38" spans="1:57" ht="14.65" customHeight="1">
      <c r="A38" s="583" t="s">
        <v>37</v>
      </c>
      <c r="B38" s="661"/>
      <c r="C38" s="629"/>
      <c r="D38" s="661"/>
      <c r="E38" s="664" t="s">
        <v>5</v>
      </c>
      <c r="F38" s="664" t="s">
        <v>6</v>
      </c>
      <c r="G38" s="664" t="s">
        <v>7</v>
      </c>
      <c r="H38" s="664" t="s">
        <v>8</v>
      </c>
      <c r="I38" s="665" t="s">
        <v>9</v>
      </c>
      <c r="J38" s="665" t="s">
        <v>10</v>
      </c>
      <c r="K38" s="665" t="s">
        <v>11</v>
      </c>
      <c r="L38" s="665" t="s">
        <v>12</v>
      </c>
      <c r="M38" s="665" t="s">
        <v>13</v>
      </c>
      <c r="N38" s="665" t="s">
        <v>14</v>
      </c>
      <c r="O38" s="665" t="s">
        <v>15</v>
      </c>
      <c r="P38" s="665" t="s">
        <v>16</v>
      </c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583"/>
      <c r="AB38" s="583"/>
      <c r="AC38" s="583"/>
      <c r="AD38" s="583"/>
      <c r="AE38" s="583"/>
      <c r="AF38" s="583"/>
      <c r="AG38" s="583"/>
      <c r="AH38" s="583"/>
      <c r="AI38" s="583"/>
      <c r="AJ38" s="583"/>
      <c r="AK38" s="583"/>
      <c r="AL38" s="583"/>
      <c r="AM38" s="583"/>
      <c r="AN38" s="583"/>
      <c r="AO38" s="583"/>
      <c r="AP38" s="583"/>
      <c r="AQ38" s="583"/>
      <c r="AR38" s="583"/>
      <c r="AS38" s="583"/>
      <c r="AT38" s="583"/>
      <c r="AU38" s="583"/>
      <c r="AV38" s="583"/>
      <c r="AW38" s="583"/>
      <c r="AX38" s="583"/>
      <c r="AY38" s="583"/>
      <c r="AZ38" s="583"/>
      <c r="BA38" s="583"/>
      <c r="BB38" s="583"/>
      <c r="BC38" s="583"/>
      <c r="BD38" s="583"/>
      <c r="BE38" s="583"/>
    </row>
    <row r="39" spans="1:57" ht="14.65" customHeight="1">
      <c r="A39" s="580" t="s">
        <v>1104</v>
      </c>
      <c r="B39" s="625" t="s">
        <v>17</v>
      </c>
      <c r="C39" s="626" t="s">
        <v>18</v>
      </c>
      <c r="D39" s="625" t="s">
        <v>38</v>
      </c>
      <c r="E39" s="635">
        <f t="shared" ref="E39:E50" si="8">1-F39</f>
        <v>0</v>
      </c>
      <c r="F39" s="635">
        <f t="shared" ref="F39:F50" si="9">G39+H39</f>
        <v>1</v>
      </c>
      <c r="G39" s="635">
        <f>1-H39</f>
        <v>1</v>
      </c>
      <c r="H39" s="635">
        <f t="shared" ref="H39:H50" si="10">+SUM(I39:O39)</f>
        <v>0</v>
      </c>
      <c r="I39" s="666">
        <v>0</v>
      </c>
      <c r="J39" s="666">
        <v>0</v>
      </c>
      <c r="K39" s="666">
        <v>0</v>
      </c>
      <c r="L39" s="666">
        <v>0</v>
      </c>
      <c r="M39" s="666">
        <v>0</v>
      </c>
      <c r="N39" s="667">
        <v>0</v>
      </c>
      <c r="O39" s="668">
        <v>0</v>
      </c>
      <c r="P39" s="668">
        <v>0</v>
      </c>
      <c r="Q39" s="580"/>
      <c r="R39" s="580"/>
      <c r="S39" s="580"/>
      <c r="T39" s="580"/>
      <c r="U39" s="580"/>
      <c r="V39" s="580"/>
      <c r="W39" s="580"/>
      <c r="X39" s="580"/>
      <c r="Y39" s="580"/>
      <c r="Z39" s="580"/>
      <c r="AA39" s="580"/>
      <c r="AB39" s="580"/>
      <c r="AC39" s="580"/>
      <c r="AD39" s="580"/>
      <c r="AE39" s="580"/>
      <c r="AF39" s="580"/>
      <c r="AG39" s="580"/>
      <c r="AH39" s="580"/>
      <c r="AI39" s="580"/>
      <c r="AJ39" s="580"/>
      <c r="AK39" s="580"/>
      <c r="AL39" s="580"/>
      <c r="AM39" s="580"/>
      <c r="AN39" s="580"/>
      <c r="AO39" s="580"/>
      <c r="AP39" s="580"/>
      <c r="AQ39" s="580"/>
      <c r="AR39" s="580"/>
      <c r="AS39" s="580"/>
      <c r="AT39" s="580"/>
      <c r="AU39" s="580"/>
      <c r="AV39" s="580"/>
      <c r="AW39" s="580"/>
      <c r="AX39" s="580"/>
      <c r="AY39" s="580"/>
      <c r="AZ39" s="580"/>
      <c r="BA39" s="580"/>
      <c r="BB39" s="580"/>
      <c r="BC39" s="580"/>
      <c r="BD39" s="580"/>
      <c r="BE39" s="580"/>
    </row>
    <row r="40" spans="1:57">
      <c r="A40" s="580" t="s">
        <v>1106</v>
      </c>
      <c r="B40" s="625" t="s">
        <v>17</v>
      </c>
      <c r="C40" s="626" t="s">
        <v>18</v>
      </c>
      <c r="D40" s="625" t="s">
        <v>39</v>
      </c>
      <c r="E40" s="635">
        <f t="shared" si="8"/>
        <v>0</v>
      </c>
      <c r="F40" s="635">
        <f t="shared" si="9"/>
        <v>1</v>
      </c>
      <c r="G40" s="635">
        <f>1-H40</f>
        <v>1</v>
      </c>
      <c r="H40" s="635">
        <f t="shared" si="10"/>
        <v>0</v>
      </c>
      <c r="I40" s="669">
        <v>0</v>
      </c>
      <c r="J40" s="669">
        <v>0</v>
      </c>
      <c r="K40" s="669">
        <v>0</v>
      </c>
      <c r="L40" s="669">
        <v>0</v>
      </c>
      <c r="M40" s="669">
        <v>0</v>
      </c>
      <c r="N40" s="667">
        <v>0</v>
      </c>
      <c r="O40" s="668">
        <v>0</v>
      </c>
      <c r="P40" s="668">
        <v>0</v>
      </c>
      <c r="Q40" s="580"/>
      <c r="R40" s="580"/>
      <c r="S40" s="580"/>
      <c r="T40" s="580"/>
      <c r="U40" s="580"/>
      <c r="V40" s="580"/>
      <c r="W40" s="580"/>
      <c r="X40" s="580"/>
      <c r="Y40" s="580"/>
      <c r="Z40" s="580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  <c r="AK40" s="580"/>
      <c r="AL40" s="580"/>
      <c r="AM40" s="580"/>
      <c r="AN40" s="580"/>
      <c r="AO40" s="580"/>
      <c r="AP40" s="580"/>
      <c r="AQ40" s="580"/>
      <c r="AR40" s="580"/>
      <c r="AS40" s="580"/>
      <c r="AT40" s="580"/>
      <c r="AU40" s="580"/>
      <c r="AV40" s="580"/>
      <c r="AW40" s="580"/>
      <c r="AX40" s="580"/>
      <c r="AY40" s="580"/>
      <c r="AZ40" s="580"/>
      <c r="BA40" s="580"/>
      <c r="BB40" s="580"/>
      <c r="BC40" s="580"/>
      <c r="BD40" s="580"/>
      <c r="BE40" s="580"/>
    </row>
    <row r="41" spans="1:57">
      <c r="A41" s="580" t="s">
        <v>1108</v>
      </c>
      <c r="B41" s="625" t="s">
        <v>17</v>
      </c>
      <c r="C41" s="626" t="s">
        <v>18</v>
      </c>
      <c r="D41" s="625" t="s">
        <v>40</v>
      </c>
      <c r="E41" s="635">
        <f t="shared" si="8"/>
        <v>0</v>
      </c>
      <c r="F41" s="635">
        <f t="shared" si="9"/>
        <v>1</v>
      </c>
      <c r="G41" s="635">
        <f>1-H41</f>
        <v>1</v>
      </c>
      <c r="H41" s="635">
        <f t="shared" si="10"/>
        <v>0</v>
      </c>
      <c r="I41" s="669">
        <v>0</v>
      </c>
      <c r="J41" s="669">
        <v>0</v>
      </c>
      <c r="K41" s="669">
        <v>0</v>
      </c>
      <c r="L41" s="669">
        <v>0</v>
      </c>
      <c r="M41" s="669">
        <v>0</v>
      </c>
      <c r="N41" s="667">
        <v>0</v>
      </c>
      <c r="O41" s="668">
        <v>0</v>
      </c>
      <c r="P41" s="668">
        <v>0</v>
      </c>
      <c r="Q41" s="580"/>
      <c r="R41" s="580"/>
      <c r="S41" s="580"/>
      <c r="T41" s="580"/>
      <c r="U41" s="580"/>
      <c r="V41" s="580"/>
      <c r="W41" s="580"/>
      <c r="X41" s="580"/>
      <c r="Y41" s="580"/>
      <c r="Z41" s="580"/>
      <c r="AA41" s="580"/>
      <c r="AB41" s="580"/>
      <c r="AC41" s="580"/>
      <c r="AD41" s="580"/>
      <c r="AE41" s="580"/>
      <c r="AF41" s="580"/>
      <c r="AG41" s="580"/>
      <c r="AH41" s="580"/>
      <c r="AI41" s="580"/>
      <c r="AJ41" s="580"/>
      <c r="AK41" s="580"/>
      <c r="AL41" s="580"/>
      <c r="AM41" s="580"/>
      <c r="AN41" s="580"/>
      <c r="AO41" s="580"/>
      <c r="AP41" s="580"/>
      <c r="AQ41" s="580"/>
      <c r="AR41" s="580"/>
      <c r="AS41" s="580"/>
      <c r="AT41" s="580"/>
      <c r="AU41" s="580"/>
      <c r="AV41" s="580"/>
      <c r="AW41" s="580"/>
      <c r="AX41" s="580"/>
      <c r="AY41" s="580"/>
      <c r="AZ41" s="580"/>
      <c r="BA41" s="580"/>
      <c r="BB41" s="580"/>
      <c r="BC41" s="580"/>
      <c r="BD41" s="580"/>
      <c r="BE41" s="580"/>
    </row>
    <row r="42" spans="1:57">
      <c r="A42" s="580" t="s">
        <v>1110</v>
      </c>
      <c r="B42" s="625" t="s">
        <v>17</v>
      </c>
      <c r="C42" s="626" t="s">
        <v>18</v>
      </c>
      <c r="D42" s="625" t="s">
        <v>41</v>
      </c>
      <c r="E42" s="635">
        <f t="shared" si="8"/>
        <v>0</v>
      </c>
      <c r="F42" s="635">
        <f t="shared" si="9"/>
        <v>1</v>
      </c>
      <c r="G42" s="635">
        <f>1-H42</f>
        <v>0</v>
      </c>
      <c r="H42" s="635">
        <f t="shared" si="10"/>
        <v>1</v>
      </c>
      <c r="I42" s="669">
        <v>0.25</v>
      </c>
      <c r="J42" s="669">
        <v>0.25</v>
      </c>
      <c r="K42" s="669">
        <v>0.25</v>
      </c>
      <c r="L42" s="669">
        <v>0</v>
      </c>
      <c r="M42" s="669">
        <v>0.25</v>
      </c>
      <c r="N42" s="667">
        <v>0</v>
      </c>
      <c r="O42" s="668">
        <v>0</v>
      </c>
      <c r="P42" s="668">
        <v>0</v>
      </c>
      <c r="Q42" s="580"/>
      <c r="R42" s="580"/>
      <c r="S42" s="580"/>
      <c r="T42" s="580"/>
      <c r="U42" s="580"/>
      <c r="V42" s="580"/>
      <c r="W42" s="580"/>
      <c r="X42" s="580"/>
      <c r="Y42" s="580"/>
      <c r="Z42" s="580"/>
      <c r="AA42" s="580"/>
      <c r="AB42" s="580"/>
      <c r="AC42" s="580"/>
      <c r="AD42" s="580"/>
      <c r="AE42" s="580"/>
      <c r="AF42" s="580"/>
      <c r="AG42" s="580"/>
      <c r="AH42" s="580"/>
      <c r="AI42" s="580"/>
      <c r="AJ42" s="580"/>
      <c r="AK42" s="580"/>
      <c r="AL42" s="580"/>
      <c r="AM42" s="580"/>
      <c r="AN42" s="580"/>
      <c r="AO42" s="580"/>
      <c r="AP42" s="580"/>
      <c r="AQ42" s="580"/>
      <c r="AR42" s="580"/>
      <c r="AS42" s="580"/>
      <c r="AT42" s="580"/>
      <c r="AU42" s="580"/>
      <c r="AV42" s="580"/>
      <c r="AW42" s="580"/>
      <c r="AX42" s="580"/>
      <c r="AY42" s="580"/>
      <c r="AZ42" s="580"/>
      <c r="BA42" s="580"/>
      <c r="BB42" s="580"/>
      <c r="BC42" s="580"/>
      <c r="BD42" s="580"/>
      <c r="BE42" s="580"/>
    </row>
    <row r="43" spans="1:57">
      <c r="A43" s="580" t="s">
        <v>1112</v>
      </c>
      <c r="B43" s="625" t="s">
        <v>17</v>
      </c>
      <c r="C43" s="626" t="s">
        <v>18</v>
      </c>
      <c r="D43" s="625" t="s">
        <v>42</v>
      </c>
      <c r="E43" s="635">
        <f t="shared" si="8"/>
        <v>0</v>
      </c>
      <c r="F43" s="635">
        <f t="shared" si="9"/>
        <v>1</v>
      </c>
      <c r="G43" s="635">
        <f>1-H43</f>
        <v>1</v>
      </c>
      <c r="H43" s="635">
        <f t="shared" si="10"/>
        <v>0</v>
      </c>
      <c r="I43" s="669">
        <v>0</v>
      </c>
      <c r="J43" s="669">
        <v>0</v>
      </c>
      <c r="K43" s="669">
        <v>0</v>
      </c>
      <c r="L43" s="669">
        <v>0</v>
      </c>
      <c r="M43" s="669">
        <v>0</v>
      </c>
      <c r="N43" s="667">
        <v>0</v>
      </c>
      <c r="O43" s="668">
        <v>0</v>
      </c>
      <c r="P43" s="668">
        <v>0</v>
      </c>
      <c r="Q43" s="580"/>
      <c r="R43" s="580"/>
      <c r="S43" s="580"/>
      <c r="T43" s="580"/>
      <c r="U43" s="580"/>
      <c r="V43" s="580"/>
      <c r="W43" s="580"/>
      <c r="X43" s="580"/>
      <c r="Y43" s="580"/>
      <c r="Z43" s="580"/>
      <c r="AA43" s="580"/>
      <c r="AB43" s="580"/>
      <c r="AC43" s="580"/>
      <c r="AD43" s="580"/>
      <c r="AE43" s="580"/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  <c r="AT43" s="580"/>
      <c r="AU43" s="580"/>
      <c r="AV43" s="580"/>
      <c r="AW43" s="580"/>
      <c r="AX43" s="580"/>
      <c r="AY43" s="580"/>
      <c r="AZ43" s="580"/>
      <c r="BA43" s="580"/>
      <c r="BB43" s="580"/>
      <c r="BC43" s="580"/>
      <c r="BD43" s="580"/>
      <c r="BE43" s="580"/>
    </row>
    <row r="44" spans="1:57">
      <c r="A44" s="580" t="s">
        <v>1113</v>
      </c>
      <c r="B44" s="625" t="s">
        <v>17</v>
      </c>
      <c r="C44" s="626" t="s">
        <v>18</v>
      </c>
      <c r="D44" s="625" t="s">
        <v>43</v>
      </c>
      <c r="E44" s="635">
        <f t="shared" si="8"/>
        <v>0</v>
      </c>
      <c r="F44" s="635">
        <f t="shared" si="9"/>
        <v>1</v>
      </c>
      <c r="G44" s="635">
        <f>1-H44-P44</f>
        <v>1</v>
      </c>
      <c r="H44" s="635">
        <f t="shared" si="10"/>
        <v>0</v>
      </c>
      <c r="I44" s="669">
        <v>0</v>
      </c>
      <c r="J44" s="669">
        <v>0</v>
      </c>
      <c r="K44" s="669">
        <v>0</v>
      </c>
      <c r="L44" s="669">
        <v>0</v>
      </c>
      <c r="M44" s="669">
        <v>0</v>
      </c>
      <c r="N44" s="667">
        <v>0</v>
      </c>
      <c r="O44" s="668">
        <v>0</v>
      </c>
      <c r="P44" s="668">
        <v>0</v>
      </c>
      <c r="Q44" s="580"/>
      <c r="R44" s="580"/>
      <c r="S44" s="580"/>
      <c r="T44" s="580"/>
      <c r="U44" s="580"/>
      <c r="V44" s="580"/>
      <c r="W44" s="581"/>
      <c r="X44" s="580"/>
      <c r="Y44" s="580"/>
      <c r="Z44" s="580"/>
      <c r="AA44" s="580"/>
      <c r="AB44" s="580"/>
      <c r="AC44" s="580"/>
      <c r="AD44" s="580"/>
      <c r="AE44" s="580"/>
      <c r="AF44" s="580"/>
      <c r="AG44" s="580"/>
      <c r="AH44" s="580"/>
      <c r="AI44" s="580"/>
      <c r="AJ44" s="580"/>
      <c r="AK44" s="580"/>
      <c r="AL44" s="580"/>
      <c r="AM44" s="580"/>
      <c r="AN44" s="580"/>
      <c r="AO44" s="580"/>
      <c r="AP44" s="580"/>
      <c r="AQ44" s="580"/>
      <c r="AR44" s="580"/>
      <c r="AS44" s="580"/>
      <c r="AT44" s="580"/>
      <c r="AU44" s="580"/>
      <c r="AV44" s="580"/>
      <c r="AW44" s="580"/>
      <c r="AX44" s="580"/>
      <c r="AY44" s="580"/>
      <c r="AZ44" s="580"/>
      <c r="BA44" s="580"/>
      <c r="BB44" s="580"/>
      <c r="BC44" s="580"/>
      <c r="BD44" s="580"/>
      <c r="BE44" s="580"/>
    </row>
    <row r="45" spans="1:57">
      <c r="A45" s="580" t="s">
        <v>1115</v>
      </c>
      <c r="B45" s="625" t="s">
        <v>17</v>
      </c>
      <c r="C45" s="626" t="s">
        <v>18</v>
      </c>
      <c r="D45" s="625" t="s">
        <v>44</v>
      </c>
      <c r="E45" s="635">
        <f t="shared" si="8"/>
        <v>0</v>
      </c>
      <c r="F45" s="635">
        <f t="shared" si="9"/>
        <v>1</v>
      </c>
      <c r="G45" s="635">
        <f t="shared" ref="G45:G50" si="11">1-H45</f>
        <v>0</v>
      </c>
      <c r="H45" s="635">
        <f t="shared" si="10"/>
        <v>1</v>
      </c>
      <c r="I45" s="669">
        <v>0.25</v>
      </c>
      <c r="J45" s="669">
        <v>0.25</v>
      </c>
      <c r="K45" s="669">
        <v>0.25</v>
      </c>
      <c r="L45" s="669">
        <v>0</v>
      </c>
      <c r="M45" s="669">
        <v>0.25</v>
      </c>
      <c r="N45" s="667">
        <v>0</v>
      </c>
      <c r="O45" s="668">
        <v>0</v>
      </c>
      <c r="P45" s="668">
        <v>0</v>
      </c>
      <c r="Q45" s="580"/>
      <c r="R45" s="580"/>
      <c r="S45" s="580"/>
      <c r="T45" s="580"/>
      <c r="U45" s="580"/>
      <c r="V45" s="580"/>
      <c r="W45" s="580"/>
      <c r="X45" s="580"/>
      <c r="Y45" s="580"/>
      <c r="Z45" s="580"/>
      <c r="AA45" s="580"/>
      <c r="AB45" s="580"/>
      <c r="AC45" s="580"/>
      <c r="AD45" s="580"/>
      <c r="AE45" s="580"/>
      <c r="AF45" s="580"/>
      <c r="AG45" s="580"/>
      <c r="AH45" s="580"/>
      <c r="AI45" s="580"/>
      <c r="AJ45" s="580"/>
      <c r="AK45" s="580"/>
      <c r="AL45" s="580"/>
      <c r="AM45" s="580"/>
      <c r="AN45" s="580"/>
      <c r="AO45" s="580"/>
      <c r="AP45" s="580"/>
      <c r="AQ45" s="580"/>
      <c r="AR45" s="580"/>
      <c r="AS45" s="580"/>
      <c r="AT45" s="580"/>
      <c r="AU45" s="580"/>
      <c r="AV45" s="580"/>
      <c r="AW45" s="580"/>
      <c r="AX45" s="580"/>
      <c r="AY45" s="580"/>
      <c r="AZ45" s="580"/>
      <c r="BA45" s="580"/>
      <c r="BB45" s="580"/>
      <c r="BC45" s="580"/>
      <c r="BD45" s="580"/>
      <c r="BE45" s="580"/>
    </row>
    <row r="46" spans="1:57">
      <c r="A46" s="580" t="s">
        <v>1117</v>
      </c>
      <c r="B46" s="625" t="s">
        <v>17</v>
      </c>
      <c r="C46" s="626" t="s">
        <v>18</v>
      </c>
      <c r="D46" s="625" t="s">
        <v>45</v>
      </c>
      <c r="E46" s="635">
        <f t="shared" si="8"/>
        <v>0</v>
      </c>
      <c r="F46" s="635">
        <f t="shared" si="9"/>
        <v>1</v>
      </c>
      <c r="G46" s="635">
        <f t="shared" si="11"/>
        <v>1</v>
      </c>
      <c r="H46" s="635">
        <f t="shared" si="10"/>
        <v>0</v>
      </c>
      <c r="I46" s="669">
        <v>0</v>
      </c>
      <c r="J46" s="669">
        <v>0</v>
      </c>
      <c r="K46" s="669">
        <v>0</v>
      </c>
      <c r="L46" s="669">
        <v>0</v>
      </c>
      <c r="M46" s="669">
        <v>0</v>
      </c>
      <c r="N46" s="667">
        <v>0</v>
      </c>
      <c r="O46" s="668">
        <v>0</v>
      </c>
      <c r="P46" s="668">
        <v>0</v>
      </c>
      <c r="Q46" s="580"/>
      <c r="R46" s="580"/>
      <c r="S46" s="580"/>
      <c r="T46" s="580"/>
      <c r="U46" s="580"/>
      <c r="V46" s="580"/>
      <c r="W46" s="580"/>
      <c r="X46" s="580"/>
      <c r="Y46" s="580"/>
      <c r="Z46" s="580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  <c r="AT46" s="580"/>
      <c r="AU46" s="580"/>
      <c r="AV46" s="580"/>
      <c r="AW46" s="580"/>
      <c r="AX46" s="580"/>
      <c r="AY46" s="580"/>
      <c r="AZ46" s="580"/>
      <c r="BA46" s="580"/>
      <c r="BB46" s="580"/>
      <c r="BC46" s="580"/>
      <c r="BD46" s="580"/>
      <c r="BE46" s="580"/>
    </row>
    <row r="47" spans="1:57">
      <c r="A47" s="580" t="s">
        <v>1119</v>
      </c>
      <c r="B47" s="625" t="s">
        <v>17</v>
      </c>
      <c r="C47" s="626" t="s">
        <v>18</v>
      </c>
      <c r="D47" s="625" t="s">
        <v>46</v>
      </c>
      <c r="E47" s="635">
        <f t="shared" si="8"/>
        <v>0</v>
      </c>
      <c r="F47" s="635">
        <f t="shared" si="9"/>
        <v>1</v>
      </c>
      <c r="G47" s="635">
        <f t="shared" si="11"/>
        <v>0</v>
      </c>
      <c r="H47" s="635">
        <f t="shared" si="10"/>
        <v>1</v>
      </c>
      <c r="I47" s="669">
        <v>0.25</v>
      </c>
      <c r="J47" s="669">
        <v>0.25</v>
      </c>
      <c r="K47" s="669">
        <v>0.25</v>
      </c>
      <c r="L47" s="669">
        <v>0</v>
      </c>
      <c r="M47" s="669">
        <v>0.25</v>
      </c>
      <c r="N47" s="667">
        <v>0</v>
      </c>
      <c r="O47" s="668">
        <v>0</v>
      </c>
      <c r="P47" s="668">
        <v>0</v>
      </c>
      <c r="Q47" s="580"/>
      <c r="R47" s="580"/>
      <c r="S47" s="580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  <c r="AT47" s="580"/>
      <c r="AU47" s="580"/>
      <c r="AV47" s="580"/>
      <c r="AW47" s="580"/>
      <c r="AX47" s="580"/>
      <c r="AY47" s="580"/>
      <c r="AZ47" s="580"/>
      <c r="BA47" s="580"/>
      <c r="BB47" s="580"/>
      <c r="BC47" s="580"/>
      <c r="BD47" s="580"/>
      <c r="BE47" s="580"/>
    </row>
    <row r="48" spans="1:57">
      <c r="A48" s="580" t="s">
        <v>1121</v>
      </c>
      <c r="B48" s="625" t="s">
        <v>17</v>
      </c>
      <c r="C48" s="626" t="s">
        <v>18</v>
      </c>
      <c r="D48" s="625" t="s">
        <v>47</v>
      </c>
      <c r="E48" s="635">
        <f t="shared" si="8"/>
        <v>0</v>
      </c>
      <c r="F48" s="635">
        <f t="shared" si="9"/>
        <v>1</v>
      </c>
      <c r="G48" s="635">
        <f t="shared" si="11"/>
        <v>0</v>
      </c>
      <c r="H48" s="635">
        <f t="shared" si="10"/>
        <v>1</v>
      </c>
      <c r="I48" s="669">
        <v>0.25</v>
      </c>
      <c r="J48" s="669">
        <v>0.25</v>
      </c>
      <c r="K48" s="669">
        <v>0.25</v>
      </c>
      <c r="L48" s="669">
        <v>0</v>
      </c>
      <c r="M48" s="669">
        <v>0.25</v>
      </c>
      <c r="N48" s="667">
        <v>0</v>
      </c>
      <c r="O48" s="668">
        <v>0</v>
      </c>
      <c r="P48" s="668">
        <v>0</v>
      </c>
      <c r="Q48" s="580"/>
      <c r="R48" s="580"/>
      <c r="S48" s="580"/>
      <c r="T48" s="580"/>
      <c r="U48" s="580"/>
      <c r="V48" s="580"/>
      <c r="W48" s="580"/>
      <c r="X48" s="580"/>
      <c r="Y48" s="580"/>
      <c r="Z48" s="580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  <c r="AT48" s="580"/>
      <c r="AU48" s="580"/>
      <c r="AV48" s="580"/>
      <c r="AW48" s="580"/>
      <c r="AX48" s="580"/>
      <c r="AY48" s="580"/>
      <c r="AZ48" s="580"/>
      <c r="BA48" s="580"/>
      <c r="BB48" s="580"/>
      <c r="BC48" s="580"/>
      <c r="BD48" s="580"/>
      <c r="BE48" s="580"/>
    </row>
    <row r="49" spans="1:57">
      <c r="A49" s="580" t="s">
        <v>1123</v>
      </c>
      <c r="B49" s="625" t="s">
        <v>17</v>
      </c>
      <c r="C49" s="626" t="s">
        <v>18</v>
      </c>
      <c r="D49" s="625" t="s">
        <v>48</v>
      </c>
      <c r="E49" s="635">
        <f t="shared" si="8"/>
        <v>0</v>
      </c>
      <c r="F49" s="635">
        <f t="shared" si="9"/>
        <v>1</v>
      </c>
      <c r="G49" s="635">
        <f t="shared" si="11"/>
        <v>1</v>
      </c>
      <c r="H49" s="635">
        <f t="shared" si="10"/>
        <v>0</v>
      </c>
      <c r="I49" s="669">
        <v>0</v>
      </c>
      <c r="J49" s="669">
        <v>0</v>
      </c>
      <c r="K49" s="669">
        <v>0</v>
      </c>
      <c r="L49" s="669">
        <v>0</v>
      </c>
      <c r="M49" s="669">
        <v>0</v>
      </c>
      <c r="N49" s="667">
        <v>0</v>
      </c>
      <c r="O49" s="668">
        <v>0</v>
      </c>
      <c r="P49" s="668">
        <v>0</v>
      </c>
      <c r="Q49" s="580"/>
      <c r="R49" s="580"/>
      <c r="S49" s="580"/>
      <c r="T49" s="580"/>
      <c r="U49" s="580"/>
      <c r="V49" s="580"/>
      <c r="W49" s="580"/>
      <c r="X49" s="580"/>
      <c r="Y49" s="580"/>
      <c r="Z49" s="580"/>
      <c r="AA49" s="580"/>
      <c r="AB49" s="580"/>
      <c r="AC49" s="580"/>
      <c r="AD49" s="580"/>
      <c r="AE49" s="580"/>
      <c r="AF49" s="580"/>
      <c r="AG49" s="580"/>
      <c r="AH49" s="580"/>
      <c r="AI49" s="580"/>
      <c r="AJ49" s="580"/>
      <c r="AK49" s="580"/>
      <c r="AL49" s="580"/>
      <c r="AM49" s="580"/>
      <c r="AN49" s="580"/>
      <c r="AO49" s="580"/>
      <c r="AP49" s="580"/>
      <c r="AQ49" s="580"/>
      <c r="AR49" s="580"/>
      <c r="AS49" s="580"/>
      <c r="AT49" s="580"/>
      <c r="AU49" s="580"/>
      <c r="AV49" s="580"/>
      <c r="AW49" s="580"/>
      <c r="AX49" s="580"/>
      <c r="AY49" s="580"/>
      <c r="AZ49" s="580"/>
      <c r="BA49" s="580"/>
      <c r="BB49" s="580"/>
      <c r="BC49" s="580"/>
      <c r="BD49" s="580"/>
      <c r="BE49" s="580"/>
    </row>
    <row r="50" spans="1:57">
      <c r="A50" s="580" t="s">
        <v>1125</v>
      </c>
      <c r="B50" s="625" t="s">
        <v>17</v>
      </c>
      <c r="C50" s="626" t="s">
        <v>18</v>
      </c>
      <c r="D50" s="625" t="s">
        <v>49</v>
      </c>
      <c r="E50" s="635">
        <f t="shared" si="8"/>
        <v>0</v>
      </c>
      <c r="F50" s="635">
        <f t="shared" si="9"/>
        <v>1</v>
      </c>
      <c r="G50" s="635">
        <f t="shared" si="11"/>
        <v>1</v>
      </c>
      <c r="H50" s="635">
        <f t="shared" si="10"/>
        <v>0</v>
      </c>
      <c r="I50" s="669">
        <v>0</v>
      </c>
      <c r="J50" s="669">
        <v>0</v>
      </c>
      <c r="K50" s="669">
        <v>0</v>
      </c>
      <c r="L50" s="669">
        <v>0</v>
      </c>
      <c r="M50" s="669">
        <v>0</v>
      </c>
      <c r="N50" s="667">
        <v>0</v>
      </c>
      <c r="O50" s="668">
        <v>0</v>
      </c>
      <c r="P50" s="668">
        <v>0</v>
      </c>
      <c r="Q50" s="580"/>
      <c r="R50" s="580"/>
      <c r="S50" s="580"/>
      <c r="T50" s="580"/>
      <c r="U50" s="580"/>
      <c r="V50" s="580"/>
      <c r="W50" s="580"/>
      <c r="X50" s="580"/>
      <c r="Y50" s="580"/>
      <c r="Z50" s="580"/>
      <c r="AA50" s="580"/>
      <c r="AB50" s="580"/>
      <c r="AC50" s="580"/>
      <c r="AD50" s="580"/>
      <c r="AE50" s="580"/>
      <c r="AF50" s="580"/>
      <c r="AG50" s="580"/>
      <c r="AH50" s="580"/>
      <c r="AI50" s="580"/>
      <c r="AJ50" s="580"/>
      <c r="AK50" s="580"/>
      <c r="AL50" s="580"/>
      <c r="AM50" s="580"/>
      <c r="AN50" s="580"/>
      <c r="AO50" s="580"/>
      <c r="AP50" s="580"/>
      <c r="AQ50" s="580"/>
      <c r="AR50" s="580"/>
      <c r="AS50" s="580"/>
      <c r="AT50" s="580"/>
      <c r="AU50" s="580"/>
      <c r="AV50" s="580"/>
      <c r="AW50" s="580"/>
      <c r="AX50" s="580"/>
      <c r="AY50" s="580"/>
      <c r="AZ50" s="580"/>
      <c r="BA50" s="580"/>
      <c r="BB50" s="580"/>
      <c r="BC50" s="580"/>
      <c r="BD50" s="580"/>
      <c r="BE50" s="5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</vt:i4>
      </vt:variant>
    </vt:vector>
  </HeadingPairs>
  <TitlesOfParts>
    <vt:vector size="36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2026-05-26T18:39:09Z</dcterms:modified>
</cp:coreProperties>
</file>
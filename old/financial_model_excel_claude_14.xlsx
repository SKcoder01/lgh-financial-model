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2F74C753-313E-40AC-B27B-6EE45544CCCD}" xr6:coauthVersionLast="47" xr6:coauthVersionMax="47" xr10:uidLastSave="{00000000-0000-0000-0000-000000000000}"/>
  <bookViews>
    <workbookView xWindow="-28920" yWindow="1620" windowWidth="29040" windowHeight="15720" tabRatio="953" activeTab="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hm" sheetId="26" r:id="rId26"/>
    <sheet name="c12_d&amp;s" sheetId="27" r:id="rId27"/>
    <sheet name="c12_bi&amp;F" sheetId="28" r:id="rId28"/>
    <sheet name=".c12_inputs.hr" sheetId="29" r:id="rId29"/>
    <sheet name=".c12_oc_hr" sheetId="30" r:id="rId30"/>
    <sheet name=".c12_hm_hr" sheetId="31" r:id="rId31"/>
    <sheet name=".c12_d&amp;s_hr" sheetId="32" r:id="rId32"/>
    <sheet name=".c12_bi&amp;f_hr" sheetId="33" r:id="rId33"/>
    <sheet name=".c12_alloc" sheetId="34" r:id="rId34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34" l="1"/>
  <c r="G50" i="34"/>
  <c r="F50" i="34"/>
  <c r="E50" i="34" s="1"/>
  <c r="H49" i="34"/>
  <c r="G49" i="34"/>
  <c r="F49" i="34" s="1"/>
  <c r="E49" i="34" s="1"/>
  <c r="H48" i="34"/>
  <c r="G48" i="34"/>
  <c r="F48" i="34"/>
  <c r="E48" i="34" s="1"/>
  <c r="H47" i="34"/>
  <c r="G47" i="34"/>
  <c r="F47" i="34" s="1"/>
  <c r="E47" i="34" s="1"/>
  <c r="H46" i="34"/>
  <c r="G46" i="34"/>
  <c r="F46" i="34"/>
  <c r="E46" i="34" s="1"/>
  <c r="H45" i="34"/>
  <c r="G45" i="34"/>
  <c r="F45" i="34" s="1"/>
  <c r="E45" i="34" s="1"/>
  <c r="H44" i="34"/>
  <c r="G44" i="34"/>
  <c r="F44" i="34"/>
  <c r="E44" i="34" s="1"/>
  <c r="H43" i="34"/>
  <c r="G43" i="34"/>
  <c r="F43" i="34" s="1"/>
  <c r="E43" i="34" s="1"/>
  <c r="H42" i="34"/>
  <c r="G42" i="34"/>
  <c r="F42" i="34"/>
  <c r="E42" i="34" s="1"/>
  <c r="H41" i="34"/>
  <c r="G41" i="34"/>
  <c r="F41" i="34" s="1"/>
  <c r="E41" i="34" s="1"/>
  <c r="H40" i="34"/>
  <c r="G40" i="34"/>
  <c r="F40" i="34"/>
  <c r="E40" i="34" s="1"/>
  <c r="H39" i="34"/>
  <c r="G39" i="34"/>
  <c r="F39" i="34" s="1"/>
  <c r="E39" i="34" s="1"/>
  <c r="H35" i="34"/>
  <c r="G35" i="34"/>
  <c r="F35" i="34"/>
  <c r="E35" i="34" s="1"/>
  <c r="H34" i="34"/>
  <c r="G34" i="34"/>
  <c r="F34" i="34" s="1"/>
  <c r="E34" i="34" s="1"/>
  <c r="H33" i="34"/>
  <c r="G33" i="34"/>
  <c r="F33" i="34"/>
  <c r="E33" i="34" s="1"/>
  <c r="H32" i="34"/>
  <c r="G32" i="34"/>
  <c r="F32" i="34" s="1"/>
  <c r="E32" i="34" s="1"/>
  <c r="H31" i="34"/>
  <c r="G31" i="34"/>
  <c r="F31" i="34"/>
  <c r="E31" i="34" s="1"/>
  <c r="H30" i="34"/>
  <c r="G30" i="34"/>
  <c r="F30" i="34" s="1"/>
  <c r="E30" i="34" s="1"/>
  <c r="H29" i="34"/>
  <c r="G29" i="34"/>
  <c r="F29" i="34"/>
  <c r="E29" i="34" s="1"/>
  <c r="H28" i="34"/>
  <c r="G28" i="34"/>
  <c r="F28" i="34" s="1"/>
  <c r="E28" i="34" s="1"/>
  <c r="H27" i="34"/>
  <c r="G27" i="34"/>
  <c r="F27" i="34"/>
  <c r="E27" i="34" s="1"/>
  <c r="H26" i="34"/>
  <c r="G26" i="34"/>
  <c r="F26" i="34" s="1"/>
  <c r="E26" i="34" s="1"/>
  <c r="H25" i="34"/>
  <c r="G25" i="34"/>
  <c r="F25" i="34"/>
  <c r="E25" i="34" s="1"/>
  <c r="H21" i="34"/>
  <c r="G21" i="34" s="1"/>
  <c r="F21" i="34" s="1"/>
  <c r="E21" i="34" s="1"/>
  <c r="H20" i="34"/>
  <c r="G20" i="34"/>
  <c r="F20" i="34"/>
  <c r="E20" i="34" s="1"/>
  <c r="H19" i="34"/>
  <c r="G19" i="34" s="1"/>
  <c r="H18" i="34"/>
  <c r="G18" i="34"/>
  <c r="F18" i="34"/>
  <c r="E18" i="34" s="1"/>
  <c r="H17" i="34"/>
  <c r="G17" i="34" s="1"/>
  <c r="H16" i="34"/>
  <c r="G16" i="34"/>
  <c r="F16" i="34"/>
  <c r="E16" i="34" s="1"/>
  <c r="H12" i="34"/>
  <c r="G12" i="34" s="1"/>
  <c r="F12" i="34" s="1"/>
  <c r="E12" i="34" s="1"/>
  <c r="H11" i="34"/>
  <c r="G11" i="34"/>
  <c r="F11" i="34"/>
  <c r="E11" i="34" s="1"/>
  <c r="H10" i="34"/>
  <c r="G10" i="34" s="1"/>
  <c r="F10" i="34" s="1"/>
  <c r="E10" i="34" s="1"/>
  <c r="H9" i="34"/>
  <c r="G9" i="34"/>
  <c r="F9" i="34"/>
  <c r="E9" i="34" s="1"/>
  <c r="H8" i="34"/>
  <c r="G8" i="34" s="1"/>
  <c r="H7" i="34"/>
  <c r="G7" i="34"/>
  <c r="F7" i="34"/>
  <c r="E7" i="34" s="1"/>
  <c r="U47" i="33"/>
  <c r="T47" i="33"/>
  <c r="S47" i="33"/>
  <c r="R47" i="33"/>
  <c r="Q47" i="33"/>
  <c r="P47" i="33"/>
  <c r="O47" i="33"/>
  <c r="N47" i="33"/>
  <c r="M47" i="33"/>
  <c r="L47" i="33"/>
  <c r="K47" i="33"/>
  <c r="J47" i="33"/>
  <c r="A47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A46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A45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A44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A43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A42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A41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A40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A39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A38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A37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A36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U44" i="32"/>
  <c r="T44" i="32"/>
  <c r="S44" i="32"/>
  <c r="R44" i="32"/>
  <c r="Q44" i="32"/>
  <c r="P44" i="32"/>
  <c r="O44" i="32"/>
  <c r="N44" i="32"/>
  <c r="M44" i="32"/>
  <c r="L44" i="32"/>
  <c r="K44" i="32"/>
  <c r="J44" i="32"/>
  <c r="A44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A43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A42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A41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A40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A39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A38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A37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A36" i="32"/>
  <c r="U35" i="32"/>
  <c r="T35" i="32"/>
  <c r="S35" i="32"/>
  <c r="R35" i="32"/>
  <c r="Q35" i="32"/>
  <c r="P35" i="32"/>
  <c r="O35" i="32"/>
  <c r="O47" i="32" s="1"/>
  <c r="O79" i="27" s="1"/>
  <c r="N35" i="32"/>
  <c r="M35" i="32"/>
  <c r="L35" i="32"/>
  <c r="K35" i="32"/>
  <c r="J35" i="32"/>
  <c r="A35" i="32"/>
  <c r="U34" i="32"/>
  <c r="T34" i="32"/>
  <c r="S34" i="32"/>
  <c r="R34" i="32"/>
  <c r="Q34" i="32"/>
  <c r="P34" i="32"/>
  <c r="O34" i="32"/>
  <c r="N34" i="32"/>
  <c r="M34" i="32"/>
  <c r="L34" i="32"/>
  <c r="K34" i="32"/>
  <c r="K46" i="32" s="1"/>
  <c r="K78" i="27" s="1"/>
  <c r="K57" i="27" s="1"/>
  <c r="K58" i="27" s="1"/>
  <c r="J34" i="32"/>
  <c r="J46" i="32" s="1"/>
  <c r="J78" i="27" s="1"/>
  <c r="A34" i="32"/>
  <c r="A30" i="32"/>
  <c r="A29" i="32"/>
  <c r="A28" i="32"/>
  <c r="A27" i="32"/>
  <c r="A26" i="32"/>
  <c r="A25" i="32"/>
  <c r="A24" i="32"/>
  <c r="A23" i="32"/>
  <c r="A22" i="32"/>
  <c r="A21" i="32"/>
  <c r="A20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U29" i="31"/>
  <c r="T29" i="31"/>
  <c r="S29" i="31"/>
  <c r="R29" i="31"/>
  <c r="Q29" i="31"/>
  <c r="P29" i="31"/>
  <c r="O29" i="31"/>
  <c r="N29" i="31"/>
  <c r="M29" i="31"/>
  <c r="L29" i="31"/>
  <c r="K29" i="31"/>
  <c r="J29" i="31"/>
  <c r="U28" i="31"/>
  <c r="T28" i="31"/>
  <c r="S28" i="31"/>
  <c r="R28" i="31"/>
  <c r="Q28" i="31"/>
  <c r="P28" i="31"/>
  <c r="O28" i="31"/>
  <c r="O31" i="31" s="1"/>
  <c r="O77" i="26" s="1"/>
  <c r="N28" i="31"/>
  <c r="M28" i="31"/>
  <c r="L28" i="31"/>
  <c r="K28" i="31"/>
  <c r="J28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U26" i="31"/>
  <c r="T26" i="31"/>
  <c r="S26" i="31"/>
  <c r="R26" i="31"/>
  <c r="Q26" i="31"/>
  <c r="P26" i="31"/>
  <c r="P31" i="31" s="1"/>
  <c r="P77" i="26" s="1"/>
  <c r="O26" i="31"/>
  <c r="N26" i="31"/>
  <c r="M26" i="31"/>
  <c r="L26" i="31"/>
  <c r="K26" i="31"/>
  <c r="J26" i="31"/>
  <c r="U25" i="31"/>
  <c r="T25" i="31"/>
  <c r="S25" i="31"/>
  <c r="R25" i="31"/>
  <c r="Q25" i="31"/>
  <c r="P25" i="31"/>
  <c r="O25" i="31"/>
  <c r="N25" i="31"/>
  <c r="M25" i="31"/>
  <c r="M32" i="31" s="1"/>
  <c r="L25" i="31"/>
  <c r="L32" i="31" s="1"/>
  <c r="L78" i="26" s="1"/>
  <c r="L57" i="26" s="1"/>
  <c r="K25" i="31"/>
  <c r="J25" i="31"/>
  <c r="U24" i="31"/>
  <c r="T24" i="31"/>
  <c r="S24" i="31"/>
  <c r="R24" i="31"/>
  <c r="Q24" i="31"/>
  <c r="Q31" i="31" s="1"/>
  <c r="Q77" i="26" s="1"/>
  <c r="P24" i="31"/>
  <c r="P32" i="31" s="1"/>
  <c r="P78" i="26" s="1"/>
  <c r="O24" i="31"/>
  <c r="N24" i="31"/>
  <c r="N33" i="31" s="1"/>
  <c r="N79" i="26" s="1"/>
  <c r="M24" i="31"/>
  <c r="L24" i="31"/>
  <c r="K24" i="31"/>
  <c r="J24" i="31"/>
  <c r="A24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A20" i="31"/>
  <c r="A29" i="31" s="1"/>
  <c r="A19" i="31"/>
  <c r="A28" i="31" s="1"/>
  <c r="A18" i="31"/>
  <c r="A27" i="31" s="1"/>
  <c r="A17" i="31"/>
  <c r="A26" i="31" s="1"/>
  <c r="A16" i="31"/>
  <c r="A25" i="31" s="1"/>
  <c r="A15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J32" i="30"/>
  <c r="J81" i="24" s="1"/>
  <c r="U28" i="30"/>
  <c r="T28" i="30"/>
  <c r="S28" i="30"/>
  <c r="R28" i="30"/>
  <c r="Q28" i="30"/>
  <c r="P28" i="30"/>
  <c r="O28" i="30"/>
  <c r="N28" i="30"/>
  <c r="M28" i="30"/>
  <c r="L28" i="30"/>
  <c r="K28" i="30"/>
  <c r="J28" i="30"/>
  <c r="A28" i="30"/>
  <c r="U27" i="30"/>
  <c r="T27" i="30"/>
  <c r="S27" i="30"/>
  <c r="R27" i="30"/>
  <c r="Q27" i="30"/>
  <c r="P27" i="30"/>
  <c r="O27" i="30"/>
  <c r="N27" i="30"/>
  <c r="M27" i="30"/>
  <c r="L27" i="30"/>
  <c r="L30" i="30" s="1"/>
  <c r="L79" i="24" s="1"/>
  <c r="K27" i="30"/>
  <c r="J27" i="30"/>
  <c r="A27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A26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A25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A24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A23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A19" i="30"/>
  <c r="A18" i="30"/>
  <c r="A17" i="30"/>
  <c r="A16" i="30"/>
  <c r="A15" i="30"/>
  <c r="A14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M73" i="28"/>
  <c r="L73" i="28"/>
  <c r="M72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U64" i="28"/>
  <c r="U72" i="28" s="1"/>
  <c r="T64" i="28"/>
  <c r="T73" i="28" s="1"/>
  <c r="S64" i="28"/>
  <c r="S73" i="28" s="1"/>
  <c r="R64" i="28"/>
  <c r="R73" i="28" s="1"/>
  <c r="Q64" i="28"/>
  <c r="Q73" i="28" s="1"/>
  <c r="P64" i="28"/>
  <c r="P72" i="28" s="1"/>
  <c r="O64" i="28"/>
  <c r="O73" i="28" s="1"/>
  <c r="N64" i="28"/>
  <c r="M64" i="28"/>
  <c r="L64" i="28"/>
  <c r="L72" i="28" s="1"/>
  <c r="K64" i="28"/>
  <c r="K73" i="28" s="1"/>
  <c r="J64" i="28"/>
  <c r="J73" i="28" s="1"/>
  <c r="U56" i="28"/>
  <c r="T56" i="28"/>
  <c r="S56" i="28"/>
  <c r="R56" i="28"/>
  <c r="Q56" i="28"/>
  <c r="P56" i="28"/>
  <c r="O56" i="28"/>
  <c r="N56" i="28"/>
  <c r="M56" i="28"/>
  <c r="L56" i="28"/>
  <c r="K56" i="28"/>
  <c r="J56" i="28"/>
  <c r="J48" i="28"/>
  <c r="M46" i="28"/>
  <c r="M52" i="28" s="1"/>
  <c r="M53" i="28" s="1"/>
  <c r="L46" i="28"/>
  <c r="L52" i="28" s="1"/>
  <c r="L53" i="28" s="1"/>
  <c r="K46" i="28"/>
  <c r="K52" i="28" s="1"/>
  <c r="K53" i="28" s="1"/>
  <c r="J46" i="28"/>
  <c r="O39" i="28"/>
  <c r="P39" i="28" s="1"/>
  <c r="Q39" i="28" s="1"/>
  <c r="R39" i="28" s="1"/>
  <c r="S39" i="28" s="1"/>
  <c r="R37" i="28"/>
  <c r="Q36" i="28"/>
  <c r="P36" i="28"/>
  <c r="O36" i="28"/>
  <c r="N36" i="28"/>
  <c r="Q35" i="28"/>
  <c r="P35" i="28"/>
  <c r="O35" i="28"/>
  <c r="N35" i="28"/>
  <c r="N46" i="28" s="1"/>
  <c r="N52" i="28" s="1"/>
  <c r="N53" i="28" s="1"/>
  <c r="N31" i="28"/>
  <c r="N32" i="28" s="1"/>
  <c r="M31" i="28"/>
  <c r="M32" i="28" s="1"/>
  <c r="L31" i="28"/>
  <c r="L32" i="28" s="1"/>
  <c r="K31" i="28"/>
  <c r="K32" i="28" s="1"/>
  <c r="J29" i="28"/>
  <c r="U25" i="28"/>
  <c r="U31" i="28" s="1"/>
  <c r="U32" i="28" s="1"/>
  <c r="T25" i="28"/>
  <c r="T31" i="28" s="1"/>
  <c r="T32" i="28" s="1"/>
  <c r="S25" i="28"/>
  <c r="S31" i="28" s="1"/>
  <c r="S32" i="28" s="1"/>
  <c r="R25" i="28"/>
  <c r="R31" i="28" s="1"/>
  <c r="R32" i="28" s="1"/>
  <c r="Q25" i="28"/>
  <c r="Q31" i="28" s="1"/>
  <c r="Q32" i="28" s="1"/>
  <c r="P25" i="28"/>
  <c r="P31" i="28" s="1"/>
  <c r="P32" i="28" s="1"/>
  <c r="O25" i="28"/>
  <c r="O31" i="28" s="1"/>
  <c r="O32" i="28" s="1"/>
  <c r="N25" i="28"/>
  <c r="M25" i="28"/>
  <c r="L25" i="28"/>
  <c r="K25" i="28"/>
  <c r="J25" i="28"/>
  <c r="J31" i="28" s="1"/>
  <c r="J32" i="28" s="1"/>
  <c r="J73" i="27"/>
  <c r="R72" i="27"/>
  <c r="P72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U64" i="27"/>
  <c r="T64" i="27"/>
  <c r="S64" i="27"/>
  <c r="S73" i="27" s="1"/>
  <c r="R64" i="27"/>
  <c r="Q64" i="27"/>
  <c r="P64" i="27"/>
  <c r="P73" i="27" s="1"/>
  <c r="O64" i="27"/>
  <c r="O73" i="27" s="1"/>
  <c r="N64" i="27"/>
  <c r="N72" i="27" s="1"/>
  <c r="M64" i="27"/>
  <c r="L64" i="27"/>
  <c r="K64" i="27"/>
  <c r="J64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R52" i="27"/>
  <c r="N52" i="27"/>
  <c r="N53" i="27" s="1"/>
  <c r="M52" i="27"/>
  <c r="M53" i="27" s="1"/>
  <c r="U49" i="27"/>
  <c r="T49" i="27"/>
  <c r="S49" i="27"/>
  <c r="R49" i="27"/>
  <c r="M48" i="27"/>
  <c r="L48" i="27"/>
  <c r="K48" i="27"/>
  <c r="U46" i="27"/>
  <c r="U52" i="27" s="1"/>
  <c r="T46" i="27"/>
  <c r="T52" i="27" s="1"/>
  <c r="S45" i="27"/>
  <c r="S46" i="27" s="1"/>
  <c r="S52" i="27" s="1"/>
  <c r="R45" i="27"/>
  <c r="R46" i="27" s="1"/>
  <c r="O40" i="27"/>
  <c r="P40" i="27" s="1"/>
  <c r="Q40" i="27" s="1"/>
  <c r="N40" i="27"/>
  <c r="M40" i="27"/>
  <c r="M46" i="27" s="1"/>
  <c r="L40" i="27"/>
  <c r="K40" i="27"/>
  <c r="P38" i="27"/>
  <c r="Q38" i="27" s="1"/>
  <c r="O38" i="27"/>
  <c r="Q37" i="27"/>
  <c r="P37" i="27"/>
  <c r="O37" i="27"/>
  <c r="N37" i="27"/>
  <c r="M37" i="27"/>
  <c r="L37" i="27"/>
  <c r="K37" i="27"/>
  <c r="J37" i="27"/>
  <c r="Q36" i="27"/>
  <c r="P36" i="27"/>
  <c r="O36" i="27"/>
  <c r="N36" i="27"/>
  <c r="M36" i="27"/>
  <c r="L36" i="27"/>
  <c r="K36" i="27"/>
  <c r="J36" i="27"/>
  <c r="J48" i="27" s="1"/>
  <c r="J50" i="27" s="1"/>
  <c r="Q35" i="27"/>
  <c r="P35" i="27"/>
  <c r="O35" i="27"/>
  <c r="O46" i="27" s="1"/>
  <c r="O52" i="27" s="1"/>
  <c r="O53" i="27" s="1"/>
  <c r="N35" i="27"/>
  <c r="N46" i="27" s="1"/>
  <c r="M35" i="27"/>
  <c r="L35" i="27"/>
  <c r="K35" i="27"/>
  <c r="K46" i="27" s="1"/>
  <c r="J35" i="27"/>
  <c r="J46" i="27" s="1"/>
  <c r="J52" i="27" s="1"/>
  <c r="J53" i="27" s="1"/>
  <c r="K31" i="27"/>
  <c r="K32" i="27" s="1"/>
  <c r="S27" i="27"/>
  <c r="R27" i="27"/>
  <c r="O27" i="27"/>
  <c r="O72" i="27" s="1"/>
  <c r="K27" i="27"/>
  <c r="J27" i="27"/>
  <c r="J29" i="27" s="1"/>
  <c r="K29" i="27" s="1"/>
  <c r="U25" i="27"/>
  <c r="U31" i="27" s="1"/>
  <c r="U32" i="27" s="1"/>
  <c r="K25" i="27"/>
  <c r="J25" i="27"/>
  <c r="J31" i="27" s="1"/>
  <c r="J32" i="27" s="1"/>
  <c r="Q23" i="27"/>
  <c r="R17" i="27"/>
  <c r="S17" i="27" s="1"/>
  <c r="T17" i="27" s="1"/>
  <c r="T25" i="27" s="1"/>
  <c r="T31" i="27" s="1"/>
  <c r="T32" i="27" s="1"/>
  <c r="T15" i="27"/>
  <c r="S15" i="27"/>
  <c r="S25" i="27" s="1"/>
  <c r="S31" i="27" s="1"/>
  <c r="R15" i="27"/>
  <c r="Q15" i="27"/>
  <c r="P15" i="27"/>
  <c r="O15" i="27"/>
  <c r="N15" i="27"/>
  <c r="M15" i="27"/>
  <c r="L15" i="27"/>
  <c r="M14" i="27"/>
  <c r="L14" i="27"/>
  <c r="P14" i="27" s="1"/>
  <c r="Q12" i="27"/>
  <c r="P12" i="27"/>
  <c r="O12" i="27"/>
  <c r="N12" i="27"/>
  <c r="L8" i="27"/>
  <c r="E16" i="25"/>
  <c r="E12" i="25"/>
  <c r="E9" i="25"/>
  <c r="E8" i="25"/>
  <c r="E7" i="25"/>
  <c r="E6" i="25"/>
  <c r="A82" i="24"/>
  <c r="A81" i="24"/>
  <c r="A80" i="24"/>
  <c r="A79" i="24"/>
  <c r="N62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Q53" i="24"/>
  <c r="P53" i="24"/>
  <c r="O53" i="24"/>
  <c r="N53" i="24"/>
  <c r="J53" i="24"/>
  <c r="K53" i="24" s="1"/>
  <c r="L53" i="24" s="1"/>
  <c r="U38" i="24"/>
  <c r="T38" i="24"/>
  <c r="S38" i="24"/>
  <c r="R38" i="24"/>
  <c r="Q38" i="24"/>
  <c r="P38" i="24"/>
  <c r="O38" i="24"/>
  <c r="N38" i="24"/>
  <c r="S35" i="24"/>
  <c r="R35" i="24"/>
  <c r="U33" i="24"/>
  <c r="S33" i="24"/>
  <c r="Q30" i="24"/>
  <c r="R30" i="24" s="1"/>
  <c r="S30" i="24" s="1"/>
  <c r="T30" i="24" s="1"/>
  <c r="U30" i="24" s="1"/>
  <c r="P30" i="24"/>
  <c r="O30" i="24"/>
  <c r="N30" i="24"/>
  <c r="M30" i="24"/>
  <c r="L30" i="24"/>
  <c r="K30" i="24"/>
  <c r="J30" i="24"/>
  <c r="U18" i="24"/>
  <c r="T18" i="24"/>
  <c r="T33" i="24" s="1"/>
  <c r="S18" i="24"/>
  <c r="R18" i="24"/>
  <c r="R33" i="24" s="1"/>
  <c r="Q18" i="24"/>
  <c r="Q33" i="24" s="1"/>
  <c r="P18" i="24"/>
  <c r="P33" i="24" s="1"/>
  <c r="O18" i="24"/>
  <c r="O33" i="24" s="1"/>
  <c r="N18" i="24"/>
  <c r="N33" i="24" s="1"/>
  <c r="M18" i="24"/>
  <c r="M33" i="24" s="1"/>
  <c r="L18" i="24"/>
  <c r="L33" i="24" s="1"/>
  <c r="K18" i="24"/>
  <c r="K33" i="24" s="1"/>
  <c r="J18" i="24"/>
  <c r="J33" i="24" s="1"/>
  <c r="J58" i="22"/>
  <c r="I58" i="22"/>
  <c r="F58" i="22"/>
  <c r="C58" i="22"/>
  <c r="J54" i="22"/>
  <c r="I54" i="22"/>
  <c r="H54" i="22"/>
  <c r="H58" i="22" s="1"/>
  <c r="G54" i="22"/>
  <c r="G58" i="22" s="1"/>
  <c r="F54" i="22"/>
  <c r="E54" i="22"/>
  <c r="E58" i="22" s="1"/>
  <c r="D54" i="22"/>
  <c r="D58" i="22" s="1"/>
  <c r="C54" i="22"/>
  <c r="B54" i="22"/>
  <c r="B58" i="22" s="1"/>
  <c r="Q36" i="22"/>
  <c r="F33" i="22"/>
  <c r="D33" i="22"/>
  <c r="E33" i="22" s="1"/>
  <c r="C33" i="22"/>
  <c r="F30" i="22"/>
  <c r="G30" i="22" s="1"/>
  <c r="H30" i="22" s="1"/>
  <c r="I30" i="22" s="1"/>
  <c r="J30" i="22" s="1"/>
  <c r="K30" i="22" s="1"/>
  <c r="L30" i="22" s="1"/>
  <c r="M30" i="22" s="1"/>
  <c r="N30" i="22" s="1"/>
  <c r="C30" i="22"/>
  <c r="D30" i="22" s="1"/>
  <c r="E30" i="22" s="1"/>
  <c r="P28" i="22"/>
  <c r="Q26" i="22"/>
  <c r="K26" i="22"/>
  <c r="D26" i="22"/>
  <c r="N24" i="22"/>
  <c r="N26" i="22" s="1"/>
  <c r="M24" i="22"/>
  <c r="M26" i="22" s="1"/>
  <c r="K24" i="22"/>
  <c r="J24" i="22"/>
  <c r="J26" i="22" s="1"/>
  <c r="I24" i="22"/>
  <c r="H24" i="22"/>
  <c r="G24" i="22"/>
  <c r="G26" i="22" s="1"/>
  <c r="F24" i="22"/>
  <c r="E24" i="22"/>
  <c r="E26" i="22" s="1"/>
  <c r="D24" i="22"/>
  <c r="C24" i="22"/>
  <c r="C26" i="22" s="1"/>
  <c r="B24" i="22"/>
  <c r="Q18" i="22"/>
  <c r="Q20" i="22" s="1"/>
  <c r="Q28" i="22" s="1"/>
  <c r="R28" i="22" s="1"/>
  <c r="S28" i="22" s="1"/>
  <c r="N17" i="22"/>
  <c r="M17" i="22"/>
  <c r="L17" i="22"/>
  <c r="J17" i="22"/>
  <c r="I17" i="22"/>
  <c r="H17" i="22"/>
  <c r="G17" i="22"/>
  <c r="F17" i="22"/>
  <c r="F26" i="22" s="1"/>
  <c r="E17" i="22"/>
  <c r="D17" i="22"/>
  <c r="C17" i="22"/>
  <c r="B17" i="22"/>
  <c r="K13" i="22"/>
  <c r="K17" i="22" s="1"/>
  <c r="M8" i="22"/>
  <c r="I8" i="22"/>
  <c r="G8" i="22"/>
  <c r="G9" i="22" s="1"/>
  <c r="F8" i="22"/>
  <c r="E8" i="22"/>
  <c r="C8" i="22"/>
  <c r="N6" i="22"/>
  <c r="N8" i="22" s="1"/>
  <c r="M6" i="22"/>
  <c r="L6" i="22"/>
  <c r="L8" i="22" s="1"/>
  <c r="K6" i="22"/>
  <c r="K8" i="22" s="1"/>
  <c r="J6" i="22"/>
  <c r="J8" i="22" s="1"/>
  <c r="I6" i="22"/>
  <c r="F6" i="22"/>
  <c r="E6" i="22"/>
  <c r="D6" i="22"/>
  <c r="D8" i="22" s="1"/>
  <c r="C6" i="22"/>
  <c r="B6" i="22"/>
  <c r="B8" i="22" s="1"/>
  <c r="F68" i="21"/>
  <c r="F63" i="21" s="1"/>
  <c r="C68" i="21"/>
  <c r="F64" i="21"/>
  <c r="Q62" i="21"/>
  <c r="P62" i="21"/>
  <c r="O62" i="21"/>
  <c r="N62" i="21"/>
  <c r="M62" i="21"/>
  <c r="L62" i="21"/>
  <c r="K62" i="21"/>
  <c r="J62" i="21"/>
  <c r="I62" i="21"/>
  <c r="H62" i="21"/>
  <c r="G62" i="21"/>
  <c r="N60" i="21"/>
  <c r="M60" i="21"/>
  <c r="L60" i="21"/>
  <c r="K60" i="21"/>
  <c r="J60" i="21"/>
  <c r="N52" i="21"/>
  <c r="N53" i="21" s="1"/>
  <c r="M52" i="21"/>
  <c r="M53" i="21" s="1"/>
  <c r="L52" i="21"/>
  <c r="L53" i="21" s="1"/>
  <c r="K52" i="21"/>
  <c r="C52" i="21"/>
  <c r="H44" i="21"/>
  <c r="G44" i="21"/>
  <c r="E42" i="21"/>
  <c r="C42" i="21"/>
  <c r="C54" i="21" s="1"/>
  <c r="C58" i="21" s="1"/>
  <c r="N41" i="21"/>
  <c r="M41" i="21"/>
  <c r="L41" i="21"/>
  <c r="K41" i="21"/>
  <c r="J41" i="21"/>
  <c r="I41" i="21"/>
  <c r="H41" i="21"/>
  <c r="G41" i="21"/>
  <c r="F41" i="21"/>
  <c r="E41" i="21"/>
  <c r="D41" i="21"/>
  <c r="D42" i="21" s="1"/>
  <c r="E38" i="21"/>
  <c r="D38" i="21"/>
  <c r="I36" i="21"/>
  <c r="J36" i="21" s="1"/>
  <c r="J35" i="21"/>
  <c r="F34" i="21"/>
  <c r="J33" i="21"/>
  <c r="G30" i="21"/>
  <c r="H30" i="21" s="1"/>
  <c r="I30" i="21" s="1"/>
  <c r="J30" i="21" s="1"/>
  <c r="K30" i="21" s="1"/>
  <c r="L30" i="21" s="1"/>
  <c r="M30" i="21" s="1"/>
  <c r="N30" i="21" s="1"/>
  <c r="D30" i="21"/>
  <c r="E30" i="21" s="1"/>
  <c r="F30" i="21" s="1"/>
  <c r="C30" i="21"/>
  <c r="N26" i="21"/>
  <c r="K26" i="21"/>
  <c r="N24" i="21"/>
  <c r="M24" i="21"/>
  <c r="L24" i="21"/>
  <c r="K24" i="21"/>
  <c r="J24" i="21"/>
  <c r="I24" i="21"/>
  <c r="H24" i="21"/>
  <c r="H26" i="21" s="1"/>
  <c r="G24" i="21"/>
  <c r="F24" i="21"/>
  <c r="E24" i="21"/>
  <c r="D24" i="21"/>
  <c r="C24" i="21"/>
  <c r="N17" i="21"/>
  <c r="M17" i="21"/>
  <c r="L17" i="21"/>
  <c r="L26" i="21" s="1"/>
  <c r="K17" i="21"/>
  <c r="I17" i="21"/>
  <c r="I26" i="21" s="1"/>
  <c r="H17" i="21"/>
  <c r="G17" i="21"/>
  <c r="G26" i="21" s="1"/>
  <c r="F17" i="21"/>
  <c r="F26" i="21" s="1"/>
  <c r="E17" i="21"/>
  <c r="D17" i="21"/>
  <c r="D26" i="21" s="1"/>
  <c r="C17" i="21"/>
  <c r="C26" i="21" s="1"/>
  <c r="M8" i="21"/>
  <c r="J8" i="21"/>
  <c r="I8" i="21"/>
  <c r="H8" i="21"/>
  <c r="E8" i="21"/>
  <c r="N6" i="21"/>
  <c r="N8" i="21" s="1"/>
  <c r="M6" i="21"/>
  <c r="L6" i="21"/>
  <c r="L8" i="21" s="1"/>
  <c r="K6" i="21"/>
  <c r="K8" i="21" s="1"/>
  <c r="J6" i="21"/>
  <c r="I6" i="21"/>
  <c r="H6" i="21"/>
  <c r="F6" i="21"/>
  <c r="F8" i="21" s="1"/>
  <c r="E6" i="21"/>
  <c r="D6" i="21"/>
  <c r="D8" i="21" s="1"/>
  <c r="C6" i="21"/>
  <c r="C8" i="21" s="1"/>
  <c r="C9" i="21" s="1"/>
  <c r="H5" i="21"/>
  <c r="G5" i="21"/>
  <c r="G6" i="21" s="1"/>
  <c r="G8" i="21" s="1"/>
  <c r="F103" i="20"/>
  <c r="F100" i="20"/>
  <c r="I99" i="20"/>
  <c r="F98" i="20"/>
  <c r="G94" i="20"/>
  <c r="E94" i="20"/>
  <c r="J92" i="20"/>
  <c r="J94" i="20" s="1"/>
  <c r="I92" i="20"/>
  <c r="I94" i="20" s="1"/>
  <c r="H92" i="20"/>
  <c r="H94" i="20" s="1"/>
  <c r="H42" i="20" s="1"/>
  <c r="H46" i="20" s="1"/>
  <c r="G92" i="20"/>
  <c r="F92" i="20"/>
  <c r="E92" i="20"/>
  <c r="C92" i="20"/>
  <c r="C94" i="20" s="1"/>
  <c r="C42" i="20" s="1"/>
  <c r="J89" i="20"/>
  <c r="G89" i="20"/>
  <c r="D89" i="20"/>
  <c r="D94" i="20" s="1"/>
  <c r="D42" i="20" s="1"/>
  <c r="D46" i="20" s="1"/>
  <c r="D51" i="20" s="1"/>
  <c r="E88" i="20"/>
  <c r="D88" i="20"/>
  <c r="D92" i="20" s="1"/>
  <c r="C88" i="20"/>
  <c r="B88" i="20"/>
  <c r="J84" i="20"/>
  <c r="I84" i="20"/>
  <c r="I89" i="20" s="1"/>
  <c r="H84" i="20"/>
  <c r="H89" i="20" s="1"/>
  <c r="G84" i="20"/>
  <c r="F84" i="20"/>
  <c r="E84" i="20"/>
  <c r="E89" i="20" s="1"/>
  <c r="D84" i="20"/>
  <c r="C84" i="20"/>
  <c r="C89" i="20" s="1"/>
  <c r="B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F75" i="20"/>
  <c r="D66" i="20"/>
  <c r="C66" i="20"/>
  <c r="B66" i="20"/>
  <c r="H65" i="20"/>
  <c r="I65" i="20" s="1"/>
  <c r="J65" i="20" s="1"/>
  <c r="K65" i="20" s="1"/>
  <c r="L65" i="20" s="1"/>
  <c r="M65" i="20" s="1"/>
  <c r="N65" i="20" s="1"/>
  <c r="G65" i="20"/>
  <c r="D64" i="20"/>
  <c r="E64" i="20" s="1"/>
  <c r="E66" i="20" s="1"/>
  <c r="I62" i="20"/>
  <c r="H62" i="20"/>
  <c r="H58" i="20"/>
  <c r="K56" i="20"/>
  <c r="N55" i="20"/>
  <c r="N56" i="20" s="1"/>
  <c r="N17" i="20" s="1"/>
  <c r="M55" i="20"/>
  <c r="L55" i="20"/>
  <c r="K55" i="20"/>
  <c r="J55" i="20"/>
  <c r="I55" i="20"/>
  <c r="H55" i="20"/>
  <c r="G55" i="20"/>
  <c r="F55" i="20"/>
  <c r="E55" i="20"/>
  <c r="D55" i="20"/>
  <c r="C55" i="20"/>
  <c r="H51" i="20"/>
  <c r="N50" i="20"/>
  <c r="M50" i="20"/>
  <c r="L50" i="20"/>
  <c r="K50" i="20"/>
  <c r="J50" i="20"/>
  <c r="I50" i="20"/>
  <c r="I75" i="20" s="1"/>
  <c r="H50" i="20"/>
  <c r="H75" i="20" s="1"/>
  <c r="G50" i="20"/>
  <c r="G75" i="20" s="1"/>
  <c r="F50" i="20"/>
  <c r="E50" i="20"/>
  <c r="D50" i="20"/>
  <c r="C50" i="20"/>
  <c r="B50" i="20"/>
  <c r="J46" i="20"/>
  <c r="N42" i="20"/>
  <c r="M42" i="20"/>
  <c r="L42" i="20"/>
  <c r="K42" i="20"/>
  <c r="J42" i="20"/>
  <c r="I42" i="20"/>
  <c r="I46" i="20" s="1"/>
  <c r="I51" i="20" s="1"/>
  <c r="I58" i="20" s="1"/>
  <c r="G42" i="20"/>
  <c r="G46" i="20" s="1"/>
  <c r="G51" i="20" s="1"/>
  <c r="G58" i="20" s="1"/>
  <c r="G62" i="20" s="1"/>
  <c r="E42" i="20"/>
  <c r="E46" i="20" s="1"/>
  <c r="E51" i="20" s="1"/>
  <c r="E58" i="20" s="1"/>
  <c r="E62" i="20" s="1"/>
  <c r="E70" i="20" s="1"/>
  <c r="L41" i="20"/>
  <c r="M41" i="20" s="1"/>
  <c r="M46" i="20" s="1"/>
  <c r="M51" i="20" s="1"/>
  <c r="M58" i="20" s="1"/>
  <c r="M62" i="20" s="1"/>
  <c r="K41" i="20"/>
  <c r="C41" i="20"/>
  <c r="N36" i="20"/>
  <c r="L36" i="20"/>
  <c r="K36" i="20"/>
  <c r="M35" i="20"/>
  <c r="C33" i="20"/>
  <c r="D33" i="20" s="1"/>
  <c r="E33" i="20" s="1"/>
  <c r="F33" i="20" s="1"/>
  <c r="G33" i="20" s="1"/>
  <c r="H33" i="20" s="1"/>
  <c r="I33" i="20" s="1"/>
  <c r="J33" i="20" s="1"/>
  <c r="K33" i="20" s="1"/>
  <c r="L33" i="20" s="1"/>
  <c r="M33" i="20" s="1"/>
  <c r="N33" i="20" s="1"/>
  <c r="N27" i="20"/>
  <c r="M27" i="20"/>
  <c r="L27" i="20"/>
  <c r="J27" i="20"/>
  <c r="J29" i="20" s="1"/>
  <c r="I27" i="20"/>
  <c r="H27" i="20"/>
  <c r="G27" i="20"/>
  <c r="F27" i="20"/>
  <c r="E27" i="20"/>
  <c r="D27" i="20"/>
  <c r="C27" i="20"/>
  <c r="B27" i="20"/>
  <c r="L20" i="20"/>
  <c r="J20" i="20"/>
  <c r="F20" i="20"/>
  <c r="F29" i="20" s="1"/>
  <c r="K17" i="20"/>
  <c r="K16" i="20"/>
  <c r="M15" i="20"/>
  <c r="M20" i="20" s="1"/>
  <c r="M29" i="20" s="1"/>
  <c r="L15" i="20"/>
  <c r="K15" i="20"/>
  <c r="K20" i="20" s="1"/>
  <c r="J15" i="20"/>
  <c r="I15" i="20"/>
  <c r="I20" i="20" s="1"/>
  <c r="I29" i="20" s="1"/>
  <c r="H15" i="20"/>
  <c r="H20" i="20" s="1"/>
  <c r="H29" i="20" s="1"/>
  <c r="G15" i="20"/>
  <c r="G20" i="20" s="1"/>
  <c r="G29" i="20" s="1"/>
  <c r="F15" i="20"/>
  <c r="E15" i="20"/>
  <c r="E20" i="20" s="1"/>
  <c r="E29" i="20" s="1"/>
  <c r="D15" i="20"/>
  <c r="D20" i="20" s="1"/>
  <c r="D29" i="20" s="1"/>
  <c r="C15" i="20"/>
  <c r="C20" i="20" s="1"/>
  <c r="C29" i="20" s="1"/>
  <c r="B15" i="20"/>
  <c r="B20" i="20" s="1"/>
  <c r="L10" i="20"/>
  <c r="G10" i="20"/>
  <c r="F10" i="20"/>
  <c r="D10" i="20"/>
  <c r="C10" i="20"/>
  <c r="C11" i="20" s="1"/>
  <c r="M8" i="20"/>
  <c r="M9" i="20" s="1"/>
  <c r="L8" i="20"/>
  <c r="J8" i="20"/>
  <c r="J10" i="20" s="1"/>
  <c r="I8" i="20"/>
  <c r="I10" i="20" s="1"/>
  <c r="H8" i="20"/>
  <c r="H10" i="20" s="1"/>
  <c r="G8" i="20"/>
  <c r="F8" i="20"/>
  <c r="E8" i="20"/>
  <c r="E10" i="20" s="1"/>
  <c r="D8" i="20"/>
  <c r="C8" i="20"/>
  <c r="B8" i="20"/>
  <c r="B10" i="20" s="1"/>
  <c r="N6" i="20"/>
  <c r="N8" i="20" s="1"/>
  <c r="M6" i="20"/>
  <c r="L6" i="20"/>
  <c r="K6" i="20"/>
  <c r="K8" i="20" s="1"/>
  <c r="K131" i="19"/>
  <c r="F129" i="19"/>
  <c r="I126" i="19"/>
  <c r="J126" i="19" s="1"/>
  <c r="K126" i="19" s="1"/>
  <c r="L126" i="19" s="1"/>
  <c r="F126" i="19"/>
  <c r="G126" i="19" s="1"/>
  <c r="H126" i="19" s="1"/>
  <c r="H131" i="19" s="1"/>
  <c r="F125" i="19"/>
  <c r="G125" i="19" s="1"/>
  <c r="H125" i="19" s="1"/>
  <c r="F124" i="19"/>
  <c r="G124" i="19" s="1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Q120" i="19"/>
  <c r="P120" i="19"/>
  <c r="N120" i="19"/>
  <c r="K120" i="19"/>
  <c r="H120" i="19"/>
  <c r="F120" i="19"/>
  <c r="F118" i="19"/>
  <c r="Q117" i="19"/>
  <c r="P117" i="19"/>
  <c r="O117" i="19"/>
  <c r="N117" i="19"/>
  <c r="M117" i="19"/>
  <c r="M120" i="19" s="1"/>
  <c r="L117" i="19"/>
  <c r="K117" i="19"/>
  <c r="J117" i="19"/>
  <c r="I117" i="19"/>
  <c r="H117" i="19"/>
  <c r="G117" i="19"/>
  <c r="F117" i="19"/>
  <c r="F131" i="19" s="1"/>
  <c r="P114" i="19"/>
  <c r="N114" i="19"/>
  <c r="M114" i="19"/>
  <c r="J114" i="19"/>
  <c r="H114" i="19"/>
  <c r="G114" i="19"/>
  <c r="J112" i="19"/>
  <c r="G112" i="19"/>
  <c r="H112" i="19" s="1"/>
  <c r="I112" i="19" s="1"/>
  <c r="F112" i="19"/>
  <c r="Q111" i="19"/>
  <c r="Q114" i="19" s="1"/>
  <c r="P111" i="19"/>
  <c r="O111" i="19"/>
  <c r="O114" i="19" s="1"/>
  <c r="N111" i="19"/>
  <c r="M111" i="19"/>
  <c r="L111" i="19"/>
  <c r="L114" i="19" s="1"/>
  <c r="K111" i="19"/>
  <c r="K114" i="19" s="1"/>
  <c r="J111" i="19"/>
  <c r="I111" i="19"/>
  <c r="I114" i="19" s="1"/>
  <c r="H111" i="19"/>
  <c r="G111" i="19"/>
  <c r="F111" i="19"/>
  <c r="F114" i="19" s="1"/>
  <c r="D105" i="19"/>
  <c r="D101" i="19"/>
  <c r="D104" i="19" s="1"/>
  <c r="K100" i="19"/>
  <c r="L100" i="19" s="1"/>
  <c r="M100" i="19" s="1"/>
  <c r="N100" i="19" s="1"/>
  <c r="J100" i="19"/>
  <c r="F100" i="19"/>
  <c r="G100" i="19" s="1"/>
  <c r="H100" i="19" s="1"/>
  <c r="I100" i="19" s="1"/>
  <c r="E100" i="19"/>
  <c r="C100" i="19"/>
  <c r="F99" i="19"/>
  <c r="G99" i="19" s="1"/>
  <c r="H99" i="19" s="1"/>
  <c r="I99" i="19" s="1"/>
  <c r="J99" i="19" s="1"/>
  <c r="K99" i="19" s="1"/>
  <c r="L99" i="19" s="1"/>
  <c r="M99" i="19" s="1"/>
  <c r="N99" i="19" s="1"/>
  <c r="E99" i="19"/>
  <c r="C99" i="19"/>
  <c r="E98" i="19"/>
  <c r="F98" i="19" s="1"/>
  <c r="G98" i="19" s="1"/>
  <c r="H98" i="19" s="1"/>
  <c r="I98" i="19" s="1"/>
  <c r="J98" i="19" s="1"/>
  <c r="K98" i="19" s="1"/>
  <c r="L98" i="19" s="1"/>
  <c r="M98" i="19" s="1"/>
  <c r="N98" i="19" s="1"/>
  <c r="C98" i="19"/>
  <c r="J97" i="19"/>
  <c r="K97" i="19" s="1"/>
  <c r="L97" i="19" s="1"/>
  <c r="M97" i="19" s="1"/>
  <c r="N97" i="19" s="1"/>
  <c r="G97" i="19"/>
  <c r="H97" i="19" s="1"/>
  <c r="I97" i="19" s="1"/>
  <c r="F97" i="19"/>
  <c r="E97" i="19"/>
  <c r="C97" i="19"/>
  <c r="P96" i="19"/>
  <c r="F96" i="19"/>
  <c r="G96" i="19" s="1"/>
  <c r="E96" i="19"/>
  <c r="C96" i="19"/>
  <c r="F95" i="19"/>
  <c r="G95" i="19" s="1"/>
  <c r="E95" i="19"/>
  <c r="M79" i="19"/>
  <c r="L79" i="19"/>
  <c r="J64" i="19"/>
  <c r="K64" i="19" s="1"/>
  <c r="L64" i="19" s="1"/>
  <c r="M64" i="19" s="1"/>
  <c r="N64" i="19" s="1"/>
  <c r="O64" i="19" s="1"/>
  <c r="G64" i="19"/>
  <c r="J63" i="19"/>
  <c r="K63" i="19" s="1"/>
  <c r="L63" i="19" s="1"/>
  <c r="K56" i="19"/>
  <c r="P55" i="19"/>
  <c r="J54" i="19"/>
  <c r="N52" i="19"/>
  <c r="M52" i="19"/>
  <c r="L52" i="19"/>
  <c r="K52" i="19"/>
  <c r="J52" i="19"/>
  <c r="I52" i="19"/>
  <c r="H52" i="19"/>
  <c r="G52" i="19"/>
  <c r="F52" i="19"/>
  <c r="M51" i="19"/>
  <c r="N51" i="19" s="1"/>
  <c r="O51" i="19" s="1"/>
  <c r="I49" i="19"/>
  <c r="I54" i="19" s="1"/>
  <c r="Q46" i="19"/>
  <c r="P46" i="19"/>
  <c r="K46" i="19"/>
  <c r="L46" i="19" s="1"/>
  <c r="M46" i="19" s="1"/>
  <c r="N46" i="19" s="1"/>
  <c r="O46" i="19" s="1"/>
  <c r="J46" i="19"/>
  <c r="H46" i="19"/>
  <c r="H49" i="19" s="1"/>
  <c r="H54" i="19" s="1"/>
  <c r="G46" i="19"/>
  <c r="G49" i="19" s="1"/>
  <c r="G54" i="19" s="1"/>
  <c r="F46" i="19"/>
  <c r="F49" i="19" s="1"/>
  <c r="F54" i="19" s="1"/>
  <c r="J45" i="19"/>
  <c r="J49" i="19" s="1"/>
  <c r="N44" i="19"/>
  <c r="K44" i="19"/>
  <c r="N41" i="19"/>
  <c r="K41" i="19"/>
  <c r="O40" i="19"/>
  <c r="O41" i="19" s="1"/>
  <c r="O44" i="19" s="1"/>
  <c r="N40" i="19"/>
  <c r="K40" i="19"/>
  <c r="I39" i="19"/>
  <c r="H39" i="19"/>
  <c r="G39" i="19"/>
  <c r="F39" i="19"/>
  <c r="F34" i="19"/>
  <c r="G34" i="19" s="1"/>
  <c r="H34" i="19" s="1"/>
  <c r="I34" i="19" s="1"/>
  <c r="J34" i="19" s="1"/>
  <c r="K34" i="19" s="1"/>
  <c r="L34" i="19" s="1"/>
  <c r="M34" i="19" s="1"/>
  <c r="N34" i="19" s="1"/>
  <c r="O34" i="19" s="1"/>
  <c r="P34" i="19" s="1"/>
  <c r="Q34" i="19" s="1"/>
  <c r="Q30" i="19"/>
  <c r="P30" i="19"/>
  <c r="Q28" i="19"/>
  <c r="P28" i="19"/>
  <c r="N28" i="19"/>
  <c r="M28" i="19"/>
  <c r="L28" i="19"/>
  <c r="K28" i="19"/>
  <c r="J28" i="19"/>
  <c r="I28" i="19"/>
  <c r="H28" i="19"/>
  <c r="G28" i="19"/>
  <c r="F28" i="19"/>
  <c r="Q19" i="19"/>
  <c r="P19" i="19"/>
  <c r="O19" i="19"/>
  <c r="N9" i="19"/>
  <c r="N8" i="19"/>
  <c r="I8" i="19"/>
  <c r="I9" i="19" s="1"/>
  <c r="I10" i="19" s="1"/>
  <c r="F8" i="19"/>
  <c r="M6" i="19"/>
  <c r="L6" i="19"/>
  <c r="K6" i="19"/>
  <c r="K8" i="19" s="1"/>
  <c r="K9" i="19" s="1"/>
  <c r="K15" i="19" s="1"/>
  <c r="J6" i="19"/>
  <c r="Q4" i="19"/>
  <c r="P4" i="19"/>
  <c r="O4" i="19"/>
  <c r="M4" i="19"/>
  <c r="L4" i="19"/>
  <c r="K4" i="19"/>
  <c r="J4" i="19"/>
  <c r="I4" i="19"/>
  <c r="H4" i="19"/>
  <c r="G4" i="19"/>
  <c r="F4" i="19"/>
  <c r="F40" i="19" s="1"/>
  <c r="Q3" i="19"/>
  <c r="O3" i="19"/>
  <c r="N3" i="19"/>
  <c r="K78" i="18"/>
  <c r="K37" i="18" s="1"/>
  <c r="I78" i="18"/>
  <c r="I37" i="18" s="1"/>
  <c r="H78" i="18"/>
  <c r="H37" i="18" s="1"/>
  <c r="M76" i="18"/>
  <c r="L76" i="18"/>
  <c r="L78" i="18" s="1"/>
  <c r="L37" i="18" s="1"/>
  <c r="K76" i="18"/>
  <c r="J76" i="18"/>
  <c r="J78" i="18" s="1"/>
  <c r="I76" i="18"/>
  <c r="H76" i="18"/>
  <c r="G76" i="18"/>
  <c r="F76" i="18"/>
  <c r="E76" i="18"/>
  <c r="E78" i="18" s="1"/>
  <c r="E37" i="18" s="1"/>
  <c r="D76" i="18"/>
  <c r="D78" i="18" s="1"/>
  <c r="D37" i="18" s="1"/>
  <c r="C76" i="18"/>
  <c r="C78" i="18" s="1"/>
  <c r="C37" i="18" s="1"/>
  <c r="K73" i="18"/>
  <c r="J73" i="18"/>
  <c r="I73" i="18"/>
  <c r="H73" i="18"/>
  <c r="G73" i="18"/>
  <c r="F73" i="18"/>
  <c r="E73" i="18"/>
  <c r="D73" i="18"/>
  <c r="C73" i="18"/>
  <c r="L69" i="18"/>
  <c r="L73" i="18" s="1"/>
  <c r="K69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J37" i="18"/>
  <c r="M33" i="18"/>
  <c r="N33" i="18" s="1"/>
  <c r="N40" i="18" s="1"/>
  <c r="N45" i="18" s="1"/>
  <c r="D30" i="18"/>
  <c r="E30" i="18" s="1"/>
  <c r="F30" i="18" s="1"/>
  <c r="G30" i="18" s="1"/>
  <c r="H30" i="18" s="1"/>
  <c r="I30" i="18" s="1"/>
  <c r="J30" i="18" s="1"/>
  <c r="K30" i="18" s="1"/>
  <c r="L30" i="18" s="1"/>
  <c r="M30" i="18" s="1"/>
  <c r="N30" i="18" s="1"/>
  <c r="C30" i="18"/>
  <c r="I26" i="18"/>
  <c r="C26" i="18"/>
  <c r="N24" i="18"/>
  <c r="M24" i="18"/>
  <c r="M26" i="18" s="1"/>
  <c r="L24" i="18"/>
  <c r="K24" i="18"/>
  <c r="J24" i="18"/>
  <c r="I24" i="18"/>
  <c r="G24" i="18"/>
  <c r="F24" i="18"/>
  <c r="E24" i="18"/>
  <c r="D24" i="18"/>
  <c r="C24" i="18"/>
  <c r="H22" i="18"/>
  <c r="H20" i="18" s="1"/>
  <c r="N18" i="18"/>
  <c r="M18" i="18"/>
  <c r="L18" i="18"/>
  <c r="K18" i="18"/>
  <c r="K26" i="18" s="1"/>
  <c r="J18" i="18"/>
  <c r="J26" i="18" s="1"/>
  <c r="I18" i="18"/>
  <c r="H18" i="18"/>
  <c r="G18" i="18"/>
  <c r="E18" i="18"/>
  <c r="D18" i="18"/>
  <c r="C18" i="18"/>
  <c r="F15" i="18"/>
  <c r="F18" i="18" s="1"/>
  <c r="F26" i="18" s="1"/>
  <c r="N10" i="18"/>
  <c r="I10" i="18"/>
  <c r="H10" i="18"/>
  <c r="G10" i="18"/>
  <c r="F10" i="18"/>
  <c r="N8" i="18"/>
  <c r="M8" i="18"/>
  <c r="M10" i="18" s="1"/>
  <c r="L8" i="18"/>
  <c r="L10" i="18" s="1"/>
  <c r="K8" i="18"/>
  <c r="K10" i="18" s="1"/>
  <c r="J8" i="18"/>
  <c r="J10" i="18" s="1"/>
  <c r="I8" i="18"/>
  <c r="H8" i="18"/>
  <c r="G8" i="18"/>
  <c r="F8" i="18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94" i="17"/>
  <c r="C93" i="17"/>
  <c r="C92" i="17"/>
  <c r="C91" i="17"/>
  <c r="D87" i="17"/>
  <c r="B84" i="17"/>
  <c r="C82" i="17" s="1"/>
  <c r="H83" i="17"/>
  <c r="H82" i="17"/>
  <c r="H81" i="17"/>
  <c r="D81" i="17"/>
  <c r="M80" i="17"/>
  <c r="L80" i="17"/>
  <c r="K80" i="17"/>
  <c r="J80" i="17"/>
  <c r="H80" i="17"/>
  <c r="D80" i="17"/>
  <c r="C80" i="17"/>
  <c r="B75" i="17"/>
  <c r="L74" i="17"/>
  <c r="L85" i="17" s="1"/>
  <c r="I54" i="17" s="1"/>
  <c r="K74" i="17"/>
  <c r="K85" i="17" s="1"/>
  <c r="H54" i="17" s="1"/>
  <c r="H55" i="17" s="1"/>
  <c r="H73" i="17"/>
  <c r="C54" i="17" s="1"/>
  <c r="C72" i="17"/>
  <c r="D72" i="17" s="1"/>
  <c r="D74" i="17" s="1"/>
  <c r="C71" i="17"/>
  <c r="H70" i="17"/>
  <c r="D70" i="17"/>
  <c r="H69" i="17"/>
  <c r="C69" i="17"/>
  <c r="H68" i="17"/>
  <c r="D68" i="17"/>
  <c r="M55" i="17"/>
  <c r="M56" i="17" s="1"/>
  <c r="M16" i="17" s="1"/>
  <c r="L55" i="17"/>
  <c r="K55" i="17"/>
  <c r="J55" i="17"/>
  <c r="F53" i="17"/>
  <c r="E53" i="17"/>
  <c r="E20" i="17" s="1"/>
  <c r="E25" i="17" s="1"/>
  <c r="D53" i="17"/>
  <c r="C53" i="17"/>
  <c r="C55" i="17" s="1"/>
  <c r="G52" i="17"/>
  <c r="G51" i="17"/>
  <c r="N49" i="17"/>
  <c r="N55" i="17" s="1"/>
  <c r="D48" i="17"/>
  <c r="E48" i="17" s="1"/>
  <c r="E45" i="17"/>
  <c r="D45" i="17"/>
  <c r="J44" i="17"/>
  <c r="K44" i="17" s="1"/>
  <c r="L44" i="17" s="1"/>
  <c r="M44" i="17" s="1"/>
  <c r="N44" i="17" s="1"/>
  <c r="I44" i="17"/>
  <c r="L43" i="17"/>
  <c r="M43" i="17" s="1"/>
  <c r="N43" i="17" s="1"/>
  <c r="K43" i="17"/>
  <c r="G43" i="17"/>
  <c r="F43" i="17"/>
  <c r="F45" i="17" s="1"/>
  <c r="D43" i="17"/>
  <c r="C43" i="17"/>
  <c r="C45" i="17" s="1"/>
  <c r="F42" i="17"/>
  <c r="E42" i="17"/>
  <c r="E43" i="17" s="1"/>
  <c r="D42" i="17"/>
  <c r="J39" i="17"/>
  <c r="K39" i="17" s="1"/>
  <c r="L39" i="17" s="1"/>
  <c r="M39" i="17" s="1"/>
  <c r="N39" i="17" s="1"/>
  <c r="G39" i="17"/>
  <c r="F39" i="17"/>
  <c r="N38" i="17"/>
  <c r="H38" i="17"/>
  <c r="I38" i="17" s="1"/>
  <c r="J38" i="17" s="1"/>
  <c r="K38" i="17" s="1"/>
  <c r="L38" i="17" s="1"/>
  <c r="M38" i="17" s="1"/>
  <c r="G38" i="17"/>
  <c r="H37" i="17"/>
  <c r="G37" i="17"/>
  <c r="E37" i="17"/>
  <c r="D37" i="17"/>
  <c r="D32" i="17"/>
  <c r="E32" i="17" s="1"/>
  <c r="F32" i="17" s="1"/>
  <c r="G32" i="17" s="1"/>
  <c r="H32" i="17" s="1"/>
  <c r="I32" i="17" s="1"/>
  <c r="J32" i="17" s="1"/>
  <c r="K32" i="17" s="1"/>
  <c r="L32" i="17" s="1"/>
  <c r="M32" i="17" s="1"/>
  <c r="N32" i="17" s="1"/>
  <c r="C32" i="17"/>
  <c r="N25" i="17"/>
  <c r="M25" i="17"/>
  <c r="L25" i="17"/>
  <c r="K25" i="17"/>
  <c r="H25" i="17"/>
  <c r="G25" i="17"/>
  <c r="F25" i="17"/>
  <c r="D25" i="17"/>
  <c r="C25" i="17"/>
  <c r="J17" i="17"/>
  <c r="H17" i="17"/>
  <c r="H27" i="17" s="1"/>
  <c r="D17" i="17"/>
  <c r="C17" i="17"/>
  <c r="N16" i="17"/>
  <c r="L16" i="17"/>
  <c r="K16" i="17"/>
  <c r="J16" i="17"/>
  <c r="I16" i="17"/>
  <c r="H16" i="17"/>
  <c r="G16" i="17"/>
  <c r="G17" i="17" s="1"/>
  <c r="G27" i="17" s="1"/>
  <c r="F16" i="17"/>
  <c r="C16" i="17"/>
  <c r="J12" i="17"/>
  <c r="I12" i="17"/>
  <c r="I17" i="17" s="1"/>
  <c r="I19" i="17" s="1"/>
  <c r="I25" i="17" s="1"/>
  <c r="I27" i="17" s="1"/>
  <c r="H12" i="17"/>
  <c r="G12" i="17"/>
  <c r="F12" i="17"/>
  <c r="F17" i="17" s="1"/>
  <c r="F27" i="17" s="1"/>
  <c r="E12" i="17"/>
  <c r="E17" i="17" s="1"/>
  <c r="D12" i="17"/>
  <c r="C12" i="17"/>
  <c r="J10" i="17"/>
  <c r="I10" i="17"/>
  <c r="I8" i="17"/>
  <c r="H8" i="17"/>
  <c r="H10" i="17" s="1"/>
  <c r="G8" i="17"/>
  <c r="G10" i="17" s="1"/>
  <c r="N5" i="17"/>
  <c r="M5" i="17"/>
  <c r="M8" i="17" s="1"/>
  <c r="L5" i="17"/>
  <c r="L8" i="17" s="1"/>
  <c r="L9" i="17" s="1"/>
  <c r="L12" i="17" s="1"/>
  <c r="L17" i="17" s="1"/>
  <c r="L27" i="17" s="1"/>
  <c r="O64" i="17" s="1"/>
  <c r="K5" i="17"/>
  <c r="K8" i="17" s="1"/>
  <c r="J5" i="17"/>
  <c r="J8" i="17" s="1"/>
  <c r="I5" i="17"/>
  <c r="H5" i="17"/>
  <c r="G5" i="17"/>
  <c r="F5" i="17"/>
  <c r="E5" i="17"/>
  <c r="D5" i="17"/>
  <c r="C5" i="17"/>
  <c r="N4" i="17"/>
  <c r="J4" i="17"/>
  <c r="I4" i="17"/>
  <c r="H4" i="17"/>
  <c r="G4" i="17"/>
  <c r="F4" i="17"/>
  <c r="F8" i="17" s="1"/>
  <c r="F10" i="17" s="1"/>
  <c r="E4" i="17"/>
  <c r="E8" i="17" s="1"/>
  <c r="E10" i="17" s="1"/>
  <c r="D4" i="17"/>
  <c r="C4" i="17"/>
  <c r="N7" i="16"/>
  <c r="M7" i="16"/>
  <c r="K6" i="16"/>
  <c r="L6" i="16" s="1"/>
  <c r="M6" i="16" s="1"/>
  <c r="N6" i="16" s="1"/>
  <c r="O6" i="16" s="1"/>
  <c r="O5" i="16"/>
  <c r="N5" i="16"/>
  <c r="H5" i="16"/>
  <c r="I5" i="16" s="1"/>
  <c r="J5" i="16" s="1"/>
  <c r="K5" i="16" s="1"/>
  <c r="L5" i="16" s="1"/>
  <c r="D4" i="16"/>
  <c r="D8" i="16" s="1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E50" i="15"/>
  <c r="F50" i="15" s="1"/>
  <c r="G50" i="15" s="1"/>
  <c r="H50" i="15" s="1"/>
  <c r="I50" i="15" s="1"/>
  <c r="J50" i="15" s="1"/>
  <c r="K50" i="15" s="1"/>
  <c r="L50" i="15" s="1"/>
  <c r="M50" i="15" s="1"/>
  <c r="N50" i="15" s="1"/>
  <c r="B50" i="15"/>
  <c r="C50" i="15" s="1"/>
  <c r="D50" i="15" s="1"/>
  <c r="C40" i="15"/>
  <c r="D40" i="15" s="1"/>
  <c r="A40" i="15"/>
  <c r="C39" i="15"/>
  <c r="A39" i="15"/>
  <c r="C37" i="15"/>
  <c r="D37" i="15" s="1"/>
  <c r="E37" i="15" s="1"/>
  <c r="F37" i="15" s="1"/>
  <c r="G37" i="15" s="1"/>
  <c r="H37" i="15" s="1"/>
  <c r="I37" i="15" s="1"/>
  <c r="J37" i="15" s="1"/>
  <c r="K37" i="15" s="1"/>
  <c r="L37" i="15" s="1"/>
  <c r="M37" i="15" s="1"/>
  <c r="N37" i="15" s="1"/>
  <c r="L35" i="15"/>
  <c r="K35" i="15"/>
  <c r="J35" i="15"/>
  <c r="I35" i="15"/>
  <c r="H35" i="15"/>
  <c r="G35" i="15"/>
  <c r="F35" i="15"/>
  <c r="E35" i="15"/>
  <c r="D35" i="15"/>
  <c r="C35" i="15"/>
  <c r="M34" i="15"/>
  <c r="M35" i="15" s="1"/>
  <c r="L34" i="15"/>
  <c r="N32" i="15"/>
  <c r="M32" i="15"/>
  <c r="K32" i="15"/>
  <c r="J32" i="15"/>
  <c r="I32" i="15"/>
  <c r="H32" i="15"/>
  <c r="G32" i="15"/>
  <c r="F32" i="15"/>
  <c r="E32" i="15"/>
  <c r="D32" i="15"/>
  <c r="C32" i="15"/>
  <c r="L31" i="15"/>
  <c r="L32" i="15" s="1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E11" i="15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N28" i="14"/>
  <c r="V22" i="14"/>
  <c r="X22" i="14" s="1"/>
  <c r="H22" i="14"/>
  <c r="H21" i="14"/>
  <c r="J21" i="14" s="1"/>
  <c r="R20" i="14"/>
  <c r="H19" i="14"/>
  <c r="C19" i="14"/>
  <c r="J19" i="14" s="1"/>
  <c r="R17" i="14"/>
  <c r="R28" i="14" s="1"/>
  <c r="H15" i="14"/>
  <c r="J15" i="14" s="1"/>
  <c r="P14" i="14"/>
  <c r="R14" i="14" s="1"/>
  <c r="H13" i="14"/>
  <c r="J13" i="14" s="1"/>
  <c r="R12" i="14"/>
  <c r="H12" i="14"/>
  <c r="H10" i="14"/>
  <c r="J10" i="14" s="1"/>
  <c r="H7" i="14"/>
  <c r="C7" i="14"/>
  <c r="P5" i="14"/>
  <c r="AE4" i="14"/>
  <c r="AD4" i="14"/>
  <c r="AC4" i="14"/>
  <c r="AB4" i="14"/>
  <c r="AA4" i="14"/>
  <c r="Z4" i="14"/>
  <c r="X4" i="14"/>
  <c r="Y4" i="14" s="1"/>
  <c r="W4" i="14"/>
  <c r="V4" i="14"/>
  <c r="T4" i="14"/>
  <c r="U4" i="14" s="1"/>
  <c r="S4" i="14"/>
  <c r="R4" i="14"/>
  <c r="P4" i="14"/>
  <c r="Q4" i="14" s="1"/>
  <c r="O4" i="14"/>
  <c r="N4" i="14"/>
  <c r="M4" i="14"/>
  <c r="L4" i="14"/>
  <c r="K4" i="14"/>
  <c r="J4" i="14"/>
  <c r="H4" i="14"/>
  <c r="I4" i="14" s="1"/>
  <c r="AE3" i="14"/>
  <c r="AD3" i="14"/>
  <c r="AB3" i="14"/>
  <c r="AA3" i="14"/>
  <c r="Z3" i="14"/>
  <c r="X3" i="14"/>
  <c r="V3" i="14"/>
  <c r="U3" i="14"/>
  <c r="T3" i="14"/>
  <c r="S3" i="14"/>
  <c r="R3" i="14"/>
  <c r="P3" i="14"/>
  <c r="N3" i="14"/>
  <c r="L3" i="14"/>
  <c r="K3" i="14"/>
  <c r="J3" i="14"/>
  <c r="H3" i="14"/>
  <c r="AD43" i="13"/>
  <c r="AB43" i="13"/>
  <c r="T43" i="13"/>
  <c r="N43" i="13"/>
  <c r="L43" i="13"/>
  <c r="Y39" i="13" a="1"/>
  <c r="Y39" i="13"/>
  <c r="K67" i="1" s="1"/>
  <c r="K53" i="9" s="1"/>
  <c r="W39" i="13" a="1"/>
  <c r="W39" i="13" s="1"/>
  <c r="U39" i="13" a="1"/>
  <c r="U39" i="13" s="1"/>
  <c r="O39" i="13" a="1"/>
  <c r="O39" i="13" s="1"/>
  <c r="M39" i="13" a="1"/>
  <c r="M39" i="13"/>
  <c r="K39" i="13" a="1"/>
  <c r="K39" i="13" s="1"/>
  <c r="C33" i="13"/>
  <c r="I29" i="13"/>
  <c r="K29" i="13" s="1"/>
  <c r="I28" i="13"/>
  <c r="K28" i="13" s="1"/>
  <c r="I26" i="13"/>
  <c r="I20" i="13"/>
  <c r="K20" i="13" s="1"/>
  <c r="O19" i="13"/>
  <c r="I19" i="13"/>
  <c r="O17" i="13"/>
  <c r="R16" i="13"/>
  <c r="R15" i="13"/>
  <c r="I15" i="13"/>
  <c r="S11" i="13"/>
  <c r="U11" i="13" s="1"/>
  <c r="O8" i="13"/>
  <c r="O7" i="13"/>
  <c r="I7" i="13"/>
  <c r="I5" i="13"/>
  <c r="K5" i="13" s="1"/>
  <c r="M5" i="13" s="1"/>
  <c r="AE3" i="13"/>
  <c r="AD3" i="13"/>
  <c r="AC3" i="13"/>
  <c r="AA3" i="13"/>
  <c r="AB3" i="13" s="1"/>
  <c r="Y3" i="13"/>
  <c r="Z3" i="13" s="1"/>
  <c r="W3" i="13"/>
  <c r="V3" i="13"/>
  <c r="U3" i="13"/>
  <c r="S3" i="13"/>
  <c r="T3" i="13" s="1"/>
  <c r="R3" i="13"/>
  <c r="Q3" i="13"/>
  <c r="O3" i="13"/>
  <c r="P3" i="13" s="1"/>
  <c r="M3" i="13"/>
  <c r="K3" i="13"/>
  <c r="J3" i="13"/>
  <c r="I3" i="13"/>
  <c r="AE2" i="13"/>
  <c r="AC2" i="13"/>
  <c r="AA2" i="13"/>
  <c r="Y2" i="13"/>
  <c r="X2" i="13"/>
  <c r="W2" i="13"/>
  <c r="U2" i="13"/>
  <c r="S2" i="13"/>
  <c r="Q2" i="13"/>
  <c r="O2" i="13"/>
  <c r="M2" i="13"/>
  <c r="K2" i="13"/>
  <c r="I2" i="13"/>
  <c r="I18" i="13" s="1"/>
  <c r="K18" i="13" s="1"/>
  <c r="A132" i="12"/>
  <c r="A131" i="12"/>
  <c r="A128" i="12"/>
  <c r="A106" i="12"/>
  <c r="A104" i="12"/>
  <c r="E97" i="12" a="1"/>
  <c r="E97" i="12" s="1"/>
  <c r="A92" i="12"/>
  <c r="A91" i="12"/>
  <c r="A90" i="12"/>
  <c r="A87" i="12"/>
  <c r="A79" i="12"/>
  <c r="A65" i="12"/>
  <c r="A63" i="12"/>
  <c r="A62" i="12"/>
  <c r="A61" i="12"/>
  <c r="H57" i="12"/>
  <c r="T55" i="12" a="1"/>
  <c r="T55" i="12" s="1"/>
  <c r="S55" i="12" a="1"/>
  <c r="S55" i="12" s="1"/>
  <c r="Q55" i="12" a="1"/>
  <c r="Q55" i="12" s="1"/>
  <c r="I55" i="12" a="1"/>
  <c r="I55" i="12" s="1"/>
  <c r="C50" i="12"/>
  <c r="C49" i="12"/>
  <c r="C48" i="12"/>
  <c r="Y43" i="12"/>
  <c r="L43" i="12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I43" i="12"/>
  <c r="J43" i="12" s="1"/>
  <c r="K43" i="12" s="1"/>
  <c r="G43" i="12"/>
  <c r="Y42" i="12"/>
  <c r="U42" i="12"/>
  <c r="V42" i="12" s="1"/>
  <c r="W42" i="12" s="1"/>
  <c r="X42" i="12" s="1"/>
  <c r="K42" i="12"/>
  <c r="L42" i="12" s="1"/>
  <c r="M42" i="12" s="1"/>
  <c r="N42" i="12" s="1"/>
  <c r="O42" i="12" s="1"/>
  <c r="P42" i="12" s="1"/>
  <c r="Q42" i="12" s="1"/>
  <c r="R42" i="12" s="1"/>
  <c r="S42" i="12" s="1"/>
  <c r="T42" i="12" s="1"/>
  <c r="I42" i="12"/>
  <c r="J42" i="12" s="1"/>
  <c r="G42" i="12"/>
  <c r="Y41" i="12"/>
  <c r="K41" i="12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I41" i="12"/>
  <c r="J41" i="12" s="1"/>
  <c r="G41" i="12"/>
  <c r="Y40" i="12"/>
  <c r="U40" i="12"/>
  <c r="V40" i="12" s="1"/>
  <c r="W40" i="12" s="1"/>
  <c r="X40" i="12" s="1"/>
  <c r="T40" i="12"/>
  <c r="J40" i="12"/>
  <c r="K40" i="12" s="1"/>
  <c r="L40" i="12" s="1"/>
  <c r="M40" i="12" s="1"/>
  <c r="N40" i="12" s="1"/>
  <c r="O40" i="12" s="1"/>
  <c r="P40" i="12" s="1"/>
  <c r="Q40" i="12" s="1"/>
  <c r="R40" i="12" s="1"/>
  <c r="S40" i="12" s="1"/>
  <c r="I40" i="12"/>
  <c r="G40" i="12"/>
  <c r="Y39" i="12"/>
  <c r="A95" i="12" s="1"/>
  <c r="R39" i="12"/>
  <c r="S39" i="12" s="1"/>
  <c r="T39" i="12" s="1"/>
  <c r="U39" i="12" s="1"/>
  <c r="V39" i="12" s="1"/>
  <c r="W39" i="12" s="1"/>
  <c r="X39" i="12" s="1"/>
  <c r="M39" i="12"/>
  <c r="N39" i="12" s="1"/>
  <c r="O39" i="12" s="1"/>
  <c r="P39" i="12" s="1"/>
  <c r="Q39" i="12" s="1"/>
  <c r="I39" i="12"/>
  <c r="J39" i="12" s="1"/>
  <c r="K39" i="12" s="1"/>
  <c r="L39" i="12" s="1"/>
  <c r="G39" i="12"/>
  <c r="Y38" i="12"/>
  <c r="A94" i="12" s="1"/>
  <c r="Q38" i="12"/>
  <c r="R38" i="12" s="1"/>
  <c r="S38" i="12" s="1"/>
  <c r="T38" i="12" s="1"/>
  <c r="U38" i="12" s="1"/>
  <c r="V38" i="12" s="1"/>
  <c r="W38" i="12" s="1"/>
  <c r="X38" i="12" s="1"/>
  <c r="I38" i="12"/>
  <c r="J38" i="12" s="1"/>
  <c r="K38" i="12" s="1"/>
  <c r="L38" i="12" s="1"/>
  <c r="M38" i="12" s="1"/>
  <c r="N38" i="12" s="1"/>
  <c r="O38" i="12" s="1"/>
  <c r="P38" i="12" s="1"/>
  <c r="G38" i="12"/>
  <c r="Y37" i="12"/>
  <c r="A93" i="12" s="1"/>
  <c r="I37" i="12"/>
  <c r="J37" i="12" s="1"/>
  <c r="K37" i="12" s="1"/>
  <c r="L37" i="12" s="1"/>
  <c r="M37" i="12" s="1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C37" i="12"/>
  <c r="G37" i="12" s="1"/>
  <c r="Y36" i="12"/>
  <c r="R36" i="12"/>
  <c r="S36" i="12" s="1"/>
  <c r="T36" i="12" s="1"/>
  <c r="U36" i="12" s="1"/>
  <c r="V36" i="12" s="1"/>
  <c r="W36" i="12" s="1"/>
  <c r="X36" i="12" s="1"/>
  <c r="Q36" i="12"/>
  <c r="K36" i="12"/>
  <c r="L36" i="12" s="1"/>
  <c r="M36" i="12" s="1"/>
  <c r="N36" i="12" s="1"/>
  <c r="O36" i="12" s="1"/>
  <c r="P36" i="12" s="1"/>
  <c r="J36" i="12"/>
  <c r="I36" i="12"/>
  <c r="G36" i="12"/>
  <c r="Y35" i="12"/>
  <c r="T35" i="12"/>
  <c r="U35" i="12" s="1"/>
  <c r="V35" i="12" s="1"/>
  <c r="W35" i="12" s="1"/>
  <c r="X35" i="12" s="1"/>
  <c r="R35" i="12"/>
  <c r="S35" i="12" s="1"/>
  <c r="P35" i="12"/>
  <c r="Q35" i="12" s="1"/>
  <c r="J35" i="12"/>
  <c r="K35" i="12" s="1"/>
  <c r="L35" i="12" s="1"/>
  <c r="M35" i="12" s="1"/>
  <c r="N35" i="12" s="1"/>
  <c r="O35" i="12" s="1"/>
  <c r="I35" i="12"/>
  <c r="G35" i="12"/>
  <c r="Y34" i="12"/>
  <c r="M34" i="12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J34" i="12"/>
  <c r="K34" i="12" s="1"/>
  <c r="L34" i="12" s="1"/>
  <c r="I34" i="12"/>
  <c r="G34" i="12"/>
  <c r="Y33" i="12"/>
  <c r="A89" i="12" s="1"/>
  <c r="N33" i="12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L33" i="12"/>
  <c r="I33" i="12"/>
  <c r="J33" i="12" s="1"/>
  <c r="K33" i="12" s="1"/>
  <c r="Y32" i="12"/>
  <c r="A88" i="12" s="1"/>
  <c r="O32" i="12"/>
  <c r="P32" i="12" s="1"/>
  <c r="Q32" i="12" s="1"/>
  <c r="R32" i="12" s="1"/>
  <c r="S32" i="12" s="1"/>
  <c r="T32" i="12" s="1"/>
  <c r="U32" i="12" s="1"/>
  <c r="V32" i="12" s="1"/>
  <c r="W32" i="12" s="1"/>
  <c r="X32" i="12" s="1"/>
  <c r="N32" i="12"/>
  <c r="L32" i="12"/>
  <c r="K32" i="12"/>
  <c r="I32" i="12"/>
  <c r="J32" i="12" s="1"/>
  <c r="Y31" i="12"/>
  <c r="P31" i="12"/>
  <c r="Q31" i="12" s="1"/>
  <c r="R31" i="12" s="1"/>
  <c r="S31" i="12" s="1"/>
  <c r="T31" i="12" s="1"/>
  <c r="U31" i="12" s="1"/>
  <c r="V31" i="12" s="1"/>
  <c r="W31" i="12" s="1"/>
  <c r="X31" i="12" s="1"/>
  <c r="L31" i="12"/>
  <c r="M31" i="12" s="1"/>
  <c r="N31" i="12" s="1"/>
  <c r="O31" i="12" s="1"/>
  <c r="I31" i="12"/>
  <c r="J31" i="12" s="1"/>
  <c r="K31" i="12" s="1"/>
  <c r="Y30" i="12"/>
  <c r="A86" i="12" s="1"/>
  <c r="M30" i="12"/>
  <c r="N30" i="12" s="1"/>
  <c r="O30" i="12" s="1"/>
  <c r="P30" i="12" s="1"/>
  <c r="Q30" i="12" s="1"/>
  <c r="R30" i="12" s="1"/>
  <c r="S30" i="12" s="1"/>
  <c r="T30" i="12" s="1"/>
  <c r="U30" i="12" s="1"/>
  <c r="V30" i="12" s="1"/>
  <c r="W30" i="12" s="1"/>
  <c r="X30" i="12" s="1"/>
  <c r="L30" i="12"/>
  <c r="I30" i="12"/>
  <c r="J30" i="12" s="1"/>
  <c r="K30" i="12" s="1"/>
  <c r="G30" i="12"/>
  <c r="Y29" i="12"/>
  <c r="A85" i="12" s="1"/>
  <c r="M29" i="12"/>
  <c r="N29" i="12" s="1"/>
  <c r="O29" i="12" s="1"/>
  <c r="P29" i="12" s="1"/>
  <c r="Q29" i="12" s="1"/>
  <c r="R29" i="12" s="1"/>
  <c r="S29" i="12" s="1"/>
  <c r="T29" i="12" s="1"/>
  <c r="U29" i="12" s="1"/>
  <c r="V29" i="12" s="1"/>
  <c r="W29" i="12" s="1"/>
  <c r="X29" i="12" s="1"/>
  <c r="L29" i="12"/>
  <c r="I29" i="12"/>
  <c r="J29" i="12" s="1"/>
  <c r="K29" i="12" s="1"/>
  <c r="G29" i="12"/>
  <c r="Y28" i="12"/>
  <c r="A84" i="12" s="1"/>
  <c r="Q28" i="12"/>
  <c r="R28" i="12" s="1"/>
  <c r="S28" i="12" s="1"/>
  <c r="T28" i="12" s="1"/>
  <c r="U28" i="12" s="1"/>
  <c r="V28" i="12" s="1"/>
  <c r="W28" i="12" s="1"/>
  <c r="X28" i="12" s="1"/>
  <c r="O28" i="12"/>
  <c r="P28" i="12" s="1"/>
  <c r="N28" i="12"/>
  <c r="L28" i="12"/>
  <c r="M28" i="12" s="1"/>
  <c r="I28" i="12"/>
  <c r="J28" i="12" s="1"/>
  <c r="K28" i="12" s="1"/>
  <c r="G28" i="12"/>
  <c r="Y27" i="12"/>
  <c r="A83" i="12" s="1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I27" i="12"/>
  <c r="J27" i="12" s="1"/>
  <c r="G27" i="12"/>
  <c r="Y26" i="12"/>
  <c r="A82" i="12" s="1"/>
  <c r="J26" i="12"/>
  <c r="K26" i="12" s="1"/>
  <c r="L26" i="12" s="1"/>
  <c r="M26" i="12" s="1"/>
  <c r="N26" i="12" s="1"/>
  <c r="O26" i="12" s="1"/>
  <c r="P26" i="12" s="1"/>
  <c r="Q26" i="12" s="1"/>
  <c r="R26" i="12" s="1"/>
  <c r="S26" i="12" s="1"/>
  <c r="T26" i="12" s="1"/>
  <c r="U26" i="12" s="1"/>
  <c r="V26" i="12" s="1"/>
  <c r="W26" i="12" s="1"/>
  <c r="X26" i="12" s="1"/>
  <c r="I26" i="12"/>
  <c r="G26" i="12"/>
  <c r="Y25" i="12"/>
  <c r="A81" i="12" s="1"/>
  <c r="R25" i="12"/>
  <c r="S25" i="12" s="1"/>
  <c r="T25" i="12" s="1"/>
  <c r="U25" i="12" s="1"/>
  <c r="V25" i="12" s="1"/>
  <c r="W25" i="12" s="1"/>
  <c r="X25" i="12" s="1"/>
  <c r="J25" i="12"/>
  <c r="K25" i="12" s="1"/>
  <c r="L25" i="12" s="1"/>
  <c r="M25" i="12" s="1"/>
  <c r="N25" i="12" s="1"/>
  <c r="O25" i="12" s="1"/>
  <c r="P25" i="12" s="1"/>
  <c r="Q25" i="12" s="1"/>
  <c r="I25" i="12"/>
  <c r="G25" i="12"/>
  <c r="Y24" i="12"/>
  <c r="A80" i="12" s="1"/>
  <c r="K24" i="12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J24" i="12"/>
  <c r="I24" i="12"/>
  <c r="G24" i="12"/>
  <c r="Y23" i="12"/>
  <c r="Q23" i="12"/>
  <c r="R23" i="12" s="1"/>
  <c r="S23" i="12" s="1"/>
  <c r="T23" i="12" s="1"/>
  <c r="U23" i="12" s="1"/>
  <c r="V23" i="12" s="1"/>
  <c r="W23" i="12" s="1"/>
  <c r="X23" i="12" s="1"/>
  <c r="O23" i="12"/>
  <c r="P23" i="12" s="1"/>
  <c r="J23" i="12"/>
  <c r="K23" i="12" s="1"/>
  <c r="L23" i="12" s="1"/>
  <c r="M23" i="12" s="1"/>
  <c r="N23" i="12" s="1"/>
  <c r="I23" i="12"/>
  <c r="G23" i="12"/>
  <c r="Y22" i="12"/>
  <c r="A78" i="12" s="1"/>
  <c r="J22" i="12"/>
  <c r="K22" i="12" s="1"/>
  <c r="L22" i="12" s="1"/>
  <c r="M22" i="12" s="1"/>
  <c r="N22" i="12" s="1"/>
  <c r="O22" i="12" s="1"/>
  <c r="P22" i="12" s="1"/>
  <c r="Q22" i="12" s="1"/>
  <c r="R22" i="12" s="1"/>
  <c r="S22" i="12" s="1"/>
  <c r="T22" i="12" s="1"/>
  <c r="U22" i="12" s="1"/>
  <c r="V22" i="12" s="1"/>
  <c r="W22" i="12" s="1"/>
  <c r="X22" i="12" s="1"/>
  <c r="I22" i="12"/>
  <c r="G22" i="12"/>
  <c r="Y21" i="12"/>
  <c r="A77" i="12" s="1"/>
  <c r="N21" i="12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J21" i="12"/>
  <c r="K21" i="12" s="1"/>
  <c r="L21" i="12" s="1"/>
  <c r="M21" i="12" s="1"/>
  <c r="I21" i="12"/>
  <c r="G21" i="12"/>
  <c r="Y20" i="12"/>
  <c r="A76" i="12" s="1"/>
  <c r="Q20" i="12"/>
  <c r="R20" i="12" s="1"/>
  <c r="S20" i="12" s="1"/>
  <c r="T20" i="12" s="1"/>
  <c r="U20" i="12" s="1"/>
  <c r="V20" i="12" s="1"/>
  <c r="W20" i="12" s="1"/>
  <c r="X20" i="12" s="1"/>
  <c r="O20" i="12"/>
  <c r="P20" i="12" s="1"/>
  <c r="K20" i="12"/>
  <c r="L20" i="12" s="1"/>
  <c r="M20" i="12" s="1"/>
  <c r="N20" i="12" s="1"/>
  <c r="J20" i="12"/>
  <c r="I20" i="12"/>
  <c r="G20" i="12"/>
  <c r="Y19" i="12"/>
  <c r="A75" i="12" s="1"/>
  <c r="R19" i="12"/>
  <c r="S19" i="12" s="1"/>
  <c r="T19" i="12" s="1"/>
  <c r="U19" i="12" s="1"/>
  <c r="V19" i="12" s="1"/>
  <c r="W19" i="12" s="1"/>
  <c r="X19" i="12" s="1"/>
  <c r="P19" i="12"/>
  <c r="Q19" i="12" s="1"/>
  <c r="K19" i="12"/>
  <c r="L19" i="12" s="1"/>
  <c r="M19" i="12" s="1"/>
  <c r="N19" i="12" s="1"/>
  <c r="O19" i="12" s="1"/>
  <c r="J19" i="12"/>
  <c r="I19" i="12"/>
  <c r="G19" i="12"/>
  <c r="Y18" i="12"/>
  <c r="K18" i="12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J18" i="12"/>
  <c r="I18" i="12"/>
  <c r="G18" i="12"/>
  <c r="Y17" i="12"/>
  <c r="A73" i="12" s="1"/>
  <c r="O17" i="12"/>
  <c r="P17" i="12" s="1"/>
  <c r="Q17" i="12" s="1"/>
  <c r="R17" i="12" s="1"/>
  <c r="S17" i="12" s="1"/>
  <c r="T17" i="12" s="1"/>
  <c r="U17" i="12" s="1"/>
  <c r="V17" i="12" s="1"/>
  <c r="W17" i="12" s="1"/>
  <c r="X17" i="12" s="1"/>
  <c r="K17" i="12"/>
  <c r="L17" i="12" s="1"/>
  <c r="M17" i="12" s="1"/>
  <c r="N17" i="12" s="1"/>
  <c r="J17" i="12"/>
  <c r="I17" i="12"/>
  <c r="G17" i="12"/>
  <c r="Y16" i="12"/>
  <c r="A72" i="12" s="1"/>
  <c r="K16" i="12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I16" i="12"/>
  <c r="J16" i="12" s="1"/>
  <c r="G16" i="12"/>
  <c r="Y15" i="12"/>
  <c r="A71" i="12" s="1"/>
  <c r="R15" i="12"/>
  <c r="S15" i="12" s="1"/>
  <c r="T15" i="12" s="1"/>
  <c r="U15" i="12" s="1"/>
  <c r="V15" i="12" s="1"/>
  <c r="W15" i="12" s="1"/>
  <c r="X15" i="12" s="1"/>
  <c r="P15" i="12"/>
  <c r="Q15" i="12" s="1"/>
  <c r="K15" i="12"/>
  <c r="L15" i="12" s="1"/>
  <c r="M15" i="12" s="1"/>
  <c r="N15" i="12" s="1"/>
  <c r="O15" i="12" s="1"/>
  <c r="J15" i="12"/>
  <c r="I15" i="12"/>
  <c r="G15" i="12"/>
  <c r="Y14" i="12"/>
  <c r="A70" i="12" s="1"/>
  <c r="K14" i="12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J14" i="12"/>
  <c r="I14" i="12"/>
  <c r="G14" i="12"/>
  <c r="Y13" i="12"/>
  <c r="A69" i="12" s="1"/>
  <c r="K13" i="12"/>
  <c r="L13" i="12" s="1"/>
  <c r="M13" i="12" s="1"/>
  <c r="N13" i="12" s="1"/>
  <c r="O13" i="12" s="1"/>
  <c r="P13" i="12" s="1"/>
  <c r="Q13" i="12" s="1"/>
  <c r="R13" i="12" s="1"/>
  <c r="S13" i="12" s="1"/>
  <c r="T13" i="12" s="1"/>
  <c r="U13" i="12" s="1"/>
  <c r="V13" i="12" s="1"/>
  <c r="W13" i="12" s="1"/>
  <c r="X13" i="12" s="1"/>
  <c r="J13" i="12"/>
  <c r="I13" i="12"/>
  <c r="G13" i="12"/>
  <c r="Y12" i="12"/>
  <c r="A68" i="12" s="1"/>
  <c r="P12" i="12"/>
  <c r="Q12" i="12" s="1"/>
  <c r="R12" i="12" s="1"/>
  <c r="S12" i="12" s="1"/>
  <c r="T12" i="12" s="1"/>
  <c r="U12" i="12" s="1"/>
  <c r="V12" i="12" s="1"/>
  <c r="W12" i="12" s="1"/>
  <c r="X12" i="12" s="1"/>
  <c r="L12" i="12"/>
  <c r="M12" i="12" s="1"/>
  <c r="N12" i="12" s="1"/>
  <c r="O12" i="12" s="1"/>
  <c r="K12" i="12"/>
  <c r="J12" i="12"/>
  <c r="I12" i="12"/>
  <c r="G12" i="12"/>
  <c r="Y11" i="12"/>
  <c r="A67" i="12" s="1"/>
  <c r="U11" i="12"/>
  <c r="V11" i="12" s="1"/>
  <c r="W11" i="12" s="1"/>
  <c r="X11" i="12" s="1"/>
  <c r="K11" i="12"/>
  <c r="L11" i="12" s="1"/>
  <c r="M11" i="12" s="1"/>
  <c r="N11" i="12" s="1"/>
  <c r="O11" i="12" s="1"/>
  <c r="P11" i="12" s="1"/>
  <c r="Q11" i="12" s="1"/>
  <c r="R11" i="12" s="1"/>
  <c r="S11" i="12" s="1"/>
  <c r="T11" i="12" s="1"/>
  <c r="J11" i="12"/>
  <c r="I11" i="12"/>
  <c r="G11" i="12"/>
  <c r="Y10" i="12"/>
  <c r="A66" i="12" s="1"/>
  <c r="K10" i="12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J10" i="12"/>
  <c r="I10" i="12"/>
  <c r="G10" i="12"/>
  <c r="Y9" i="12"/>
  <c r="S9" i="12"/>
  <c r="T9" i="12" s="1"/>
  <c r="U9" i="12" s="1"/>
  <c r="V9" i="12" s="1"/>
  <c r="W9" i="12" s="1"/>
  <c r="X9" i="12" s="1"/>
  <c r="R9" i="12"/>
  <c r="Q9" i="12"/>
  <c r="L9" i="12"/>
  <c r="M9" i="12" s="1"/>
  <c r="N9" i="12" s="1"/>
  <c r="O9" i="12" s="1"/>
  <c r="P9" i="12" s="1"/>
  <c r="K9" i="12"/>
  <c r="J9" i="12"/>
  <c r="I9" i="12"/>
  <c r="G9" i="12"/>
  <c r="Y8" i="12"/>
  <c r="A64" i="12" s="1"/>
  <c r="V8" i="12"/>
  <c r="W8" i="12" s="1"/>
  <c r="X8" i="12" s="1"/>
  <c r="L8" i="12"/>
  <c r="M8" i="12" s="1"/>
  <c r="N8" i="12" s="1"/>
  <c r="O8" i="12" s="1"/>
  <c r="P8" i="12" s="1"/>
  <c r="Q8" i="12" s="1"/>
  <c r="R8" i="12" s="1"/>
  <c r="S8" i="12" s="1"/>
  <c r="T8" i="12" s="1"/>
  <c r="U8" i="12" s="1"/>
  <c r="K8" i="12"/>
  <c r="J8" i="12"/>
  <c r="I8" i="12"/>
  <c r="G8" i="12"/>
  <c r="Y7" i="12"/>
  <c r="V7" i="12"/>
  <c r="W7" i="12" s="1"/>
  <c r="X7" i="12" s="1"/>
  <c r="S7" i="12"/>
  <c r="T7" i="12" s="1"/>
  <c r="U7" i="12" s="1"/>
  <c r="I7" i="12"/>
  <c r="J7" i="12" s="1"/>
  <c r="K7" i="12" s="1"/>
  <c r="L7" i="12" s="1"/>
  <c r="M7" i="12" s="1"/>
  <c r="N7" i="12" s="1"/>
  <c r="O7" i="12" s="1"/>
  <c r="P7" i="12" s="1"/>
  <c r="Q7" i="12" s="1"/>
  <c r="R7" i="12" s="1"/>
  <c r="G7" i="12"/>
  <c r="Y6" i="12"/>
  <c r="L6" i="12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K6" i="12"/>
  <c r="J6" i="12"/>
  <c r="I6" i="12"/>
  <c r="G6" i="12"/>
  <c r="Y5" i="12"/>
  <c r="C5" i="12"/>
  <c r="M55" i="12" s="1" a="1"/>
  <c r="M55" i="12" s="1"/>
  <c r="C63" i="1" s="1"/>
  <c r="C52" i="9" s="1"/>
  <c r="C51" i="11"/>
  <c r="D49" i="11"/>
  <c r="D45" i="1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C45" i="11" a="1"/>
  <c r="C45" i="11" s="1"/>
  <c r="A45" i="11"/>
  <c r="C44" i="11" a="1"/>
  <c r="C44" i="11" s="1"/>
  <c r="D44" i="11" s="1" a="1"/>
  <c r="D44" i="11" s="1"/>
  <c r="E44" i="11" s="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A44" i="11"/>
  <c r="A43" i="11"/>
  <c r="C43" i="11" s="1" a="1"/>
  <c r="C43" i="11" s="1"/>
  <c r="D43" i="11" s="1" a="1"/>
  <c r="D43" i="11" s="1"/>
  <c r="E43" i="11" s="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A42" i="11"/>
  <c r="D41" i="1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C41" i="11" a="1"/>
  <c r="C41" i="11" s="1"/>
  <c r="D41" i="11" s="1" a="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C25" i="1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N24" i="11"/>
  <c r="M24" i="11"/>
  <c r="L24" i="11"/>
  <c r="K24" i="11"/>
  <c r="J24" i="11"/>
  <c r="I24" i="11"/>
  <c r="H24" i="11"/>
  <c r="G24" i="11"/>
  <c r="F24" i="11"/>
  <c r="E24" i="11"/>
  <c r="D24" i="11"/>
  <c r="C24" i="11"/>
  <c r="C140" i="12" s="1"/>
  <c r="K20" i="11"/>
  <c r="J20" i="11"/>
  <c r="I20" i="11"/>
  <c r="H20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I14" i="11"/>
  <c r="I97" i="1" s="1"/>
  <c r="I51" i="9" s="1"/>
  <c r="H14" i="11"/>
  <c r="L13" i="11"/>
  <c r="L14" i="11" s="1"/>
  <c r="K13" i="11"/>
  <c r="K14" i="11" s="1"/>
  <c r="J13" i="11"/>
  <c r="J14" i="11" s="1"/>
  <c r="I13" i="11"/>
  <c r="D13" i="11"/>
  <c r="D14" i="11" s="1"/>
  <c r="C13" i="11"/>
  <c r="C14" i="11" s="1"/>
  <c r="N10" i="11"/>
  <c r="M10" i="11"/>
  <c r="L10" i="11"/>
  <c r="K10" i="11"/>
  <c r="J10" i="11"/>
  <c r="I10" i="11"/>
  <c r="H10" i="11"/>
  <c r="H13" i="11" s="1"/>
  <c r="G10" i="11"/>
  <c r="F10" i="11"/>
  <c r="E10" i="11"/>
  <c r="D10" i="11"/>
  <c r="C10" i="11"/>
  <c r="C20" i="11" s="1"/>
  <c r="F7" i="1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M19" i="10"/>
  <c r="L19" i="10"/>
  <c r="K19" i="10"/>
  <c r="J19" i="10"/>
  <c r="I19" i="10"/>
  <c r="H19" i="10"/>
  <c r="G19" i="10"/>
  <c r="F19" i="10"/>
  <c r="E19" i="10"/>
  <c r="D19" i="10"/>
  <c r="C19" i="10"/>
  <c r="N10" i="10"/>
  <c r="M10" i="10"/>
  <c r="L10" i="10"/>
  <c r="K10" i="10"/>
  <c r="J10" i="10"/>
  <c r="I10" i="10"/>
  <c r="H10" i="10"/>
  <c r="G10" i="10"/>
  <c r="F10" i="10"/>
  <c r="E10" i="10"/>
  <c r="D10" i="10"/>
  <c r="C9" i="10"/>
  <c r="C6" i="10"/>
  <c r="C5" i="10"/>
  <c r="C10" i="10" s="1"/>
  <c r="C11" i="10" s="1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K61" i="9"/>
  <c r="J61" i="9"/>
  <c r="H61" i="9"/>
  <c r="L58" i="9"/>
  <c r="C58" i="9"/>
  <c r="I55" i="9"/>
  <c r="G55" i="9"/>
  <c r="K51" i="9"/>
  <c r="F43" i="9"/>
  <c r="I42" i="9"/>
  <c r="N39" i="9"/>
  <c r="J39" i="9"/>
  <c r="H35" i="9"/>
  <c r="D35" i="9"/>
  <c r="J32" i="9"/>
  <c r="E30" i="9"/>
  <c r="H26" i="9"/>
  <c r="D26" i="9"/>
  <c r="B26" i="9"/>
  <c r="E24" i="9"/>
  <c r="D24" i="9"/>
  <c r="C23" i="9"/>
  <c r="C26" i="9" s="1"/>
  <c r="N9" i="9"/>
  <c r="M9" i="9"/>
  <c r="L9" i="9"/>
  <c r="K9" i="9"/>
  <c r="J9" i="9"/>
  <c r="I9" i="9"/>
  <c r="H9" i="9"/>
  <c r="G9" i="9"/>
  <c r="F9" i="9"/>
  <c r="E9" i="9"/>
  <c r="D9" i="9"/>
  <c r="C9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P48" i="5"/>
  <c r="O48" i="5"/>
  <c r="M37" i="5"/>
  <c r="M48" i="5" s="1"/>
  <c r="I37" i="5"/>
  <c r="H37" i="5"/>
  <c r="L30" i="5"/>
  <c r="P30" i="4" s="1"/>
  <c r="AK30" i="4" s="1"/>
  <c r="J30" i="5"/>
  <c r="N30" i="4" s="1"/>
  <c r="AI30" i="4" s="1"/>
  <c r="I30" i="5"/>
  <c r="M30" i="4" s="1"/>
  <c r="AH30" i="4" s="1"/>
  <c r="H30" i="5"/>
  <c r="E24" i="5"/>
  <c r="I24" i="4" s="1"/>
  <c r="C23" i="5"/>
  <c r="M22" i="5"/>
  <c r="L22" i="5"/>
  <c r="P22" i="4" s="1"/>
  <c r="AK22" i="4" s="1"/>
  <c r="K22" i="5"/>
  <c r="J22" i="5"/>
  <c r="M21" i="5"/>
  <c r="Q21" i="4" s="1"/>
  <c r="AL21" i="4" s="1"/>
  <c r="L21" i="5"/>
  <c r="P21" i="4" s="1"/>
  <c r="AK21" i="4" s="1"/>
  <c r="C21" i="5"/>
  <c r="J20" i="5"/>
  <c r="N20" i="4" s="1"/>
  <c r="AI20" i="4" s="1"/>
  <c r="H20" i="5"/>
  <c r="E19" i="5"/>
  <c r="I19" i="4" s="1"/>
  <c r="C19" i="5"/>
  <c r="P17" i="5"/>
  <c r="T17" i="4" s="1"/>
  <c r="AO17" i="4" s="1"/>
  <c r="G14" i="5"/>
  <c r="O12" i="5"/>
  <c r="D12" i="5"/>
  <c r="C1" i="5" a="1"/>
  <c r="C1" i="5" s="1"/>
  <c r="K53" i="4"/>
  <c r="J53" i="4"/>
  <c r="I53" i="4"/>
  <c r="D53" i="4"/>
  <c r="D52" i="4"/>
  <c r="D51" i="4"/>
  <c r="D50" i="4"/>
  <c r="D49" i="4"/>
  <c r="D48" i="4"/>
  <c r="D47" i="4"/>
  <c r="D46" i="4"/>
  <c r="D45" i="4"/>
  <c r="D44" i="4"/>
  <c r="N43" i="4"/>
  <c r="AI43" i="4" s="1"/>
  <c r="M43" i="4"/>
  <c r="AH43" i="4" s="1"/>
  <c r="J43" i="4"/>
  <c r="D43" i="4"/>
  <c r="D42" i="4"/>
  <c r="D41" i="4"/>
  <c r="D40" i="4"/>
  <c r="D39" i="4"/>
  <c r="D38" i="4"/>
  <c r="AN37" i="4"/>
  <c r="S37" i="4"/>
  <c r="R37" i="4"/>
  <c r="AM37" i="4" s="1"/>
  <c r="Q37" i="4"/>
  <c r="AL37" i="4" s="1"/>
  <c r="I37" i="4"/>
  <c r="D37" i="4"/>
  <c r="D36" i="4"/>
  <c r="D35" i="4"/>
  <c r="AO34" i="4"/>
  <c r="T34" i="4"/>
  <c r="S34" i="4"/>
  <c r="AN34" i="4" s="1"/>
  <c r="R34" i="4"/>
  <c r="AM34" i="4" s="1"/>
  <c r="Q34" i="4"/>
  <c r="AL34" i="4" s="1"/>
  <c r="P34" i="4"/>
  <c r="AK34" i="4" s="1"/>
  <c r="O34" i="4"/>
  <c r="AJ34" i="4" s="1"/>
  <c r="N34" i="4"/>
  <c r="AI34" i="4" s="1"/>
  <c r="M34" i="4"/>
  <c r="AH34" i="4" s="1"/>
  <c r="L34" i="4"/>
  <c r="AG34" i="4" s="1"/>
  <c r="K34" i="4"/>
  <c r="J34" i="4"/>
  <c r="I34" i="4"/>
  <c r="D34" i="4"/>
  <c r="D33" i="4"/>
  <c r="D32" i="4"/>
  <c r="D31" i="4"/>
  <c r="Q30" i="4"/>
  <c r="AL30" i="4" s="1"/>
  <c r="L30" i="4"/>
  <c r="AG30" i="4" s="1"/>
  <c r="D30" i="4"/>
  <c r="D29" i="4"/>
  <c r="AO28" i="4"/>
  <c r="AG28" i="4"/>
  <c r="T28" i="4"/>
  <c r="S28" i="4"/>
  <c r="AN28" i="4" s="1"/>
  <c r="R28" i="4"/>
  <c r="AM28" i="4" s="1"/>
  <c r="Q28" i="4"/>
  <c r="AL28" i="4" s="1"/>
  <c r="P28" i="4"/>
  <c r="AK28" i="4" s="1"/>
  <c r="O28" i="4"/>
  <c r="AJ28" i="4" s="1"/>
  <c r="N28" i="4"/>
  <c r="AI28" i="4" s="1"/>
  <c r="M28" i="4"/>
  <c r="AH28" i="4" s="1"/>
  <c r="L28" i="4"/>
  <c r="K28" i="4"/>
  <c r="J28" i="4"/>
  <c r="I28" i="4"/>
  <c r="D28" i="4"/>
  <c r="D27" i="4"/>
  <c r="D26" i="4"/>
  <c r="D25" i="4"/>
  <c r="D24" i="4"/>
  <c r="AF23" i="4"/>
  <c r="D23" i="4"/>
  <c r="C23" i="4"/>
  <c r="Q22" i="4"/>
  <c r="AL22" i="4" s="1"/>
  <c r="M22" i="4"/>
  <c r="AH22" i="4" s="1"/>
  <c r="D22" i="4"/>
  <c r="AF21" i="4"/>
  <c r="D21" i="4"/>
  <c r="C21" i="4"/>
  <c r="D20" i="4"/>
  <c r="AF19" i="4"/>
  <c r="D19" i="4"/>
  <c r="C19" i="4"/>
  <c r="D18" i="4"/>
  <c r="D17" i="4"/>
  <c r="D16" i="4"/>
  <c r="D15" i="4"/>
  <c r="D14" i="4"/>
  <c r="D13" i="4"/>
  <c r="S12" i="4"/>
  <c r="AN12" i="4" s="1"/>
  <c r="D12" i="4"/>
  <c r="D11" i="4"/>
  <c r="D10" i="4"/>
  <c r="D9" i="4"/>
  <c r="D8" i="4"/>
  <c r="D7" i="4"/>
  <c r="D6" i="4"/>
  <c r="D5" i="4"/>
  <c r="AF1" i="4" a="1"/>
  <c r="AF1" i="4" s="1"/>
  <c r="C1" i="4" a="1"/>
  <c r="C1" i="4" s="1"/>
  <c r="L4" i="2"/>
  <c r="E4" i="2"/>
  <c r="B108" i="1"/>
  <c r="B44" i="15" s="1"/>
  <c r="B47" i="15" s="1"/>
  <c r="B51" i="15" s="1"/>
  <c r="B52" i="15" s="1"/>
  <c r="B107" i="1"/>
  <c r="B42" i="15" s="1"/>
  <c r="B106" i="1"/>
  <c r="B43" i="15" s="1"/>
  <c r="N102" i="1"/>
  <c r="M102" i="1"/>
  <c r="L102" i="1"/>
  <c r="K102" i="1"/>
  <c r="J102" i="1"/>
  <c r="U59" i="24" s="1"/>
  <c r="I102" i="1"/>
  <c r="T59" i="24" s="1"/>
  <c r="H102" i="1"/>
  <c r="S59" i="24" s="1"/>
  <c r="G102" i="1"/>
  <c r="R59" i="24" s="1"/>
  <c r="F102" i="1"/>
  <c r="E102" i="1"/>
  <c r="P59" i="24" s="1"/>
  <c r="D102" i="1"/>
  <c r="M59" i="24" s="1"/>
  <c r="C102" i="1"/>
  <c r="B102" i="1"/>
  <c r="K59" i="24" s="1"/>
  <c r="B101" i="1"/>
  <c r="N100" i="1"/>
  <c r="N55" i="9" s="1"/>
  <c r="M100" i="1"/>
  <c r="M55" i="9" s="1"/>
  <c r="L100" i="1"/>
  <c r="L55" i="9" s="1"/>
  <c r="K100" i="1"/>
  <c r="K55" i="9" s="1"/>
  <c r="J100" i="1"/>
  <c r="J55" i="9" s="1"/>
  <c r="I100" i="1"/>
  <c r="H100" i="1"/>
  <c r="H55" i="9" s="1"/>
  <c r="G100" i="1"/>
  <c r="F100" i="1"/>
  <c r="F55" i="9" s="1"/>
  <c r="E100" i="1"/>
  <c r="E55" i="9" s="1"/>
  <c r="D100" i="1"/>
  <c r="D55" i="9" s="1"/>
  <c r="C100" i="1"/>
  <c r="C55" i="9" s="1"/>
  <c r="B100" i="1"/>
  <c r="N99" i="1"/>
  <c r="N61" i="9" s="1"/>
  <c r="M99" i="1"/>
  <c r="M61" i="9" s="1"/>
  <c r="L99" i="1"/>
  <c r="L61" i="9" s="1"/>
  <c r="K99" i="1"/>
  <c r="J99" i="1"/>
  <c r="I99" i="1"/>
  <c r="I61" i="9" s="1"/>
  <c r="H99" i="1"/>
  <c r="G99" i="1"/>
  <c r="G61" i="9" s="1"/>
  <c r="F99" i="1"/>
  <c r="F61" i="9" s="1"/>
  <c r="E99" i="1"/>
  <c r="E61" i="9" s="1"/>
  <c r="D99" i="1"/>
  <c r="D61" i="9" s="1"/>
  <c r="C99" i="1"/>
  <c r="C61" i="9" s="1"/>
  <c r="B99" i="1"/>
  <c r="N98" i="1"/>
  <c r="N58" i="9" s="1"/>
  <c r="N62" i="9" s="1"/>
  <c r="M98" i="1"/>
  <c r="M58" i="9" s="1"/>
  <c r="L98" i="1"/>
  <c r="K98" i="1"/>
  <c r="K58" i="9" s="1"/>
  <c r="J98" i="1"/>
  <c r="J58" i="9" s="1"/>
  <c r="I98" i="1"/>
  <c r="I58" i="9" s="1"/>
  <c r="H98" i="1"/>
  <c r="H58" i="9" s="1"/>
  <c r="G98" i="1"/>
  <c r="G58" i="9" s="1"/>
  <c r="F98" i="1"/>
  <c r="F58" i="9" s="1"/>
  <c r="E98" i="1"/>
  <c r="E58" i="9" s="1"/>
  <c r="D98" i="1"/>
  <c r="D58" i="9" s="1"/>
  <c r="C98" i="1"/>
  <c r="B98" i="1"/>
  <c r="L97" i="1"/>
  <c r="L51" i="9" s="1"/>
  <c r="K97" i="1"/>
  <c r="J97" i="1"/>
  <c r="J51" i="9" s="1"/>
  <c r="H97" i="1"/>
  <c r="H51" i="9" s="1"/>
  <c r="D97" i="1"/>
  <c r="D51" i="9" s="1"/>
  <c r="C97" i="1"/>
  <c r="C51" i="9" s="1"/>
  <c r="B97" i="1"/>
  <c r="N96" i="1"/>
  <c r="N24" i="9" s="1"/>
  <c r="M96" i="1"/>
  <c r="M24" i="9" s="1"/>
  <c r="L96" i="1"/>
  <c r="L24" i="9" s="1"/>
  <c r="K96" i="1"/>
  <c r="K24" i="9" s="1"/>
  <c r="J96" i="1"/>
  <c r="J24" i="9" s="1"/>
  <c r="I96" i="1"/>
  <c r="I24" i="9" s="1"/>
  <c r="H96" i="1"/>
  <c r="H24" i="9" s="1"/>
  <c r="G96" i="1"/>
  <c r="G24" i="9" s="1"/>
  <c r="F96" i="1"/>
  <c r="F24" i="9" s="1"/>
  <c r="E96" i="1"/>
  <c r="D96" i="1"/>
  <c r="C96" i="1"/>
  <c r="C24" i="9" s="1"/>
  <c r="B96" i="1"/>
  <c r="B24" i="9" s="1"/>
  <c r="B95" i="1"/>
  <c r="B16" i="9" s="1"/>
  <c r="N94" i="1"/>
  <c r="P37" i="5" s="1"/>
  <c r="T37" i="4" s="1"/>
  <c r="AO37" i="4" s="1"/>
  <c r="M94" i="1"/>
  <c r="O37" i="5" s="1"/>
  <c r="L94" i="1"/>
  <c r="N37" i="5" s="1"/>
  <c r="N48" i="5" s="1"/>
  <c r="K94" i="1"/>
  <c r="J94" i="1"/>
  <c r="L37" i="5" s="1"/>
  <c r="I94" i="1"/>
  <c r="K37" i="5" s="1"/>
  <c r="K48" i="5" s="1"/>
  <c r="H94" i="1"/>
  <c r="J37" i="5" s="1"/>
  <c r="G94" i="1"/>
  <c r="F94" i="1"/>
  <c r="E94" i="1"/>
  <c r="G37" i="5" s="1"/>
  <c r="D94" i="1"/>
  <c r="F37" i="5" s="1"/>
  <c r="J37" i="4" s="1"/>
  <c r="C94" i="1"/>
  <c r="E37" i="5" s="1"/>
  <c r="E48" i="5" s="1"/>
  <c r="B94" i="1"/>
  <c r="B93" i="1"/>
  <c r="B49" i="15" s="1"/>
  <c r="M91" i="1"/>
  <c r="O30" i="5" s="1"/>
  <c r="S30" i="4" s="1"/>
  <c r="AN30" i="4" s="1"/>
  <c r="L91" i="1"/>
  <c r="N30" i="5" s="1"/>
  <c r="R30" i="4" s="1"/>
  <c r="AM30" i="4" s="1"/>
  <c r="K91" i="1"/>
  <c r="M30" i="5" s="1"/>
  <c r="J91" i="1"/>
  <c r="I91" i="1"/>
  <c r="K30" i="5" s="1"/>
  <c r="O30" i="4" s="1"/>
  <c r="AJ30" i="4" s="1"/>
  <c r="H91" i="1"/>
  <c r="G91" i="1"/>
  <c r="F91" i="1"/>
  <c r="E91" i="1"/>
  <c r="G30" i="5" s="1"/>
  <c r="K30" i="4" s="1"/>
  <c r="D91" i="1"/>
  <c r="F30" i="5" s="1"/>
  <c r="J30" i="4" s="1"/>
  <c r="C91" i="1"/>
  <c r="E30" i="5" s="1"/>
  <c r="I30" i="4" s="1"/>
  <c r="B91" i="1"/>
  <c r="B87" i="1"/>
  <c r="B86" i="1"/>
  <c r="N83" i="1"/>
  <c r="U57" i="24" s="1"/>
  <c r="M83" i="1"/>
  <c r="T57" i="24" s="1"/>
  <c r="L83" i="1"/>
  <c r="S57" i="24" s="1"/>
  <c r="K83" i="1"/>
  <c r="R57" i="24" s="1"/>
  <c r="J83" i="1"/>
  <c r="Q57" i="24" s="1"/>
  <c r="I83" i="1"/>
  <c r="P57" i="24" s="1"/>
  <c r="H83" i="1"/>
  <c r="O57" i="24" s="1"/>
  <c r="G83" i="1"/>
  <c r="N57" i="24" s="1"/>
  <c r="F83" i="1"/>
  <c r="M57" i="24" s="1"/>
  <c r="E83" i="1"/>
  <c r="L57" i="24" s="1"/>
  <c r="D83" i="1"/>
  <c r="K57" i="24" s="1"/>
  <c r="C83" i="1"/>
  <c r="J57" i="24" s="1"/>
  <c r="B83" i="1"/>
  <c r="B82" i="1"/>
  <c r="N79" i="1"/>
  <c r="P22" i="5" s="1"/>
  <c r="T22" i="4" s="1"/>
  <c r="AO22" i="4" s="1"/>
  <c r="M79" i="1"/>
  <c r="O22" i="5" s="1"/>
  <c r="L79" i="1"/>
  <c r="N22" i="5" s="1"/>
  <c r="K79" i="1"/>
  <c r="J79" i="1"/>
  <c r="I79" i="1"/>
  <c r="H79" i="1"/>
  <c r="G79" i="1"/>
  <c r="I22" i="5" s="1"/>
  <c r="I21" i="5" s="1"/>
  <c r="M21" i="4" s="1"/>
  <c r="AH21" i="4" s="1"/>
  <c r="F79" i="1"/>
  <c r="H22" i="5" s="1"/>
  <c r="E79" i="1"/>
  <c r="G22" i="5" s="1"/>
  <c r="K22" i="4" s="1"/>
  <c r="D79" i="1"/>
  <c r="F22" i="5" s="1"/>
  <c r="C79" i="1"/>
  <c r="E22" i="5" s="1"/>
  <c r="E21" i="5" s="1"/>
  <c r="I21" i="4" s="1"/>
  <c r="B79" i="1"/>
  <c r="I78" i="1"/>
  <c r="K20" i="5" s="1"/>
  <c r="H78" i="1"/>
  <c r="F78" i="1"/>
  <c r="E78" i="1"/>
  <c r="G20" i="5" s="1"/>
  <c r="G19" i="5" s="1"/>
  <c r="K19" i="4" s="1"/>
  <c r="D78" i="1"/>
  <c r="F20" i="5" s="1"/>
  <c r="C78" i="1"/>
  <c r="E20" i="5" s="1"/>
  <c r="I20" i="4" s="1"/>
  <c r="B78" i="1"/>
  <c r="B77" i="1"/>
  <c r="N73" i="1"/>
  <c r="N60" i="9" s="1"/>
  <c r="M73" i="1"/>
  <c r="M60" i="9" s="1"/>
  <c r="L73" i="1"/>
  <c r="L60" i="9" s="1"/>
  <c r="I73" i="1"/>
  <c r="I60" i="9" s="1"/>
  <c r="E73" i="1"/>
  <c r="E60" i="9" s="1"/>
  <c r="D73" i="1"/>
  <c r="D60" i="9" s="1"/>
  <c r="C73" i="1"/>
  <c r="C60" i="9" s="1"/>
  <c r="B73" i="1"/>
  <c r="B72" i="1"/>
  <c r="B71" i="1"/>
  <c r="N68" i="1"/>
  <c r="N59" i="9" s="1"/>
  <c r="M68" i="1"/>
  <c r="M59" i="9" s="1"/>
  <c r="L68" i="1"/>
  <c r="L59" i="9" s="1"/>
  <c r="H68" i="1"/>
  <c r="H59" i="9" s="1"/>
  <c r="E68" i="1"/>
  <c r="E59" i="9" s="1"/>
  <c r="D68" i="1"/>
  <c r="D59" i="9" s="1"/>
  <c r="B68" i="1"/>
  <c r="N67" i="1"/>
  <c r="N53" i="9" s="1"/>
  <c r="L67" i="1"/>
  <c r="L53" i="9" s="1"/>
  <c r="J67" i="1"/>
  <c r="J53" i="9" s="1"/>
  <c r="I67" i="1"/>
  <c r="I53" i="9" s="1"/>
  <c r="F67" i="1"/>
  <c r="F53" i="9" s="1"/>
  <c r="E67" i="1"/>
  <c r="E53" i="9" s="1"/>
  <c r="D67" i="1"/>
  <c r="D53" i="9" s="1"/>
  <c r="B67" i="1"/>
  <c r="B66" i="1"/>
  <c r="J63" i="1"/>
  <c r="J52" i="9" s="1"/>
  <c r="I63" i="1"/>
  <c r="I52" i="9" s="1"/>
  <c r="G63" i="1"/>
  <c r="G52" i="9" s="1"/>
  <c r="N60" i="1"/>
  <c r="U55" i="24" s="1"/>
  <c r="M60" i="1"/>
  <c r="T55" i="24" s="1"/>
  <c r="L60" i="1"/>
  <c r="S55" i="24" s="1"/>
  <c r="K60" i="1"/>
  <c r="R55" i="24" s="1"/>
  <c r="J60" i="1"/>
  <c r="Q55" i="24" s="1"/>
  <c r="I60" i="1"/>
  <c r="P55" i="24" s="1"/>
  <c r="H60" i="1"/>
  <c r="O55" i="24" s="1"/>
  <c r="G60" i="1"/>
  <c r="N55" i="24" s="1"/>
  <c r="F60" i="1"/>
  <c r="M55" i="24" s="1"/>
  <c r="E60" i="1"/>
  <c r="L55" i="24" s="1"/>
  <c r="D60" i="1"/>
  <c r="K55" i="24" s="1"/>
  <c r="C60" i="1"/>
  <c r="J55" i="24" s="1"/>
  <c r="B60" i="1"/>
  <c r="B59" i="1"/>
  <c r="B5" i="9" s="1"/>
  <c r="B11" i="9" s="1"/>
  <c r="B20" i="9" s="1"/>
  <c r="B58" i="1"/>
  <c r="B14" i="9" s="1"/>
  <c r="B56" i="1"/>
  <c r="B55" i="1"/>
  <c r="N51" i="1"/>
  <c r="P43" i="5" s="1"/>
  <c r="T43" i="4" s="1"/>
  <c r="AO43" i="4" s="1"/>
  <c r="M51" i="1"/>
  <c r="O43" i="5" s="1"/>
  <c r="S43" i="4" s="1"/>
  <c r="AN43" i="4" s="1"/>
  <c r="L51" i="1"/>
  <c r="N43" i="5" s="1"/>
  <c r="R43" i="4" s="1"/>
  <c r="AM43" i="4" s="1"/>
  <c r="K51" i="1"/>
  <c r="M43" i="5" s="1"/>
  <c r="Q43" i="4" s="1"/>
  <c r="AL43" i="4" s="1"/>
  <c r="J51" i="1"/>
  <c r="L43" i="5" s="1"/>
  <c r="P43" i="4" s="1"/>
  <c r="AK43" i="4" s="1"/>
  <c r="I51" i="1"/>
  <c r="K43" i="5" s="1"/>
  <c r="O43" i="4" s="1"/>
  <c r="AJ43" i="4" s="1"/>
  <c r="H51" i="1"/>
  <c r="J43" i="5" s="1"/>
  <c r="G51" i="1"/>
  <c r="I43" i="5" s="1"/>
  <c r="F51" i="1"/>
  <c r="H43" i="5" s="1"/>
  <c r="L43" i="4" s="1"/>
  <c r="AG43" i="4" s="1"/>
  <c r="E51" i="1"/>
  <c r="G43" i="5" s="1"/>
  <c r="K43" i="4" s="1"/>
  <c r="D51" i="1"/>
  <c r="F43" i="5" s="1"/>
  <c r="C51" i="1"/>
  <c r="E43" i="5" s="1"/>
  <c r="I43" i="4" s="1"/>
  <c r="B51" i="1"/>
  <c r="B50" i="1"/>
  <c r="C49" i="1"/>
  <c r="B49" i="1"/>
  <c r="B47" i="1"/>
  <c r="B46" i="1"/>
  <c r="N43" i="1"/>
  <c r="N23" i="9" s="1"/>
  <c r="N26" i="9" s="1"/>
  <c r="M43" i="1"/>
  <c r="M23" i="9" s="1"/>
  <c r="M26" i="9" s="1"/>
  <c r="L43" i="1"/>
  <c r="L23" i="9" s="1"/>
  <c r="L26" i="9" s="1"/>
  <c r="K43" i="1"/>
  <c r="K23" i="9" s="1"/>
  <c r="K26" i="9" s="1"/>
  <c r="J43" i="1"/>
  <c r="J23" i="9" s="1"/>
  <c r="J26" i="9" s="1"/>
  <c r="I43" i="1"/>
  <c r="I23" i="9" s="1"/>
  <c r="I26" i="9" s="1"/>
  <c r="H43" i="1"/>
  <c r="H23" i="9" s="1"/>
  <c r="G43" i="1"/>
  <c r="G23" i="9" s="1"/>
  <c r="G26" i="9" s="1"/>
  <c r="F43" i="1"/>
  <c r="F23" i="9" s="1"/>
  <c r="F26" i="9" s="1"/>
  <c r="E43" i="1"/>
  <c r="E23" i="9" s="1"/>
  <c r="E26" i="9" s="1"/>
  <c r="D43" i="1"/>
  <c r="D23" i="9" s="1"/>
  <c r="C43" i="1"/>
  <c r="B43" i="1"/>
  <c r="N37" i="1"/>
  <c r="N42" i="9" s="1"/>
  <c r="M37" i="1"/>
  <c r="M42" i="9" s="1"/>
  <c r="L37" i="1"/>
  <c r="L42" i="9" s="1"/>
  <c r="K37" i="1"/>
  <c r="K42" i="9" s="1"/>
  <c r="J37" i="1"/>
  <c r="J42" i="9" s="1"/>
  <c r="I37" i="1"/>
  <c r="H37" i="1"/>
  <c r="H42" i="9" s="1"/>
  <c r="G37" i="1"/>
  <c r="G42" i="9" s="1"/>
  <c r="F37" i="1"/>
  <c r="F42" i="9" s="1"/>
  <c r="E37" i="1"/>
  <c r="E42" i="9" s="1"/>
  <c r="D37" i="1"/>
  <c r="D42" i="9" s="1"/>
  <c r="C37" i="1"/>
  <c r="C42" i="9" s="1"/>
  <c r="B37" i="1"/>
  <c r="B42" i="9" s="1"/>
  <c r="N36" i="1"/>
  <c r="N34" i="9" s="1"/>
  <c r="M36" i="1"/>
  <c r="M34" i="9" s="1"/>
  <c r="K36" i="1"/>
  <c r="K34" i="9" s="1"/>
  <c r="J36" i="1"/>
  <c r="J34" i="9" s="1"/>
  <c r="I36" i="1"/>
  <c r="I34" i="9" s="1"/>
  <c r="H36" i="1"/>
  <c r="H34" i="9" s="1"/>
  <c r="G36" i="1"/>
  <c r="G34" i="9" s="1"/>
  <c r="F36" i="1"/>
  <c r="F34" i="9" s="1"/>
  <c r="E36" i="1"/>
  <c r="E34" i="9" s="1"/>
  <c r="D36" i="1"/>
  <c r="D34" i="9" s="1"/>
  <c r="C36" i="1"/>
  <c r="C34" i="9" s="1"/>
  <c r="B36" i="1"/>
  <c r="B34" i="9" s="1"/>
  <c r="B33" i="1"/>
  <c r="N32" i="1"/>
  <c r="N43" i="9" s="1"/>
  <c r="M32" i="1"/>
  <c r="M43" i="9" s="1"/>
  <c r="L32" i="1"/>
  <c r="L43" i="9" s="1"/>
  <c r="K32" i="1"/>
  <c r="K43" i="9" s="1"/>
  <c r="J32" i="1"/>
  <c r="J43" i="9" s="1"/>
  <c r="I32" i="1"/>
  <c r="I43" i="9" s="1"/>
  <c r="G32" i="1"/>
  <c r="G43" i="9" s="1"/>
  <c r="F32" i="1"/>
  <c r="E32" i="1"/>
  <c r="E43" i="9" s="1"/>
  <c r="D32" i="1"/>
  <c r="D43" i="9" s="1"/>
  <c r="C32" i="1"/>
  <c r="C43" i="9" s="1"/>
  <c r="B32" i="1"/>
  <c r="N31" i="1"/>
  <c r="N35" i="9" s="1"/>
  <c r="M31" i="1"/>
  <c r="M35" i="9" s="1"/>
  <c r="L31" i="1"/>
  <c r="L35" i="9" s="1"/>
  <c r="K31" i="1"/>
  <c r="K35" i="9" s="1"/>
  <c r="J31" i="1"/>
  <c r="J35" i="9" s="1"/>
  <c r="I31" i="1"/>
  <c r="I35" i="9" s="1"/>
  <c r="H31" i="1"/>
  <c r="G31" i="1"/>
  <c r="G35" i="9" s="1"/>
  <c r="F31" i="1"/>
  <c r="F35" i="9" s="1"/>
  <c r="E31" i="1"/>
  <c r="E35" i="9" s="1"/>
  <c r="D31" i="1"/>
  <c r="C31" i="1"/>
  <c r="C35" i="9" s="1"/>
  <c r="B31" i="1"/>
  <c r="N28" i="1"/>
  <c r="P18" i="5" s="1"/>
  <c r="T18" i="4" s="1"/>
  <c r="AO18" i="4" s="1"/>
  <c r="M28" i="1"/>
  <c r="O18" i="5" s="1"/>
  <c r="L28" i="1"/>
  <c r="N18" i="5" s="1"/>
  <c r="K28" i="1"/>
  <c r="M18" i="5" s="1"/>
  <c r="J28" i="1"/>
  <c r="L18" i="5" s="1"/>
  <c r="L17" i="5" s="1"/>
  <c r="P17" i="4" s="1"/>
  <c r="AK17" i="4" s="1"/>
  <c r="B28" i="1"/>
  <c r="N27" i="1"/>
  <c r="N41" i="9" s="1"/>
  <c r="M27" i="1"/>
  <c r="M41" i="9" s="1"/>
  <c r="L27" i="1"/>
  <c r="L41" i="9" s="1"/>
  <c r="K27" i="1"/>
  <c r="K41" i="9" s="1"/>
  <c r="J27" i="1"/>
  <c r="J41" i="9" s="1"/>
  <c r="I27" i="1"/>
  <c r="I41" i="9" s="1"/>
  <c r="H27" i="1"/>
  <c r="H41" i="9" s="1"/>
  <c r="G27" i="1"/>
  <c r="G41" i="9" s="1"/>
  <c r="F27" i="1"/>
  <c r="F41" i="9" s="1"/>
  <c r="E27" i="1"/>
  <c r="E41" i="9" s="1"/>
  <c r="D27" i="1"/>
  <c r="D41" i="9" s="1"/>
  <c r="C27" i="1"/>
  <c r="C41" i="9" s="1"/>
  <c r="B27" i="1"/>
  <c r="N26" i="1"/>
  <c r="N33" i="9" s="1"/>
  <c r="M26" i="1"/>
  <c r="M33" i="9" s="1"/>
  <c r="L26" i="1"/>
  <c r="L33" i="9" s="1"/>
  <c r="K26" i="1"/>
  <c r="K33" i="9" s="1"/>
  <c r="I26" i="1"/>
  <c r="I33" i="9" s="1"/>
  <c r="H26" i="1"/>
  <c r="H33" i="9" s="1"/>
  <c r="G26" i="1"/>
  <c r="G33" i="9" s="1"/>
  <c r="F26" i="1"/>
  <c r="F33" i="9" s="1"/>
  <c r="E26" i="1"/>
  <c r="E33" i="9" s="1"/>
  <c r="D26" i="1"/>
  <c r="D33" i="9" s="1"/>
  <c r="C26" i="1"/>
  <c r="C33" i="9" s="1"/>
  <c r="B26" i="1"/>
  <c r="E23" i="1"/>
  <c r="N22" i="1"/>
  <c r="N40" i="9" s="1"/>
  <c r="M22" i="1"/>
  <c r="M40" i="9" s="1"/>
  <c r="L22" i="1"/>
  <c r="L40" i="9" s="1"/>
  <c r="J22" i="1"/>
  <c r="J40" i="9" s="1"/>
  <c r="I22" i="1"/>
  <c r="I40" i="9" s="1"/>
  <c r="H22" i="1"/>
  <c r="H40" i="9" s="1"/>
  <c r="G22" i="1"/>
  <c r="G40" i="9" s="1"/>
  <c r="F22" i="1"/>
  <c r="F40" i="9" s="1"/>
  <c r="E22" i="1"/>
  <c r="E40" i="9" s="1"/>
  <c r="D22" i="1"/>
  <c r="D40" i="9" s="1"/>
  <c r="C22" i="1"/>
  <c r="C40" i="9" s="1"/>
  <c r="B22" i="1"/>
  <c r="M21" i="1"/>
  <c r="M32" i="9" s="1"/>
  <c r="L21" i="1"/>
  <c r="L32" i="9" s="1"/>
  <c r="K21" i="1"/>
  <c r="K32" i="9" s="1"/>
  <c r="J21" i="1"/>
  <c r="I21" i="1"/>
  <c r="I32" i="9" s="1"/>
  <c r="H21" i="1"/>
  <c r="H32" i="9" s="1"/>
  <c r="G21" i="1"/>
  <c r="G32" i="9" s="1"/>
  <c r="F21" i="1"/>
  <c r="F32" i="9" s="1"/>
  <c r="E21" i="1"/>
  <c r="E32" i="9" s="1"/>
  <c r="D21" i="1"/>
  <c r="D32" i="9" s="1"/>
  <c r="C21" i="1"/>
  <c r="C32" i="9" s="1"/>
  <c r="B21" i="1"/>
  <c r="N18" i="1"/>
  <c r="P12" i="5" s="1"/>
  <c r="T12" i="4" s="1"/>
  <c r="AO12" i="4" s="1"/>
  <c r="M18" i="1"/>
  <c r="L18" i="1"/>
  <c r="N12" i="5" s="1"/>
  <c r="R12" i="4" s="1"/>
  <c r="AM12" i="4" s="1"/>
  <c r="K18" i="1"/>
  <c r="M12" i="5" s="1"/>
  <c r="Q12" i="4" s="1"/>
  <c r="AL12" i="4" s="1"/>
  <c r="J18" i="1"/>
  <c r="L12" i="5" s="1"/>
  <c r="P12" i="4" s="1"/>
  <c r="AK12" i="4" s="1"/>
  <c r="I18" i="1"/>
  <c r="K12" i="5" s="1"/>
  <c r="O12" i="4" s="1"/>
  <c r="AJ12" i="4" s="1"/>
  <c r="H18" i="1"/>
  <c r="J12" i="5" s="1"/>
  <c r="N12" i="4" s="1"/>
  <c r="AI12" i="4" s="1"/>
  <c r="G18" i="1"/>
  <c r="I12" i="5" s="1"/>
  <c r="M12" i="4" s="1"/>
  <c r="AH12" i="4" s="1"/>
  <c r="F18" i="1"/>
  <c r="H12" i="5" s="1"/>
  <c r="L12" i="4" s="1"/>
  <c r="AG12" i="4" s="1"/>
  <c r="E18" i="1"/>
  <c r="G12" i="5" s="1"/>
  <c r="K12" i="4" s="1"/>
  <c r="D18" i="1"/>
  <c r="F12" i="5" s="1"/>
  <c r="J12" i="4" s="1"/>
  <c r="C18" i="1"/>
  <c r="E12" i="5" s="1"/>
  <c r="I12" i="4" s="1"/>
  <c r="B17" i="1"/>
  <c r="B16" i="1"/>
  <c r="B15" i="1"/>
  <c r="B14" i="1"/>
  <c r="B13" i="1"/>
  <c r="B12" i="1"/>
  <c r="N11" i="1"/>
  <c r="M11" i="1"/>
  <c r="M39" i="9" s="1"/>
  <c r="K11" i="1"/>
  <c r="K39" i="9" s="1"/>
  <c r="J11" i="1"/>
  <c r="I11" i="1"/>
  <c r="I39" i="9" s="1"/>
  <c r="H11" i="1"/>
  <c r="H39" i="9" s="1"/>
  <c r="G11" i="1"/>
  <c r="G39" i="9" s="1"/>
  <c r="F11" i="1"/>
  <c r="F39" i="9" s="1"/>
  <c r="E11" i="1"/>
  <c r="E39" i="9" s="1"/>
  <c r="D11" i="1"/>
  <c r="D39" i="9" s="1"/>
  <c r="C11" i="1"/>
  <c r="C39" i="9" s="1"/>
  <c r="B11" i="1"/>
  <c r="N10" i="1"/>
  <c r="N31" i="9" s="1"/>
  <c r="M10" i="1"/>
  <c r="M31" i="9" s="1"/>
  <c r="L10" i="1"/>
  <c r="L31" i="9" s="1"/>
  <c r="B10" i="1"/>
  <c r="B7" i="1"/>
  <c r="N6" i="1"/>
  <c r="N38" i="9" s="1"/>
  <c r="M6" i="1"/>
  <c r="M38" i="9" s="1"/>
  <c r="M44" i="9" s="1"/>
  <c r="L6" i="1"/>
  <c r="L38" i="9" s="1"/>
  <c r="K6" i="1"/>
  <c r="K38" i="9" s="1"/>
  <c r="I6" i="1"/>
  <c r="I38" i="9" s="1"/>
  <c r="H6" i="1"/>
  <c r="H38" i="9" s="1"/>
  <c r="G6" i="1"/>
  <c r="G38" i="9" s="1"/>
  <c r="G44" i="9" s="1"/>
  <c r="F6" i="1"/>
  <c r="F38" i="9" s="1"/>
  <c r="F44" i="9" s="1"/>
  <c r="E6" i="1"/>
  <c r="E38" i="9" s="1"/>
  <c r="D6" i="1"/>
  <c r="D38" i="9" s="1"/>
  <c r="C6" i="1"/>
  <c r="C38" i="9" s="1"/>
  <c r="B6" i="1"/>
  <c r="L5" i="1"/>
  <c r="L30" i="9" s="1"/>
  <c r="J5" i="1"/>
  <c r="J30" i="9" s="1"/>
  <c r="I5" i="1"/>
  <c r="I30" i="9" s="1"/>
  <c r="H5" i="1"/>
  <c r="H30" i="9" s="1"/>
  <c r="G5" i="1"/>
  <c r="G30" i="9" s="1"/>
  <c r="F5" i="1"/>
  <c r="F30" i="9" s="1"/>
  <c r="E5" i="1"/>
  <c r="D5" i="1"/>
  <c r="D30" i="9" s="1"/>
  <c r="C5" i="1"/>
  <c r="C30" i="9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M78" i="26"/>
  <c r="N73" i="26"/>
  <c r="M72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U64" i="26"/>
  <c r="T64" i="26"/>
  <c r="S64" i="26"/>
  <c r="R64" i="26"/>
  <c r="Q64" i="26"/>
  <c r="P64" i="26"/>
  <c r="P73" i="26" s="1"/>
  <c r="O64" i="26"/>
  <c r="O73" i="26" s="1"/>
  <c r="N64" i="26"/>
  <c r="M64" i="26"/>
  <c r="M73" i="26" s="1"/>
  <c r="L64" i="26"/>
  <c r="K64" i="26"/>
  <c r="J64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N52" i="26"/>
  <c r="N53" i="26" s="1"/>
  <c r="J50" i="26"/>
  <c r="K50" i="26" s="1"/>
  <c r="L50" i="26" s="1"/>
  <c r="M50" i="26" s="1"/>
  <c r="N50" i="26" s="1"/>
  <c r="U48" i="26"/>
  <c r="T48" i="26"/>
  <c r="S48" i="26"/>
  <c r="R48" i="26"/>
  <c r="Q48" i="26"/>
  <c r="P48" i="26"/>
  <c r="O48" i="26"/>
  <c r="U46" i="26"/>
  <c r="U52" i="26" s="1"/>
  <c r="U53" i="26" s="1"/>
  <c r="T46" i="26"/>
  <c r="S46" i="26"/>
  <c r="R46" i="26"/>
  <c r="Q46" i="26"/>
  <c r="P46" i="26"/>
  <c r="O46" i="26"/>
  <c r="N46" i="26"/>
  <c r="M36" i="26"/>
  <c r="L36" i="26"/>
  <c r="K36" i="26"/>
  <c r="J36" i="26"/>
  <c r="M35" i="26"/>
  <c r="M46" i="26" s="1"/>
  <c r="M52" i="26" s="1"/>
  <c r="M53" i="26" s="1"/>
  <c r="L35" i="26"/>
  <c r="L46" i="26" s="1"/>
  <c r="L52" i="26" s="1"/>
  <c r="L53" i="26" s="1"/>
  <c r="K35" i="26"/>
  <c r="J35" i="26"/>
  <c r="J27" i="26"/>
  <c r="J29" i="26" s="1"/>
  <c r="J62" i="26" s="1"/>
  <c r="J66" i="24" s="1"/>
  <c r="U11" i="26"/>
  <c r="U10" i="26"/>
  <c r="M9" i="26"/>
  <c r="M27" i="26" s="1"/>
  <c r="L9" i="26"/>
  <c r="L27" i="26" s="1"/>
  <c r="K9" i="26"/>
  <c r="K27" i="26" s="1"/>
  <c r="J9" i="26"/>
  <c r="Q8" i="26"/>
  <c r="R8" i="26" s="1"/>
  <c r="S8" i="26" s="1"/>
  <c r="T8" i="26" s="1"/>
  <c r="U8" i="26" s="1"/>
  <c r="P8" i="26"/>
  <c r="O8" i="26"/>
  <c r="N8" i="26"/>
  <c r="M8" i="26"/>
  <c r="L8" i="26"/>
  <c r="K8" i="26"/>
  <c r="J8" i="26"/>
  <c r="M7" i="26"/>
  <c r="N7" i="26" s="1"/>
  <c r="L7" i="26"/>
  <c r="K7" i="26"/>
  <c r="J7" i="26"/>
  <c r="Q6" i="26"/>
  <c r="P6" i="26"/>
  <c r="O6" i="26"/>
  <c r="N6" i="26"/>
  <c r="M6" i="26"/>
  <c r="L6" i="26"/>
  <c r="K6" i="26"/>
  <c r="J6" i="26"/>
  <c r="J25" i="26" s="1"/>
  <c r="J31" i="26" s="1"/>
  <c r="J32" i="26" s="1"/>
  <c r="E11" i="25" l="1"/>
  <c r="T60" i="24"/>
  <c r="P9" i="25" s="1"/>
  <c r="Q52" i="26"/>
  <c r="Q53" i="26" s="1"/>
  <c r="L25" i="26"/>
  <c r="L31" i="26" s="1"/>
  <c r="S52" i="26"/>
  <c r="S53" i="26" s="1"/>
  <c r="T52" i="26"/>
  <c r="T53" i="26" s="1"/>
  <c r="U72" i="26"/>
  <c r="L58" i="26"/>
  <c r="L69" i="26" s="1"/>
  <c r="K25" i="26"/>
  <c r="K31" i="26" s="1"/>
  <c r="K32" i="26" s="1"/>
  <c r="J46" i="26"/>
  <c r="J52" i="26" s="1"/>
  <c r="J53" i="26" s="1"/>
  <c r="K29" i="26"/>
  <c r="K62" i="26" s="1"/>
  <c r="K66" i="24" s="1"/>
  <c r="K46" i="26"/>
  <c r="K52" i="26" s="1"/>
  <c r="K53" i="26" s="1"/>
  <c r="O50" i="26"/>
  <c r="P50" i="26" s="1"/>
  <c r="Q50" i="26" s="1"/>
  <c r="R50" i="26" s="1"/>
  <c r="S50" i="26" s="1"/>
  <c r="T50" i="26" s="1"/>
  <c r="U50" i="26" s="1"/>
  <c r="J68" i="26"/>
  <c r="J72" i="26"/>
  <c r="S68" i="27"/>
  <c r="R53" i="27"/>
  <c r="S53" i="27"/>
  <c r="J62" i="27"/>
  <c r="J68" i="24" s="1"/>
  <c r="N73" i="27"/>
  <c r="P25" i="27"/>
  <c r="P31" i="27" s="1"/>
  <c r="P32" i="27" s="1"/>
  <c r="M25" i="27"/>
  <c r="M31" i="27" s="1"/>
  <c r="M32" i="27" s="1"/>
  <c r="T53" i="27"/>
  <c r="T60" i="27" s="1"/>
  <c r="U53" i="27"/>
  <c r="R73" i="27"/>
  <c r="O46" i="28"/>
  <c r="O52" i="28" s="1"/>
  <c r="O53" i="28" s="1"/>
  <c r="P46" i="28"/>
  <c r="P52" i="28" s="1"/>
  <c r="P53" i="28" s="1"/>
  <c r="K72" i="28"/>
  <c r="P73" i="28"/>
  <c r="J52" i="28"/>
  <c r="J53" i="28" s="1"/>
  <c r="R72" i="28"/>
  <c r="S72" i="28"/>
  <c r="S30" i="30"/>
  <c r="S79" i="24" s="1"/>
  <c r="M31" i="30"/>
  <c r="M80" i="24" s="1"/>
  <c r="U31" i="30"/>
  <c r="U80" i="24" s="1"/>
  <c r="S60" i="24"/>
  <c r="O9" i="25" s="1"/>
  <c r="L31" i="31"/>
  <c r="L77" i="26" s="1"/>
  <c r="T32" i="31"/>
  <c r="T78" i="26" s="1"/>
  <c r="T57" i="26" s="1"/>
  <c r="T58" i="26" s="1"/>
  <c r="T69" i="26" s="1"/>
  <c r="K32" i="31"/>
  <c r="K78" i="26" s="1"/>
  <c r="K57" i="26" s="1"/>
  <c r="K58" i="26" s="1"/>
  <c r="K60" i="26" s="1"/>
  <c r="S32" i="31"/>
  <c r="S78" i="26" s="1"/>
  <c r="S57" i="26" s="1"/>
  <c r="S58" i="26" s="1"/>
  <c r="S69" i="26" s="1"/>
  <c r="M31" i="31"/>
  <c r="M77" i="26" s="1"/>
  <c r="U32" i="31"/>
  <c r="U78" i="26" s="1"/>
  <c r="U57" i="26" s="1"/>
  <c r="U58" i="26" s="1"/>
  <c r="U69" i="26" s="1"/>
  <c r="N31" i="31"/>
  <c r="N77" i="26" s="1"/>
  <c r="M33" i="31"/>
  <c r="M79" i="26" s="1"/>
  <c r="M25" i="24" s="1"/>
  <c r="K45" i="32"/>
  <c r="K77" i="27" s="1"/>
  <c r="N45" i="32"/>
  <c r="N77" i="27" s="1"/>
  <c r="L46" i="32"/>
  <c r="L78" i="27" s="1"/>
  <c r="L57" i="27" s="1"/>
  <c r="L58" i="27" s="1"/>
  <c r="T46" i="32"/>
  <c r="T78" i="27" s="1"/>
  <c r="T57" i="27" s="1"/>
  <c r="T58" i="27" s="1"/>
  <c r="J47" i="32"/>
  <c r="J79" i="27" s="1"/>
  <c r="R47" i="32"/>
  <c r="R79" i="27" s="1"/>
  <c r="U46" i="32"/>
  <c r="U78" i="27" s="1"/>
  <c r="U57" i="27" s="1"/>
  <c r="L49" i="33"/>
  <c r="L78" i="28" s="1"/>
  <c r="T49" i="33"/>
  <c r="T78" i="28" s="1"/>
  <c r="E81" i="12" a="1"/>
  <c r="E81" i="12" s="1"/>
  <c r="I81" i="12" a="1"/>
  <c r="I81" i="12" s="1"/>
  <c r="D81" i="12"/>
  <c r="A122" i="12"/>
  <c r="J48" i="5"/>
  <c r="N37" i="4"/>
  <c r="AI37" i="4" s="1"/>
  <c r="K21" i="5"/>
  <c r="O21" i="4" s="1"/>
  <c r="AJ21" i="4" s="1"/>
  <c r="O22" i="4"/>
  <c r="AJ22" i="4" s="1"/>
  <c r="K72" i="26"/>
  <c r="M17" i="5"/>
  <c r="Q17" i="4" s="1"/>
  <c r="AL17" i="4" s="1"/>
  <c r="Q18" i="4"/>
  <c r="AL18" i="4" s="1"/>
  <c r="J20" i="4"/>
  <c r="F19" i="5"/>
  <c r="J19" i="4" s="1"/>
  <c r="F21" i="5"/>
  <c r="J21" i="4" s="1"/>
  <c r="J22" i="4"/>
  <c r="N21" i="5"/>
  <c r="R21" i="4" s="1"/>
  <c r="AM21" i="4" s="1"/>
  <c r="R22" i="4"/>
  <c r="AM22" i="4" s="1"/>
  <c r="N59" i="24"/>
  <c r="N60" i="24" s="1"/>
  <c r="J9" i="25" s="1"/>
  <c r="L59" i="24"/>
  <c r="L60" i="24" s="1"/>
  <c r="H9" i="25" s="1"/>
  <c r="R52" i="26"/>
  <c r="R53" i="26" s="1"/>
  <c r="O48" i="4"/>
  <c r="AJ48" i="4" s="1"/>
  <c r="L72" i="26"/>
  <c r="J73" i="26"/>
  <c r="N17" i="5"/>
  <c r="R17" i="4" s="1"/>
  <c r="AM17" i="4" s="1"/>
  <c r="R18" i="4"/>
  <c r="AM18" i="4" s="1"/>
  <c r="O21" i="5"/>
  <c r="S21" i="4" s="1"/>
  <c r="AN21" i="4" s="1"/>
  <c r="S22" i="4"/>
  <c r="AN22" i="4" s="1"/>
  <c r="I48" i="4"/>
  <c r="K14" i="4"/>
  <c r="G13" i="5"/>
  <c r="K13" i="4" s="1"/>
  <c r="O17" i="5"/>
  <c r="S17" i="4" s="1"/>
  <c r="AN17" i="4" s="1"/>
  <c r="S18" i="4"/>
  <c r="AN18" i="4" s="1"/>
  <c r="R48" i="4"/>
  <c r="AM48" i="4" s="1"/>
  <c r="G21" i="5"/>
  <c r="K21" i="4" s="1"/>
  <c r="Q48" i="4"/>
  <c r="AL48" i="4" s="1"/>
  <c r="C93" i="1"/>
  <c r="C49" i="15" s="1"/>
  <c r="D11" i="10"/>
  <c r="K19" i="5"/>
  <c r="O19" i="4" s="1"/>
  <c r="AJ19" i="4" s="1"/>
  <c r="O20" i="4"/>
  <c r="AJ20" i="4" s="1"/>
  <c r="M57" i="26"/>
  <c r="M58" i="26" s="1"/>
  <c r="M69" i="26" s="1"/>
  <c r="O7" i="26"/>
  <c r="O37" i="4"/>
  <c r="AJ37" i="4" s="1"/>
  <c r="H19" i="5"/>
  <c r="L19" i="4" s="1"/>
  <c r="AG19" i="4" s="1"/>
  <c r="L20" i="4"/>
  <c r="AG20" i="4" s="1"/>
  <c r="Q73" i="26"/>
  <c r="C44" i="9"/>
  <c r="A127" i="12"/>
  <c r="E86" i="12" a="1"/>
  <c r="E86" i="12" s="1"/>
  <c r="D86" i="12"/>
  <c r="I86" i="12" a="1"/>
  <c r="I86" i="12" s="1"/>
  <c r="E68" i="12" a="1"/>
  <c r="E68" i="12" s="1"/>
  <c r="E82" i="12" a="1"/>
  <c r="E82" i="12" s="1"/>
  <c r="I94" i="12" a="1"/>
  <c r="I94" i="12" s="1"/>
  <c r="A135" i="12"/>
  <c r="E94" i="12" a="1"/>
  <c r="E94" i="12" s="1"/>
  <c r="G94" i="12" s="1"/>
  <c r="D94" i="12"/>
  <c r="O52" i="26"/>
  <c r="O53" i="26" s="1"/>
  <c r="K68" i="26"/>
  <c r="K73" i="26"/>
  <c r="D44" i="9"/>
  <c r="H48" i="5"/>
  <c r="L37" i="4"/>
  <c r="AG37" i="4" s="1"/>
  <c r="L62" i="9"/>
  <c r="A74" i="12"/>
  <c r="D92" i="12"/>
  <c r="I70" i="12" a="1"/>
  <c r="I70" i="12" s="1"/>
  <c r="E75" i="12" a="1"/>
  <c r="E75" i="12" s="1"/>
  <c r="G75" i="12" s="1"/>
  <c r="I75" i="12" a="1"/>
  <c r="I75" i="12" s="1"/>
  <c r="D75" i="12"/>
  <c r="A116" i="12"/>
  <c r="A129" i="12"/>
  <c r="G88" i="12"/>
  <c r="E88" i="12" a="1"/>
  <c r="E88" i="12" s="1"/>
  <c r="D88" i="12"/>
  <c r="I88" i="12" a="1"/>
  <c r="I88" i="12" s="1"/>
  <c r="G64" i="12"/>
  <c r="I64" i="12" a="1"/>
  <c r="I64" i="12" s="1"/>
  <c r="A105" i="12"/>
  <c r="E64" i="12" a="1"/>
  <c r="E64" i="12" s="1"/>
  <c r="D64" i="12"/>
  <c r="M25" i="26"/>
  <c r="M31" i="26" s="1"/>
  <c r="M32" i="26" s="1"/>
  <c r="M60" i="26" s="1"/>
  <c r="L22" i="4"/>
  <c r="AG22" i="4" s="1"/>
  <c r="H21" i="5"/>
  <c r="L21" i="4" s="1"/>
  <c r="AG21" i="4" s="1"/>
  <c r="R6" i="26"/>
  <c r="N9" i="26"/>
  <c r="O9" i="26" s="1"/>
  <c r="P9" i="26" s="1"/>
  <c r="Q9" i="26" s="1"/>
  <c r="R9" i="26" s="1"/>
  <c r="S9" i="26" s="1"/>
  <c r="T9" i="26" s="1"/>
  <c r="U9" i="26" s="1"/>
  <c r="P52" i="26"/>
  <c r="P53" i="26" s="1"/>
  <c r="L73" i="26"/>
  <c r="E44" i="9"/>
  <c r="P37" i="4"/>
  <c r="AK37" i="4" s="1"/>
  <c r="L48" i="5"/>
  <c r="D62" i="9"/>
  <c r="A119" i="12"/>
  <c r="G78" i="12"/>
  <c r="I78" i="12" a="1"/>
  <c r="I78" i="12" s="1"/>
  <c r="E78" i="12" a="1"/>
  <c r="E78" i="12" s="1"/>
  <c r="D78" i="12"/>
  <c r="E62" i="12" a="1"/>
  <c r="E62" i="12" s="1"/>
  <c r="L10" i="17"/>
  <c r="J19" i="5"/>
  <c r="N19" i="4" s="1"/>
  <c r="AI19" i="4" s="1"/>
  <c r="I48" i="5"/>
  <c r="M37" i="4"/>
  <c r="AH37" i="4" s="1"/>
  <c r="N44" i="9"/>
  <c r="E62" i="9"/>
  <c r="M62" i="9"/>
  <c r="P18" i="4"/>
  <c r="AK18" i="4" s="1"/>
  <c r="K20" i="4"/>
  <c r="S48" i="4"/>
  <c r="AN48" i="4" s="1"/>
  <c r="E23" i="5"/>
  <c r="I23" i="4" s="1"/>
  <c r="I22" i="4"/>
  <c r="T48" i="4"/>
  <c r="AO48" i="4" s="1"/>
  <c r="P21" i="5"/>
  <c r="T21" i="4" s="1"/>
  <c r="AO21" i="4" s="1"/>
  <c r="F48" i="5"/>
  <c r="E79" i="12" a="1"/>
  <c r="E79" i="12" s="1"/>
  <c r="I79" i="12" a="1"/>
  <c r="I79" i="12" s="1"/>
  <c r="D79" i="12"/>
  <c r="A120" i="12"/>
  <c r="G48" i="5"/>
  <c r="K37" i="4"/>
  <c r="I72" i="12" a="1"/>
  <c r="I72" i="12" s="1"/>
  <c r="A152" i="12"/>
  <c r="C106" i="12" a="1"/>
  <c r="C106" i="12" s="1"/>
  <c r="D106" i="12" s="1" a="1"/>
  <c r="D106" i="12" s="1"/>
  <c r="Q7" i="13"/>
  <c r="Q18" i="13"/>
  <c r="Q39" i="13" a="1"/>
  <c r="Q39" i="13" s="1"/>
  <c r="G67" i="1" s="1"/>
  <c r="G53" i="9" s="1"/>
  <c r="Q17" i="13"/>
  <c r="Q19" i="13"/>
  <c r="R2" i="13"/>
  <c r="Q8" i="13"/>
  <c r="P57" i="26"/>
  <c r="P58" i="26" s="1"/>
  <c r="P69" i="26" s="1"/>
  <c r="I44" i="9"/>
  <c r="J21" i="5"/>
  <c r="N21" i="4" s="1"/>
  <c r="AI21" i="4" s="1"/>
  <c r="N22" i="4"/>
  <c r="AI22" i="4" s="1"/>
  <c r="E77" i="12" a="1"/>
  <c r="E77" i="12" s="1"/>
  <c r="A118" i="12"/>
  <c r="I77" i="12" a="1"/>
  <c r="I77" i="12" s="1"/>
  <c r="D77" i="12"/>
  <c r="G77" i="12"/>
  <c r="E66" i="12" a="1"/>
  <c r="E66" i="12" s="1"/>
  <c r="I80" i="12" a="1"/>
  <c r="I80" i="12" s="1"/>
  <c r="E80" i="12" a="1"/>
  <c r="E80" i="12" s="1"/>
  <c r="D80" i="12"/>
  <c r="A133" i="12"/>
  <c r="G92" i="12"/>
  <c r="I92" i="12" a="1"/>
  <c r="I92" i="12" s="1"/>
  <c r="E92" i="12" a="1"/>
  <c r="E92" i="12" s="1"/>
  <c r="A136" i="12"/>
  <c r="E95" i="12" a="1"/>
  <c r="E95" i="12" s="1"/>
  <c r="G95" i="12" s="1"/>
  <c r="I95" i="12" a="1"/>
  <c r="I95" i="12" s="1"/>
  <c r="D95" i="12"/>
  <c r="A150" i="12"/>
  <c r="C104" i="12" a="1"/>
  <c r="C104" i="12" s="1"/>
  <c r="A177" i="12"/>
  <c r="T12" i="14"/>
  <c r="T14" i="14"/>
  <c r="T21" i="14"/>
  <c r="T20" i="14"/>
  <c r="T17" i="14"/>
  <c r="V17" i="14" s="1"/>
  <c r="T29" i="14" a="1"/>
  <c r="T29" i="14" s="1"/>
  <c r="I72" i="1" s="1"/>
  <c r="I54" i="9" s="1"/>
  <c r="I56" i="9" s="1"/>
  <c r="N34" i="15"/>
  <c r="N35" i="15" s="1"/>
  <c r="N91" i="1" s="1"/>
  <c r="P30" i="5" s="1"/>
  <c r="T30" i="4" s="1"/>
  <c r="AO30" i="4" s="1"/>
  <c r="K112" i="19"/>
  <c r="D20" i="11"/>
  <c r="L20" i="11"/>
  <c r="A111" i="12"/>
  <c r="E70" i="12" a="1"/>
  <c r="E70" i="12" s="1"/>
  <c r="D70" i="12"/>
  <c r="G76" i="12"/>
  <c r="A117" i="12"/>
  <c r="I76" i="12" a="1"/>
  <c r="I76" i="12" s="1"/>
  <c r="E76" i="12" a="1"/>
  <c r="E76" i="12" s="1"/>
  <c r="D76" i="12"/>
  <c r="A178" i="12"/>
  <c r="E20" i="11"/>
  <c r="E13" i="11"/>
  <c r="E14" i="11" s="1"/>
  <c r="E97" i="1" s="1"/>
  <c r="E51" i="9" s="1"/>
  <c r="M20" i="11"/>
  <c r="M13" i="11"/>
  <c r="M14" i="11" s="1"/>
  <c r="M97" i="1" s="1"/>
  <c r="M51" i="9" s="1"/>
  <c r="E67" i="12" a="1"/>
  <c r="E67" i="12" s="1"/>
  <c r="I67" i="12" a="1"/>
  <c r="I67" i="12" s="1"/>
  <c r="D67" i="12"/>
  <c r="A108" i="12"/>
  <c r="G67" i="12"/>
  <c r="E71" i="12" a="1"/>
  <c r="E71" i="12" s="1"/>
  <c r="I71" i="12" a="1"/>
  <c r="I71" i="12" s="1"/>
  <c r="D71" i="12"/>
  <c r="A112" i="12"/>
  <c r="G72" i="12"/>
  <c r="A113" i="12"/>
  <c r="E72" i="12" a="1"/>
  <c r="E72" i="12" s="1"/>
  <c r="D72" i="12"/>
  <c r="E93" i="12" a="1"/>
  <c r="E93" i="12" s="1"/>
  <c r="A134" i="12"/>
  <c r="I93" i="12" a="1"/>
  <c r="I93" i="12" s="1"/>
  <c r="D93" i="12"/>
  <c r="G93" i="12"/>
  <c r="A103" i="12"/>
  <c r="G62" i="12"/>
  <c r="I62" i="12" a="1"/>
  <c r="I62" i="12" s="1"/>
  <c r="F20" i="11"/>
  <c r="F13" i="11"/>
  <c r="F14" i="11" s="1"/>
  <c r="F97" i="1" s="1"/>
  <c r="F51" i="9" s="1"/>
  <c r="N20" i="11"/>
  <c r="N13" i="11"/>
  <c r="N14" i="11" s="1"/>
  <c r="N97" i="1" s="1"/>
  <c r="N51" i="9" s="1"/>
  <c r="D62" i="12"/>
  <c r="I68" i="12" a="1"/>
  <c r="I68" i="12" s="1"/>
  <c r="E90" i="12" a="1"/>
  <c r="E90" i="12" s="1"/>
  <c r="I90" i="12" a="1"/>
  <c r="I90" i="12" s="1"/>
  <c r="D90" i="12"/>
  <c r="B53" i="15"/>
  <c r="G20" i="11"/>
  <c r="G13" i="11"/>
  <c r="G14" i="11" s="1"/>
  <c r="G97" i="1" s="1"/>
  <c r="G51" i="9" s="1"/>
  <c r="A124" i="12"/>
  <c r="E83" i="12" a="1"/>
  <c r="E83" i="12" s="1"/>
  <c r="I83" i="12" a="1"/>
  <c r="I83" i="12" s="1"/>
  <c r="D83" i="12"/>
  <c r="E91" i="12" a="1"/>
  <c r="E91" i="12" s="1"/>
  <c r="G91" i="12" s="1"/>
  <c r="I91" i="12" a="1"/>
  <c r="I91" i="12" s="1"/>
  <c r="D91" i="12"/>
  <c r="A121" i="12"/>
  <c r="AD2" i="13"/>
  <c r="AC39" i="13" a="1"/>
  <c r="AC39" i="13" s="1"/>
  <c r="D39" i="15"/>
  <c r="D55" i="17"/>
  <c r="D78" i="17"/>
  <c r="D83" i="17" s="1"/>
  <c r="E75" i="17"/>
  <c r="C26" i="11"/>
  <c r="A125" i="12"/>
  <c r="D84" i="12"/>
  <c r="L55" i="12" a="1"/>
  <c r="L55" i="12" s="1"/>
  <c r="B63" i="1" s="1"/>
  <c r="X55" i="12" a="1"/>
  <c r="X55" i="12" s="1"/>
  <c r="N63" i="1" s="1"/>
  <c r="N52" i="9" s="1"/>
  <c r="E65" i="12" a="1"/>
  <c r="E65" i="12" s="1"/>
  <c r="I65" i="12" a="1"/>
  <c r="I65" i="12" s="1"/>
  <c r="D65" i="12"/>
  <c r="E84" i="12" a="1"/>
  <c r="E84" i="12" s="1"/>
  <c r="M40" i="19"/>
  <c r="M41" i="19" s="1"/>
  <c r="M8" i="19"/>
  <c r="C42" i="11" a="1"/>
  <c r="C42" i="11" s="1"/>
  <c r="D42" i="11" s="1" a="1"/>
  <c r="D42" i="11" s="1"/>
  <c r="E42" i="11" s="1" a="1"/>
  <c r="E42" i="11" s="1"/>
  <c r="F42" i="11" s="1" a="1"/>
  <c r="F42" i="11" s="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G68" i="12"/>
  <c r="A109" i="12"/>
  <c r="F68" i="12" a="1"/>
  <c r="F68" i="12" s="1"/>
  <c r="D68" i="12"/>
  <c r="C44" i="12"/>
  <c r="E63" i="12" a="1"/>
  <c r="E63" i="12" s="1"/>
  <c r="I63" i="12" a="1"/>
  <c r="I63" i="12" s="1"/>
  <c r="D63" i="12"/>
  <c r="A123" i="12"/>
  <c r="G82" i="12"/>
  <c r="F82" i="12" a="1"/>
  <c r="F82" i="12" s="1"/>
  <c r="D82" i="12"/>
  <c r="I82" i="12" a="1"/>
  <c r="I82" i="12" s="1"/>
  <c r="E89" i="12" a="1"/>
  <c r="E89" i="12" s="1"/>
  <c r="A130" i="12"/>
  <c r="I89" i="12" a="1"/>
  <c r="I89" i="12" s="1"/>
  <c r="D89" i="12"/>
  <c r="F89" i="12" a="1"/>
  <c r="F89" i="12" s="1"/>
  <c r="E61" i="12" a="1"/>
  <c r="E61" i="12" s="1"/>
  <c r="A102" i="12"/>
  <c r="I61" i="12" a="1"/>
  <c r="I61" i="12" s="1"/>
  <c r="D61" i="12"/>
  <c r="F61" i="12" a="1"/>
  <c r="F61" i="12" s="1"/>
  <c r="C128" i="12" a="1"/>
  <c r="C128" i="12" s="1"/>
  <c r="A174" i="12"/>
  <c r="V55" i="12" a="1"/>
  <c r="V55" i="12" s="1"/>
  <c r="L63" i="1" s="1"/>
  <c r="L52" i="9" s="1"/>
  <c r="L56" i="9" s="1"/>
  <c r="L64" i="9" s="1"/>
  <c r="R55" i="12" a="1"/>
  <c r="R55" i="12" s="1"/>
  <c r="H63" i="1" s="1"/>
  <c r="H52" i="9" s="1"/>
  <c r="I5" i="12"/>
  <c r="W55" i="12" a="1"/>
  <c r="W55" i="12" s="1"/>
  <c r="M63" i="1" s="1"/>
  <c r="M52" i="9" s="1"/>
  <c r="P55" i="12" a="1"/>
  <c r="P55" i="12" s="1"/>
  <c r="F63" i="1" s="1"/>
  <c r="F52" i="9" s="1"/>
  <c r="K55" i="12" a="1"/>
  <c r="K55" i="12" s="1"/>
  <c r="C47" i="12"/>
  <c r="G5" i="12"/>
  <c r="F94" i="12" s="1" a="1"/>
  <c r="F94" i="12" s="1"/>
  <c r="U55" i="12" a="1"/>
  <c r="U55" i="12" s="1"/>
  <c r="K63" i="1" s="1"/>
  <c r="K52" i="9" s="1"/>
  <c r="J55" i="12" a="1"/>
  <c r="J55" i="12" s="1"/>
  <c r="O55" i="12" a="1"/>
  <c r="O55" i="12" s="1"/>
  <c r="E63" i="1" s="1"/>
  <c r="E52" i="9" s="1"/>
  <c r="G66" i="12"/>
  <c r="F66" i="12" a="1"/>
  <c r="F66" i="12" s="1"/>
  <c r="D66" i="12"/>
  <c r="A107" i="12"/>
  <c r="I66" i="12" a="1"/>
  <c r="I66" i="12" s="1"/>
  <c r="E69" i="12" a="1"/>
  <c r="E69" i="12" s="1"/>
  <c r="A110" i="12"/>
  <c r="I69" i="12" a="1"/>
  <c r="I69" i="12" s="1"/>
  <c r="D69" i="12"/>
  <c r="E73" i="12" a="1"/>
  <c r="E73" i="12" s="1"/>
  <c r="G73" i="12" s="1"/>
  <c r="I73" i="12" a="1"/>
  <c r="I73" i="12" s="1"/>
  <c r="D73" i="12"/>
  <c r="F73" i="12" a="1"/>
  <c r="F73" i="12" s="1"/>
  <c r="A114" i="12"/>
  <c r="A126" i="12"/>
  <c r="E85" i="12" a="1"/>
  <c r="E85" i="12" s="1"/>
  <c r="I85" i="12" a="1"/>
  <c r="I85" i="12" s="1"/>
  <c r="D85" i="12"/>
  <c r="N55" i="12" a="1"/>
  <c r="N55" i="12" s="1"/>
  <c r="D63" i="1" s="1"/>
  <c r="D52" i="9" s="1"/>
  <c r="D56" i="9" s="1"/>
  <c r="D64" i="9" s="1"/>
  <c r="F63" i="12" a="1"/>
  <c r="F63" i="12" s="1"/>
  <c r="I84" i="12" a="1"/>
  <c r="I84" i="12" s="1"/>
  <c r="AA8" i="13"/>
  <c r="AC8" i="13" s="1"/>
  <c r="AE8" i="13" s="1"/>
  <c r="AB2" i="13"/>
  <c r="AA39" i="13" a="1"/>
  <c r="AA39" i="13" s="1"/>
  <c r="M67" i="1" s="1"/>
  <c r="M53" i="9" s="1"/>
  <c r="AD29" i="14" a="1"/>
  <c r="AD29" i="14" s="1"/>
  <c r="N72" i="1" s="1"/>
  <c r="N54" i="9" s="1"/>
  <c r="AD17" i="14"/>
  <c r="AD12" i="14"/>
  <c r="D60" i="17"/>
  <c r="D7" i="1" s="1"/>
  <c r="F7" i="5" s="1"/>
  <c r="G40" i="19"/>
  <c r="G8" i="19"/>
  <c r="P37" i="19"/>
  <c r="P3" i="19"/>
  <c r="P40" i="19"/>
  <c r="P41" i="19" s="1"/>
  <c r="P44" i="19" s="1"/>
  <c r="P49" i="19" s="1"/>
  <c r="P54" i="19" s="1"/>
  <c r="F10" i="19"/>
  <c r="F11" i="19" s="1"/>
  <c r="F9" i="19"/>
  <c r="F15" i="19" s="1"/>
  <c r="F19" i="19" s="1"/>
  <c r="E87" i="12" a="1"/>
  <c r="E87" i="12" s="1"/>
  <c r="I87" i="12" a="1"/>
  <c r="I87" i="12" s="1"/>
  <c r="D87" i="12"/>
  <c r="D10" i="16"/>
  <c r="C50" i="1" s="1"/>
  <c r="E42" i="5" s="1"/>
  <c r="I42" i="4" s="1"/>
  <c r="D12" i="16"/>
  <c r="AB12" i="14"/>
  <c r="AB21" i="14"/>
  <c r="AD21" i="14" s="1"/>
  <c r="AB29" i="14" a="1"/>
  <c r="AB29" i="14" s="1"/>
  <c r="M72" i="1" s="1"/>
  <c r="M54" i="9" s="1"/>
  <c r="P28" i="14"/>
  <c r="E4" i="16"/>
  <c r="G101" i="19"/>
  <c r="H95" i="19"/>
  <c r="F87" i="12" a="1"/>
  <c r="F87" i="12" s="1"/>
  <c r="AC3" i="14"/>
  <c r="N21" i="14"/>
  <c r="P21" i="14" s="1"/>
  <c r="N11" i="14"/>
  <c r="P11" i="14" s="1"/>
  <c r="R11" i="14" s="1"/>
  <c r="T11" i="14" s="1"/>
  <c r="V11" i="14" s="1"/>
  <c r="R5" i="14"/>
  <c r="AE39" i="13" a="1"/>
  <c r="AE39" i="13" s="1"/>
  <c r="S10" i="13"/>
  <c r="L15" i="14"/>
  <c r="L13" i="14"/>
  <c r="L10" i="14"/>
  <c r="L6" i="14"/>
  <c r="N6" i="14" s="1"/>
  <c r="P6" i="14" s="1"/>
  <c r="R6" i="14" s="1"/>
  <c r="T6" i="14" s="1"/>
  <c r="V6" i="14" s="1"/>
  <c r="X6" i="14" s="1"/>
  <c r="Z6" i="14" s="1"/>
  <c r="AB6" i="14" s="1"/>
  <c r="AD6" i="14" s="1"/>
  <c r="L29" i="14" a="1"/>
  <c r="L29" i="14" s="1"/>
  <c r="E72" i="1" s="1"/>
  <c r="E54" i="9" s="1"/>
  <c r="L19" i="14"/>
  <c r="L8" i="14"/>
  <c r="V14" i="14"/>
  <c r="V21" i="14"/>
  <c r="V20" i="14"/>
  <c r="V12" i="14"/>
  <c r="X12" i="14" s="1"/>
  <c r="Z12" i="14" s="1"/>
  <c r="W3" i="14"/>
  <c r="H8" i="19"/>
  <c r="H40" i="19"/>
  <c r="Q40" i="19"/>
  <c r="Q41" i="19" s="1"/>
  <c r="Q44" i="19" s="1"/>
  <c r="Q49" i="19" s="1"/>
  <c r="Q54" i="19" s="1"/>
  <c r="Q37" i="19"/>
  <c r="S21" i="13"/>
  <c r="S17" i="13"/>
  <c r="S15" i="13"/>
  <c r="T2" i="13"/>
  <c r="S39" i="13" a="1"/>
  <c r="S39" i="13" s="1"/>
  <c r="H67" i="1" s="1"/>
  <c r="H53" i="9" s="1"/>
  <c r="S8" i="13"/>
  <c r="S16" i="13"/>
  <c r="U16" i="13" s="1"/>
  <c r="W16" i="13" s="1"/>
  <c r="Y16" i="13" s="1"/>
  <c r="AA16" i="13" s="1"/>
  <c r="AC16" i="13" s="1"/>
  <c r="AE16" i="13" s="1"/>
  <c r="S19" i="13"/>
  <c r="U17" i="13"/>
  <c r="V17" i="13" s="1"/>
  <c r="U10" i="13"/>
  <c r="AF3" i="13"/>
  <c r="K7" i="13"/>
  <c r="M3" i="14"/>
  <c r="I22" i="13"/>
  <c r="K22" i="13" s="1"/>
  <c r="M22" i="13" s="1"/>
  <c r="O22" i="13" s="1"/>
  <c r="Q22" i="13" s="1"/>
  <c r="I8" i="13"/>
  <c r="K8" i="13" s="1"/>
  <c r="I6" i="13"/>
  <c r="I23" i="13"/>
  <c r="K23" i="13" s="1"/>
  <c r="M23" i="13" s="1"/>
  <c r="O23" i="13" s="1"/>
  <c r="Q23" i="13" s="1"/>
  <c r="I21" i="13"/>
  <c r="K21" i="13" s="1"/>
  <c r="M21" i="13" s="1"/>
  <c r="O21" i="13" s="1"/>
  <c r="Q21" i="13" s="1"/>
  <c r="R21" i="13" s="1"/>
  <c r="I17" i="13"/>
  <c r="K17" i="13" s="1"/>
  <c r="M17" i="13" s="1"/>
  <c r="I14" i="13"/>
  <c r="J14" i="13" s="1"/>
  <c r="I39" i="13" a="1"/>
  <c r="I39" i="13" s="1"/>
  <c r="C67" i="1" s="1"/>
  <c r="C53" i="9" s="1"/>
  <c r="C56" i="9" s="1"/>
  <c r="I25" i="13"/>
  <c r="K25" i="13" s="1"/>
  <c r="M25" i="13" s="1"/>
  <c r="O25" i="13" s="1"/>
  <c r="Q25" i="13" s="1"/>
  <c r="I11" i="13"/>
  <c r="I16" i="13"/>
  <c r="I10" i="13"/>
  <c r="K10" i="13" s="1"/>
  <c r="M10" i="13" s="1"/>
  <c r="O10" i="13" s="1"/>
  <c r="I4" i="13"/>
  <c r="K4" i="13" s="1"/>
  <c r="I24" i="13"/>
  <c r="K24" i="13" s="1"/>
  <c r="M24" i="13" s="1"/>
  <c r="I13" i="13"/>
  <c r="J13" i="13" s="1"/>
  <c r="I12" i="13"/>
  <c r="I9" i="13"/>
  <c r="L21" i="14"/>
  <c r="J27" i="17"/>
  <c r="M64" i="17" s="1"/>
  <c r="I55" i="17"/>
  <c r="J21" i="17"/>
  <c r="J25" i="17" s="1"/>
  <c r="J6" i="1" s="1"/>
  <c r="J38" i="9" s="1"/>
  <c r="J44" i="9" s="1"/>
  <c r="J2" i="13"/>
  <c r="L3" i="13"/>
  <c r="K9" i="13"/>
  <c r="K26" i="13"/>
  <c r="K15" i="13"/>
  <c r="S7" i="13"/>
  <c r="U7" i="13" s="1"/>
  <c r="S18" i="13"/>
  <c r="U18" i="13" s="1"/>
  <c r="I27" i="13"/>
  <c r="D8" i="17"/>
  <c r="D10" i="17" s="1"/>
  <c r="K9" i="17"/>
  <c r="K12" i="17" s="1"/>
  <c r="K17" i="17" s="1"/>
  <c r="N15" i="14"/>
  <c r="N13" i="14"/>
  <c r="P13" i="14" s="1"/>
  <c r="Q13" i="14" s="1"/>
  <c r="Q33" i="14" s="1"/>
  <c r="G73" i="1" s="1"/>
  <c r="G60" i="9" s="1"/>
  <c r="N10" i="14"/>
  <c r="P10" i="14" s="1"/>
  <c r="R10" i="14" s="1"/>
  <c r="T10" i="14" s="1"/>
  <c r="V10" i="14" s="1"/>
  <c r="N22" i="14"/>
  <c r="P22" i="14" s="1"/>
  <c r="R22" i="14" s="1"/>
  <c r="T22" i="14" s="1"/>
  <c r="N19" i="14"/>
  <c r="P19" i="14" s="1"/>
  <c r="R19" i="14" s="1"/>
  <c r="T19" i="14" s="1"/>
  <c r="V19" i="14" s="1"/>
  <c r="G78" i="18"/>
  <c r="G37" i="18" s="1"/>
  <c r="J113" i="19"/>
  <c r="J120" i="19"/>
  <c r="J131" i="19"/>
  <c r="G118" i="19"/>
  <c r="O3" i="14"/>
  <c r="Z29" i="14" a="1"/>
  <c r="Z29" i="14" s="1"/>
  <c r="L72" i="1" s="1"/>
  <c r="L54" i="9" s="1"/>
  <c r="J29" i="14" a="1"/>
  <c r="J29" i="14" s="1"/>
  <c r="D72" i="1" s="1"/>
  <c r="D54" i="9" s="1"/>
  <c r="N18" i="14"/>
  <c r="L26" i="18"/>
  <c r="O43" i="19"/>
  <c r="O37" i="19"/>
  <c r="O49" i="19"/>
  <c r="H130" i="19"/>
  <c r="I125" i="19"/>
  <c r="J125" i="19" s="1"/>
  <c r="K125" i="19" s="1"/>
  <c r="L125" i="19" s="1"/>
  <c r="M125" i="19" s="1"/>
  <c r="E13" i="25"/>
  <c r="F6" i="25"/>
  <c r="O24" i="13"/>
  <c r="Q24" i="13" s="1"/>
  <c r="O9" i="13"/>
  <c r="Q9" i="13" s="1"/>
  <c r="S9" i="13" s="1"/>
  <c r="U9" i="13" s="1"/>
  <c r="W9" i="13" s="1"/>
  <c r="Y9" i="13" s="1"/>
  <c r="AA9" i="13" s="1"/>
  <c r="AC9" i="13" s="1"/>
  <c r="AE9" i="13" s="1"/>
  <c r="Y21" i="13"/>
  <c r="Z21" i="13" s="1"/>
  <c r="Y7" i="13"/>
  <c r="AA7" i="13" s="1"/>
  <c r="AC7" i="13" s="1"/>
  <c r="AE7" i="13" s="1"/>
  <c r="M29" i="13"/>
  <c r="O29" i="13" s="1"/>
  <c r="Q29" i="13" s="1"/>
  <c r="M20" i="13"/>
  <c r="O20" i="13" s="1"/>
  <c r="M18" i="13"/>
  <c r="O18" i="13" s="1"/>
  <c r="W7" i="13"/>
  <c r="X3" i="13"/>
  <c r="O5" i="13"/>
  <c r="Q5" i="13" s="1"/>
  <c r="S5" i="13" s="1"/>
  <c r="U5" i="13" s="1"/>
  <c r="W5" i="13" s="1"/>
  <c r="W11" i="13"/>
  <c r="Y11" i="13" s="1"/>
  <c r="AA11" i="13" s="1"/>
  <c r="AC11" i="13" s="1"/>
  <c r="AE11" i="13" s="1"/>
  <c r="N8" i="14"/>
  <c r="P2" i="13"/>
  <c r="Z2" i="13"/>
  <c r="N3" i="13"/>
  <c r="W10" i="13"/>
  <c r="Y10" i="13" s="1"/>
  <c r="AA10" i="13" s="1"/>
  <c r="AC10" i="13" s="1"/>
  <c r="AE10" i="13" s="1"/>
  <c r="M15" i="13"/>
  <c r="O15" i="13" s="1"/>
  <c r="M26" i="13"/>
  <c r="O26" i="13" s="1"/>
  <c r="Q26" i="13" s="1"/>
  <c r="S26" i="13" s="1"/>
  <c r="U26" i="13" s="1"/>
  <c r="W26" i="13" s="1"/>
  <c r="Y26" i="13" s="1"/>
  <c r="C8" i="17"/>
  <c r="C10" i="17" s="1"/>
  <c r="C28" i="17" s="1"/>
  <c r="N8" i="17"/>
  <c r="N3" i="17"/>
  <c r="O37" i="17" s="1"/>
  <c r="O38" i="17" s="1"/>
  <c r="J37" i="17" s="1"/>
  <c r="C27" i="17"/>
  <c r="F119" i="19"/>
  <c r="M126" i="19"/>
  <c r="N126" i="19" s="1"/>
  <c r="O126" i="19" s="1"/>
  <c r="P126" i="19" s="1"/>
  <c r="L131" i="19"/>
  <c r="N35" i="20"/>
  <c r="K19" i="13"/>
  <c r="M19" i="13" s="1"/>
  <c r="K16" i="13"/>
  <c r="M16" i="13" s="1"/>
  <c r="O16" i="13" s="1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L2" i="13"/>
  <c r="K6" i="13"/>
  <c r="K13" i="13"/>
  <c r="U19" i="13"/>
  <c r="W19" i="13" s="1"/>
  <c r="U21" i="13"/>
  <c r="K27" i="13"/>
  <c r="H17" i="14"/>
  <c r="J17" i="14" s="1"/>
  <c r="L17" i="14" s="1"/>
  <c r="N17" i="14" s="1"/>
  <c r="P17" i="14" s="1"/>
  <c r="H14" i="14"/>
  <c r="J14" i="14" s="1"/>
  <c r="L14" i="14" s="1"/>
  <c r="N14" i="14" s="1"/>
  <c r="H9" i="14"/>
  <c r="J9" i="14" s="1"/>
  <c r="L9" i="14" s="1"/>
  <c r="N9" i="14" s="1"/>
  <c r="P9" i="14" s="1"/>
  <c r="R9" i="14" s="1"/>
  <c r="T9" i="14" s="1"/>
  <c r="V9" i="14" s="1"/>
  <c r="X9" i="14" s="1"/>
  <c r="Z9" i="14" s="1"/>
  <c r="AB9" i="14" s="1"/>
  <c r="AD9" i="14" s="1"/>
  <c r="P18" i="14"/>
  <c r="R18" i="14" s="1"/>
  <c r="T18" i="14" s="1"/>
  <c r="V18" i="14" s="1"/>
  <c r="P8" i="14"/>
  <c r="R8" i="14" s="1"/>
  <c r="T8" i="14" s="1"/>
  <c r="V8" i="14" s="1"/>
  <c r="X8" i="14" s="1"/>
  <c r="Z8" i="14" s="1"/>
  <c r="AB8" i="14" s="1"/>
  <c r="AD8" i="14" s="1"/>
  <c r="X17" i="14"/>
  <c r="Z17" i="14" s="1"/>
  <c r="AB17" i="14" s="1"/>
  <c r="H5" i="14"/>
  <c r="X20" i="14"/>
  <c r="Z20" i="14" s="1"/>
  <c r="AB20" i="14" s="1"/>
  <c r="AD20" i="14" s="1"/>
  <c r="H29" i="14" a="1"/>
  <c r="H29" i="14" s="1"/>
  <c r="C72" i="1" s="1"/>
  <c r="C54" i="9" s="1"/>
  <c r="M9" i="17"/>
  <c r="M12" i="17" s="1"/>
  <c r="M17" i="17" s="1"/>
  <c r="E27" i="17"/>
  <c r="F48" i="17"/>
  <c r="E55" i="17"/>
  <c r="E60" i="17" s="1"/>
  <c r="E7" i="1" s="1"/>
  <c r="G7" i="5" s="1"/>
  <c r="D26" i="18"/>
  <c r="M28" i="13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V2" i="13"/>
  <c r="M6" i="13"/>
  <c r="O6" i="13" s="1"/>
  <c r="Q6" i="13" s="1"/>
  <c r="U8" i="13"/>
  <c r="M13" i="13"/>
  <c r="O13" i="13" s="1"/>
  <c r="Q13" i="13" s="1"/>
  <c r="S13" i="13" s="1"/>
  <c r="U13" i="13" s="1"/>
  <c r="W13" i="13" s="1"/>
  <c r="Y13" i="13" s="1"/>
  <c r="AA13" i="13" s="1"/>
  <c r="AC13" i="13" s="1"/>
  <c r="AE13" i="13" s="1"/>
  <c r="W17" i="13"/>
  <c r="W21" i="13"/>
  <c r="M27" i="13"/>
  <c r="O27" i="13" s="1"/>
  <c r="Q27" i="13" s="1"/>
  <c r="S27" i="13" s="1"/>
  <c r="U27" i="13" s="1"/>
  <c r="W27" i="13" s="1"/>
  <c r="Y27" i="13" s="1"/>
  <c r="AA27" i="13" s="1"/>
  <c r="AC27" i="13" s="1"/>
  <c r="AE27" i="13" s="1"/>
  <c r="AF27" i="13" s="1"/>
  <c r="I3" i="14"/>
  <c r="Q3" i="14"/>
  <c r="Y3" i="14"/>
  <c r="H8" i="14"/>
  <c r="J8" i="14" s="1"/>
  <c r="H11" i="14"/>
  <c r="J11" i="14" s="1"/>
  <c r="L11" i="14" s="1"/>
  <c r="H18" i="14"/>
  <c r="J18" i="14" s="1"/>
  <c r="L18" i="14" s="1"/>
  <c r="H20" i="14"/>
  <c r="J20" i="14" s="1"/>
  <c r="L20" i="14" s="1"/>
  <c r="N20" i="14" s="1"/>
  <c r="P20" i="14" s="1"/>
  <c r="C60" i="17"/>
  <c r="C7" i="1" s="1"/>
  <c r="E7" i="5" s="1"/>
  <c r="M74" i="17"/>
  <c r="M85" i="17" s="1"/>
  <c r="J74" i="17"/>
  <c r="J85" i="17" s="1"/>
  <c r="G54" i="17" s="1"/>
  <c r="G55" i="17" s="1"/>
  <c r="H74" i="17"/>
  <c r="D54" i="17" s="1"/>
  <c r="H76" i="17"/>
  <c r="H85" i="17" s="1"/>
  <c r="F54" i="17" s="1"/>
  <c r="H75" i="17"/>
  <c r="E54" i="17" s="1"/>
  <c r="N90" i="19"/>
  <c r="O90" i="19" s="1"/>
  <c r="N2" i="13"/>
  <c r="AF2" i="13"/>
  <c r="W8" i="13"/>
  <c r="Y8" i="13" s="1"/>
  <c r="K11" i="13"/>
  <c r="M11" i="13" s="1"/>
  <c r="O11" i="13" s="1"/>
  <c r="U15" i="13"/>
  <c r="W15" i="13" s="1"/>
  <c r="Y15" i="13" s="1"/>
  <c r="AA15" i="13" s="1"/>
  <c r="AC15" i="13" s="1"/>
  <c r="AE15" i="13" s="1"/>
  <c r="J22" i="14"/>
  <c r="L22" i="14" s="1"/>
  <c r="R21" i="14"/>
  <c r="Z22" i="14"/>
  <c r="AB22" i="14" s="1"/>
  <c r="AD22" i="14" s="1"/>
  <c r="H6" i="14"/>
  <c r="J6" i="14" s="1"/>
  <c r="H16" i="14"/>
  <c r="J16" i="14" s="1"/>
  <c r="L16" i="14" s="1"/>
  <c r="N16" i="14" s="1"/>
  <c r="P16" i="14" s="1"/>
  <c r="R16" i="14" s="1"/>
  <c r="X21" i="14"/>
  <c r="Z21" i="14" s="1"/>
  <c r="D27" i="17"/>
  <c r="I37" i="17"/>
  <c r="G45" i="17"/>
  <c r="G60" i="17" s="1"/>
  <c r="H39" i="17"/>
  <c r="I39" i="17" s="1"/>
  <c r="C73" i="17"/>
  <c r="C74" i="17"/>
  <c r="C78" i="17" s="1"/>
  <c r="E26" i="18"/>
  <c r="H24" i="18"/>
  <c r="F113" i="19"/>
  <c r="F61" i="19" s="1"/>
  <c r="N9" i="20"/>
  <c r="N15" i="20" s="1"/>
  <c r="N20" i="20" s="1"/>
  <c r="G34" i="21"/>
  <c r="F38" i="21"/>
  <c r="F42" i="21" s="1"/>
  <c r="N26" i="18"/>
  <c r="L33" i="18"/>
  <c r="N10" i="19"/>
  <c r="K49" i="19"/>
  <c r="K54" i="19" s="1"/>
  <c r="M56" i="20"/>
  <c r="L56" i="20"/>
  <c r="D58" i="20"/>
  <c r="D62" i="20" s="1"/>
  <c r="D70" i="20" s="1"/>
  <c r="D23" i="1" s="1"/>
  <c r="F14" i="5" s="1"/>
  <c r="K10" i="19"/>
  <c r="H96" i="19"/>
  <c r="I96" i="19" s="1"/>
  <c r="J75" i="20"/>
  <c r="J51" i="20"/>
  <c r="J58" i="20" s="1"/>
  <c r="J62" i="20" s="1"/>
  <c r="J7" i="14"/>
  <c r="L7" i="14" s="1"/>
  <c r="N7" i="14" s="1"/>
  <c r="J12" i="14"/>
  <c r="L12" i="14" s="1"/>
  <c r="N12" i="14" s="1"/>
  <c r="R13" i="14"/>
  <c r="T13" i="14" s="1"/>
  <c r="V13" i="14" s="1"/>
  <c r="X13" i="14" s="1"/>
  <c r="G26" i="18"/>
  <c r="F78" i="18"/>
  <c r="F37" i="18" s="1"/>
  <c r="I40" i="19"/>
  <c r="O52" i="19"/>
  <c r="P51" i="19"/>
  <c r="J40" i="19"/>
  <c r="J8" i="19"/>
  <c r="I113" i="19"/>
  <c r="D9" i="21"/>
  <c r="E9" i="21" s="1"/>
  <c r="F9" i="21" s="1"/>
  <c r="G9" i="21" s="1"/>
  <c r="H9" i="21" s="1"/>
  <c r="I9" i="21" s="1"/>
  <c r="J9" i="21" s="1"/>
  <c r="K9" i="21" s="1"/>
  <c r="L9" i="21" s="1"/>
  <c r="M9" i="21" s="1"/>
  <c r="N9" i="21" s="1"/>
  <c r="M69" i="18"/>
  <c r="M73" i="18" s="1"/>
  <c r="M78" i="18" s="1"/>
  <c r="M37" i="18" s="1"/>
  <c r="B92" i="20"/>
  <c r="B89" i="20"/>
  <c r="L8" i="19"/>
  <c r="L40" i="19"/>
  <c r="L41" i="19" s="1"/>
  <c r="I131" i="19"/>
  <c r="I120" i="19"/>
  <c r="I130" i="19"/>
  <c r="D11" i="20"/>
  <c r="E11" i="20" s="1"/>
  <c r="F11" i="20" s="1"/>
  <c r="G11" i="20" s="1"/>
  <c r="H11" i="20" s="1"/>
  <c r="I11" i="20" s="1"/>
  <c r="J11" i="20" s="1"/>
  <c r="B29" i="20"/>
  <c r="L46" i="20"/>
  <c r="L35" i="20"/>
  <c r="F94" i="20"/>
  <c r="F42" i="20" s="1"/>
  <c r="F46" i="20" s="1"/>
  <c r="F51" i="20" s="1"/>
  <c r="F58" i="20" s="1"/>
  <c r="F62" i="20" s="1"/>
  <c r="J60" i="24"/>
  <c r="F9" i="25" s="1"/>
  <c r="R60" i="24"/>
  <c r="N9" i="25" s="1"/>
  <c r="E101" i="19"/>
  <c r="L120" i="19"/>
  <c r="L130" i="19"/>
  <c r="F102" i="20"/>
  <c r="E18" i="25"/>
  <c r="T35" i="24"/>
  <c r="K45" i="19"/>
  <c r="L45" i="19" s="1"/>
  <c r="N131" i="19"/>
  <c r="N41" i="20"/>
  <c r="N46" i="20" s="1"/>
  <c r="N51" i="20" s="1"/>
  <c r="N58" i="20" s="1"/>
  <c r="N62" i="20" s="1"/>
  <c r="F101" i="19"/>
  <c r="G113" i="19"/>
  <c r="H113" i="19"/>
  <c r="G131" i="19"/>
  <c r="G129" i="19"/>
  <c r="G120" i="19"/>
  <c r="F130" i="19"/>
  <c r="F128" i="19" s="1"/>
  <c r="K24" i="20"/>
  <c r="K27" i="20" s="1"/>
  <c r="K10" i="20"/>
  <c r="M10" i="20"/>
  <c r="L29" i="20"/>
  <c r="F64" i="20"/>
  <c r="O120" i="19"/>
  <c r="F123" i="19"/>
  <c r="F109" i="19" s="1"/>
  <c r="G123" i="19"/>
  <c r="H124" i="19"/>
  <c r="G130" i="19"/>
  <c r="I44" i="21"/>
  <c r="F65" i="21"/>
  <c r="C60" i="21" s="1"/>
  <c r="C28" i="1" s="1"/>
  <c r="E18" i="5" s="1"/>
  <c r="G64" i="21"/>
  <c r="G33" i="22"/>
  <c r="G78" i="1" s="1"/>
  <c r="I20" i="5" s="1"/>
  <c r="N14" i="27"/>
  <c r="N25" i="27" s="1"/>
  <c r="N31" i="27" s="1"/>
  <c r="L29" i="27"/>
  <c r="S32" i="27"/>
  <c r="Q27" i="22"/>
  <c r="Q30" i="22" s="1"/>
  <c r="M53" i="24"/>
  <c r="M60" i="24" s="1"/>
  <c r="I9" i="25" s="1"/>
  <c r="U60" i="24"/>
  <c r="Q9" i="25" s="1"/>
  <c r="L25" i="27"/>
  <c r="L31" i="27" s="1"/>
  <c r="L32" i="27" s="1"/>
  <c r="L72" i="27"/>
  <c r="L73" i="27"/>
  <c r="T72" i="27"/>
  <c r="T68" i="27"/>
  <c r="T73" i="27"/>
  <c r="K130" i="19"/>
  <c r="C46" i="20"/>
  <c r="C51" i="20" s="1"/>
  <c r="C58" i="20" s="1"/>
  <c r="C62" i="20" s="1"/>
  <c r="C70" i="20" s="1"/>
  <c r="C23" i="1" s="1"/>
  <c r="E14" i="5" s="1"/>
  <c r="G68" i="21"/>
  <c r="I26" i="22"/>
  <c r="Q29" i="22"/>
  <c r="Q31" i="22" s="1"/>
  <c r="U58" i="27"/>
  <c r="U60" i="27" s="1"/>
  <c r="Q49" i="33"/>
  <c r="Q78" i="28" s="1"/>
  <c r="Q48" i="33"/>
  <c r="Q77" i="28" s="1"/>
  <c r="T57" i="28"/>
  <c r="T58" i="28" s="1"/>
  <c r="T69" i="28" s="1"/>
  <c r="O48" i="33"/>
  <c r="O77" i="28" s="1"/>
  <c r="O50" i="33"/>
  <c r="O79" i="28" s="1"/>
  <c r="O49" i="33"/>
  <c r="O78" i="28" s="1"/>
  <c r="J27" i="24"/>
  <c r="J57" i="27"/>
  <c r="J58" i="27" s="1"/>
  <c r="F89" i="20"/>
  <c r="Q60" i="24"/>
  <c r="M9" i="25" s="1"/>
  <c r="P46" i="27"/>
  <c r="P52" i="27" s="1"/>
  <c r="P53" i="27" s="1"/>
  <c r="O14" i="27"/>
  <c r="O25" i="27" s="1"/>
  <c r="O31" i="27" s="1"/>
  <c r="O32" i="27" s="1"/>
  <c r="R14" i="27"/>
  <c r="Q14" i="27"/>
  <c r="Q25" i="27" s="1"/>
  <c r="Q31" i="27" s="1"/>
  <c r="L57" i="28"/>
  <c r="L58" i="28" s="1"/>
  <c r="L69" i="28" s="1"/>
  <c r="N72" i="28"/>
  <c r="N73" i="28"/>
  <c r="K46" i="20"/>
  <c r="E26" i="21"/>
  <c r="M26" i="21"/>
  <c r="K60" i="24"/>
  <c r="G9" i="25" s="1"/>
  <c r="O72" i="28"/>
  <c r="P30" i="30"/>
  <c r="P79" i="24" s="1"/>
  <c r="P31" i="30"/>
  <c r="P80" i="24" s="1"/>
  <c r="K30" i="30"/>
  <c r="K79" i="24" s="1"/>
  <c r="K32" i="30"/>
  <c r="K81" i="24" s="1"/>
  <c r="R12" i="27"/>
  <c r="Q46" i="27"/>
  <c r="Q52" i="27" s="1"/>
  <c r="Q53" i="27" s="1"/>
  <c r="K50" i="27"/>
  <c r="L50" i="27" s="1"/>
  <c r="M50" i="27" s="1"/>
  <c r="N50" i="27" s="1"/>
  <c r="O50" i="27" s="1"/>
  <c r="P50" i="27" s="1"/>
  <c r="Q50" i="27" s="1"/>
  <c r="R50" i="27" s="1"/>
  <c r="S50" i="27" s="1"/>
  <c r="T50" i="27" s="1"/>
  <c r="U50" i="27" s="1"/>
  <c r="M72" i="27"/>
  <c r="M73" i="27"/>
  <c r="U73" i="27"/>
  <c r="U68" i="27"/>
  <c r="J50" i="28"/>
  <c r="K50" i="28" s="1"/>
  <c r="L50" i="28" s="1"/>
  <c r="M50" i="28" s="1"/>
  <c r="N50" i="28" s="1"/>
  <c r="O50" i="28" s="1"/>
  <c r="P50" i="28" s="1"/>
  <c r="Q50" i="28" s="1"/>
  <c r="R50" i="28" s="1"/>
  <c r="S50" i="28" s="1"/>
  <c r="T50" i="28" s="1"/>
  <c r="U50" i="28" s="1"/>
  <c r="J72" i="28"/>
  <c r="J74" i="28" s="1"/>
  <c r="L31" i="30"/>
  <c r="L80" i="24" s="1"/>
  <c r="J50" i="33"/>
  <c r="J79" i="28" s="1"/>
  <c r="J49" i="33"/>
  <c r="J78" i="28" s="1"/>
  <c r="J48" i="33"/>
  <c r="J77" i="28" s="1"/>
  <c r="R50" i="33"/>
  <c r="R79" i="28" s="1"/>
  <c r="R48" i="33"/>
  <c r="R77" i="28" s="1"/>
  <c r="P48" i="33"/>
  <c r="P77" i="28" s="1"/>
  <c r="P50" i="33"/>
  <c r="P79" i="28" s="1"/>
  <c r="L32" i="30"/>
  <c r="L81" i="24" s="1"/>
  <c r="R32" i="30"/>
  <c r="R81" i="24" s="1"/>
  <c r="Q32" i="30"/>
  <c r="Q81" i="24" s="1"/>
  <c r="F8" i="34"/>
  <c r="E8" i="34" s="1"/>
  <c r="J33" i="30" s="1"/>
  <c r="J82" i="24" s="1"/>
  <c r="J42" i="24" s="1"/>
  <c r="J44" i="24" s="1"/>
  <c r="P32" i="30"/>
  <c r="P81" i="24" s="1"/>
  <c r="M32" i="30"/>
  <c r="M81" i="24" s="1"/>
  <c r="U32" i="30"/>
  <c r="U81" i="24" s="1"/>
  <c r="T32" i="30"/>
  <c r="T81" i="24" s="1"/>
  <c r="F19" i="34"/>
  <c r="E19" i="34" s="1"/>
  <c r="L33" i="31"/>
  <c r="L79" i="26" s="1"/>
  <c r="L25" i="24" s="1"/>
  <c r="T48" i="32"/>
  <c r="T80" i="27" s="1"/>
  <c r="S48" i="32"/>
  <c r="S80" i="27" s="1"/>
  <c r="O60" i="24"/>
  <c r="K9" i="25" s="1"/>
  <c r="K52" i="27"/>
  <c r="K53" i="27" s="1"/>
  <c r="K60" i="27" s="1"/>
  <c r="U72" i="27"/>
  <c r="Q46" i="28"/>
  <c r="Q52" i="28" s="1"/>
  <c r="J48" i="32"/>
  <c r="J80" i="27" s="1"/>
  <c r="H26" i="22"/>
  <c r="J33" i="22" s="1"/>
  <c r="P60" i="24"/>
  <c r="L9" i="25" s="1"/>
  <c r="S32" i="30"/>
  <c r="S81" i="24" s="1"/>
  <c r="R48" i="32"/>
  <c r="R80" i="27" s="1"/>
  <c r="R49" i="33"/>
  <c r="R78" i="28" s="1"/>
  <c r="J68" i="27"/>
  <c r="M68" i="27"/>
  <c r="Q72" i="28"/>
  <c r="Q31" i="30"/>
  <c r="Q80" i="24" s="1"/>
  <c r="Q30" i="30"/>
  <c r="Q79" i="24" s="1"/>
  <c r="T31" i="30"/>
  <c r="T80" i="24" s="1"/>
  <c r="T30" i="30"/>
  <c r="T79" i="24" s="1"/>
  <c r="O31" i="30"/>
  <c r="O80" i="24" s="1"/>
  <c r="M30" i="30"/>
  <c r="M79" i="24" s="1"/>
  <c r="K50" i="33"/>
  <c r="K79" i="28" s="1"/>
  <c r="K49" i="33"/>
  <c r="K78" i="28" s="1"/>
  <c r="K48" i="33"/>
  <c r="K77" i="28" s="1"/>
  <c r="S48" i="33"/>
  <c r="S77" i="28" s="1"/>
  <c r="S50" i="33"/>
  <c r="S79" i="28" s="1"/>
  <c r="N50" i="33"/>
  <c r="N79" i="28" s="1"/>
  <c r="Q51" i="33"/>
  <c r="Q80" i="28" s="1"/>
  <c r="P51" i="33"/>
  <c r="P80" i="28" s="1"/>
  <c r="O51" i="33"/>
  <c r="O80" i="28" s="1"/>
  <c r="L51" i="33"/>
  <c r="L80" i="28" s="1"/>
  <c r="U51" i="33"/>
  <c r="U80" i="28" s="1"/>
  <c r="K51" i="33"/>
  <c r="K80" i="28" s="1"/>
  <c r="T51" i="33"/>
  <c r="T80" i="28" s="1"/>
  <c r="J51" i="33"/>
  <c r="J80" i="28" s="1"/>
  <c r="S51" i="33"/>
  <c r="S80" i="28" s="1"/>
  <c r="R51" i="33"/>
  <c r="R80" i="28" s="1"/>
  <c r="L46" i="27"/>
  <c r="L52" i="27" s="1"/>
  <c r="L53" i="27" s="1"/>
  <c r="J72" i="27"/>
  <c r="J74" i="27" s="1"/>
  <c r="U73" i="28"/>
  <c r="J30" i="30"/>
  <c r="J79" i="24" s="1"/>
  <c r="R30" i="30"/>
  <c r="R79" i="24" s="1"/>
  <c r="U30" i="30"/>
  <c r="U79" i="24" s="1"/>
  <c r="N47" i="32"/>
  <c r="N79" i="27" s="1"/>
  <c r="S33" i="31"/>
  <c r="S79" i="26" s="1"/>
  <c r="S25" i="24" s="1"/>
  <c r="L69" i="27"/>
  <c r="T69" i="27"/>
  <c r="T70" i="27" s="1"/>
  <c r="O45" i="32"/>
  <c r="O77" i="27" s="1"/>
  <c r="R46" i="32"/>
  <c r="R78" i="27" s="1"/>
  <c r="M51" i="33"/>
  <c r="M80" i="28" s="1"/>
  <c r="Q73" i="27"/>
  <c r="Q72" i="27"/>
  <c r="K29" i="28"/>
  <c r="R46" i="28"/>
  <c r="R52" i="28" s="1"/>
  <c r="R53" i="28" s="1"/>
  <c r="P47" i="32"/>
  <c r="P79" i="27" s="1"/>
  <c r="P45" i="32"/>
  <c r="P77" i="27" s="1"/>
  <c r="S46" i="32"/>
  <c r="S78" i="27" s="1"/>
  <c r="S45" i="32"/>
  <c r="S77" i="27" s="1"/>
  <c r="J45" i="32"/>
  <c r="J77" i="27" s="1"/>
  <c r="N48" i="33"/>
  <c r="N77" i="28" s="1"/>
  <c r="N51" i="33"/>
  <c r="N80" i="28" s="1"/>
  <c r="O33" i="31"/>
  <c r="O79" i="26" s="1"/>
  <c r="U33" i="31"/>
  <c r="U79" i="26" s="1"/>
  <c r="U25" i="24" s="1"/>
  <c r="T33" i="31"/>
  <c r="T79" i="26" s="1"/>
  <c r="F17" i="34"/>
  <c r="E17" i="34" s="1"/>
  <c r="M34" i="31" s="1"/>
  <c r="M80" i="26" s="1"/>
  <c r="Q33" i="31"/>
  <c r="Q79" i="26" s="1"/>
  <c r="P33" i="31"/>
  <c r="P79" i="26" s="1"/>
  <c r="P25" i="24" s="1"/>
  <c r="T39" i="28"/>
  <c r="S46" i="28"/>
  <c r="S52" i="28" s="1"/>
  <c r="S53" i="28" s="1"/>
  <c r="J33" i="31"/>
  <c r="J79" i="26" s="1"/>
  <c r="J31" i="31"/>
  <c r="J77" i="26" s="1"/>
  <c r="J32" i="31"/>
  <c r="J78" i="26" s="1"/>
  <c r="R33" i="31"/>
  <c r="R79" i="26" s="1"/>
  <c r="R31" i="31"/>
  <c r="R77" i="26" s="1"/>
  <c r="R32" i="31"/>
  <c r="R78" i="26" s="1"/>
  <c r="Q46" i="32"/>
  <c r="Q78" i="27" s="1"/>
  <c r="Q47" i="32"/>
  <c r="Q79" i="27" s="1"/>
  <c r="Q45" i="32"/>
  <c r="Q77" i="27" s="1"/>
  <c r="R33" i="30"/>
  <c r="R82" i="24" s="1"/>
  <c r="R42" i="24" s="1"/>
  <c r="R44" i="24" s="1"/>
  <c r="P33" i="30"/>
  <c r="P82" i="24" s="1"/>
  <c r="P42" i="24" s="1"/>
  <c r="P44" i="24" s="1"/>
  <c r="Q48" i="32"/>
  <c r="Q80" i="27" s="1"/>
  <c r="P48" i="32"/>
  <c r="P80" i="27" s="1"/>
  <c r="U48" i="32"/>
  <c r="U80" i="27" s="1"/>
  <c r="K48" i="32"/>
  <c r="K80" i="27" s="1"/>
  <c r="O48" i="32"/>
  <c r="O80" i="27" s="1"/>
  <c r="N48" i="32"/>
  <c r="N80" i="27" s="1"/>
  <c r="M48" i="32"/>
  <c r="M80" i="27" s="1"/>
  <c r="L48" i="32"/>
  <c r="L80" i="27" s="1"/>
  <c r="S47" i="32"/>
  <c r="S79" i="27" s="1"/>
  <c r="N49" i="33"/>
  <c r="N78" i="28" s="1"/>
  <c r="O32" i="30"/>
  <c r="O81" i="24" s="1"/>
  <c r="T31" i="31"/>
  <c r="T77" i="26" s="1"/>
  <c r="L45" i="32"/>
  <c r="L77" i="27" s="1"/>
  <c r="T45" i="32"/>
  <c r="T77" i="27" s="1"/>
  <c r="N46" i="32"/>
  <c r="N78" i="27" s="1"/>
  <c r="M48" i="33"/>
  <c r="M77" i="28" s="1"/>
  <c r="U48" i="33"/>
  <c r="U77" i="28" s="1"/>
  <c r="U31" i="31"/>
  <c r="U77" i="26" s="1"/>
  <c r="M45" i="32"/>
  <c r="M77" i="27" s="1"/>
  <c r="U45" i="32"/>
  <c r="U77" i="27" s="1"/>
  <c r="O46" i="32"/>
  <c r="O78" i="27" s="1"/>
  <c r="U49" i="33"/>
  <c r="U78" i="28" s="1"/>
  <c r="N32" i="30"/>
  <c r="N81" i="24" s="1"/>
  <c r="N30" i="30"/>
  <c r="N79" i="24" s="1"/>
  <c r="R45" i="32"/>
  <c r="R77" i="27" s="1"/>
  <c r="T47" i="32"/>
  <c r="T79" i="27" s="1"/>
  <c r="T27" i="24" s="1"/>
  <c r="L47" i="32"/>
  <c r="L79" i="27" s="1"/>
  <c r="L27" i="24" s="1"/>
  <c r="U50" i="33"/>
  <c r="U79" i="28" s="1"/>
  <c r="M50" i="33"/>
  <c r="M79" i="28" s="1"/>
  <c r="T50" i="33"/>
  <c r="T79" i="28" s="1"/>
  <c r="T26" i="24" s="1"/>
  <c r="L50" i="33"/>
  <c r="L79" i="28" s="1"/>
  <c r="L26" i="24" s="1"/>
  <c r="K72" i="27"/>
  <c r="S72" i="27"/>
  <c r="O30" i="30"/>
  <c r="O79" i="24" s="1"/>
  <c r="O32" i="31"/>
  <c r="O78" i="26" s="1"/>
  <c r="M49" i="33"/>
  <c r="M78" i="28" s="1"/>
  <c r="R31" i="30"/>
  <c r="R80" i="24" s="1"/>
  <c r="J31" i="30"/>
  <c r="J80" i="24" s="1"/>
  <c r="N32" i="31"/>
  <c r="N78" i="26" s="1"/>
  <c r="P46" i="32"/>
  <c r="P78" i="27" s="1"/>
  <c r="P49" i="33"/>
  <c r="P78" i="28" s="1"/>
  <c r="U47" i="32"/>
  <c r="U79" i="27" s="1"/>
  <c r="U27" i="24" s="1"/>
  <c r="K69" i="27"/>
  <c r="K73" i="27"/>
  <c r="T72" i="28"/>
  <c r="K31" i="30"/>
  <c r="K80" i="24" s="1"/>
  <c r="S31" i="30"/>
  <c r="S80" i="24" s="1"/>
  <c r="N31" i="30"/>
  <c r="N80" i="24" s="1"/>
  <c r="K31" i="31"/>
  <c r="K77" i="26" s="1"/>
  <c r="S31" i="31"/>
  <c r="S77" i="26" s="1"/>
  <c r="Q32" i="31"/>
  <c r="Q78" i="26" s="1"/>
  <c r="M46" i="32"/>
  <c r="M78" i="27" s="1"/>
  <c r="K47" i="32"/>
  <c r="K79" i="27" s="1"/>
  <c r="K27" i="24" s="1"/>
  <c r="L48" i="33"/>
  <c r="L77" i="28" s="1"/>
  <c r="T48" i="33"/>
  <c r="T77" i="28" s="1"/>
  <c r="S49" i="33"/>
  <c r="S78" i="28" s="1"/>
  <c r="Q50" i="33"/>
  <c r="Q79" i="28" s="1"/>
  <c r="J68" i="28"/>
  <c r="K68" i="28"/>
  <c r="K33" i="31"/>
  <c r="K79" i="26" s="1"/>
  <c r="M47" i="32"/>
  <c r="M79" i="27" s="1"/>
  <c r="L32" i="26" l="1"/>
  <c r="L60" i="26" s="1"/>
  <c r="L68" i="26"/>
  <c r="L70" i="26" s="1"/>
  <c r="E47" i="1" s="1"/>
  <c r="M68" i="26"/>
  <c r="J74" i="26"/>
  <c r="L29" i="26"/>
  <c r="L60" i="27"/>
  <c r="O68" i="27"/>
  <c r="K68" i="27"/>
  <c r="L68" i="27"/>
  <c r="K69" i="26"/>
  <c r="K25" i="24"/>
  <c r="K70" i="26"/>
  <c r="T25" i="24"/>
  <c r="U69" i="27"/>
  <c r="U70" i="27" s="1"/>
  <c r="L60" i="28"/>
  <c r="L87" i="24" s="1"/>
  <c r="W18" i="14"/>
  <c r="X18" i="14"/>
  <c r="Z18" i="14" s="1"/>
  <c r="AB18" i="14" s="1"/>
  <c r="AD18" i="14" s="1"/>
  <c r="Q32" i="27"/>
  <c r="Q68" i="27"/>
  <c r="R29" i="13"/>
  <c r="S29" i="13"/>
  <c r="U29" i="13" s="1"/>
  <c r="W29" i="13" s="1"/>
  <c r="Y29" i="13" s="1"/>
  <c r="AA29" i="13" s="1"/>
  <c r="AC29" i="13" s="1"/>
  <c r="AE29" i="13" s="1"/>
  <c r="AF29" i="13" s="1"/>
  <c r="AF43" i="13" s="1"/>
  <c r="W19" i="14"/>
  <c r="X19" i="14"/>
  <c r="Z19" i="14" s="1"/>
  <c r="AB19" i="14" s="1"/>
  <c r="AD19" i="14" s="1"/>
  <c r="V18" i="13"/>
  <c r="W18" i="13" s="1"/>
  <c r="R23" i="13"/>
  <c r="S23" i="13"/>
  <c r="U23" i="13" s="1"/>
  <c r="W23" i="13" s="1"/>
  <c r="Y23" i="13" s="1"/>
  <c r="AA23" i="13" s="1"/>
  <c r="AC23" i="13" s="1"/>
  <c r="AE23" i="13" s="1"/>
  <c r="K33" i="22"/>
  <c r="J78" i="1"/>
  <c r="L20" i="5" s="1"/>
  <c r="N48" i="18"/>
  <c r="M40" i="18"/>
  <c r="M45" i="18" s="1"/>
  <c r="M53" i="18" s="1"/>
  <c r="P20" i="13"/>
  <c r="Q20" i="13" s="1"/>
  <c r="S20" i="13" s="1"/>
  <c r="U20" i="13" s="1"/>
  <c r="W20" i="13" s="1"/>
  <c r="L6" i="24"/>
  <c r="X10" i="14"/>
  <c r="Z10" i="14" s="1"/>
  <c r="AB10" i="14" s="1"/>
  <c r="AD10" i="14" s="1"/>
  <c r="W10" i="14"/>
  <c r="Z13" i="14"/>
  <c r="AB13" i="14" s="1"/>
  <c r="AD13" i="14" s="1"/>
  <c r="Y13" i="14"/>
  <c r="R6" i="13"/>
  <c r="S6" i="13"/>
  <c r="U6" i="13" s="1"/>
  <c r="W6" i="13" s="1"/>
  <c r="Y6" i="13" s="1"/>
  <c r="AA6" i="13" s="1"/>
  <c r="AC6" i="13" s="1"/>
  <c r="AE6" i="13" s="1"/>
  <c r="R25" i="13"/>
  <c r="S25" i="13" s="1"/>
  <c r="U25" i="13" s="1"/>
  <c r="W25" i="13" s="1"/>
  <c r="Y25" i="13" s="1"/>
  <c r="AA25" i="13" s="1"/>
  <c r="AC25" i="13" s="1"/>
  <c r="AE25" i="13" s="1"/>
  <c r="R22" i="13"/>
  <c r="S22" i="13"/>
  <c r="U22" i="13" s="1"/>
  <c r="W22" i="13" s="1"/>
  <c r="Y22" i="13" s="1"/>
  <c r="AA22" i="13" s="1"/>
  <c r="AC22" i="13" s="1"/>
  <c r="AE22" i="13" s="1"/>
  <c r="W11" i="14"/>
  <c r="X11" i="14"/>
  <c r="E106" i="12" a="1"/>
  <c r="E106" i="12" s="1"/>
  <c r="J72" i="24"/>
  <c r="K74" i="26"/>
  <c r="O7" i="14"/>
  <c r="P7" i="14"/>
  <c r="Z26" i="13"/>
  <c r="AA26" i="13"/>
  <c r="AC26" i="13" s="1"/>
  <c r="AE26" i="13" s="1"/>
  <c r="X5" i="13"/>
  <c r="Y5" i="13"/>
  <c r="AA5" i="13" s="1"/>
  <c r="AC5" i="13" s="1"/>
  <c r="AE5" i="13" s="1"/>
  <c r="E17" i="5"/>
  <c r="I17" i="4" s="1"/>
  <c r="I18" i="4"/>
  <c r="S16" i="14"/>
  <c r="T16" i="14"/>
  <c r="V16" i="14" s="1"/>
  <c r="X16" i="14" s="1"/>
  <c r="X19" i="13"/>
  <c r="Y19" i="13"/>
  <c r="AA19" i="13" s="1"/>
  <c r="AC19" i="13" s="1"/>
  <c r="AE19" i="13" s="1"/>
  <c r="R24" i="13"/>
  <c r="S24" i="13"/>
  <c r="U24" i="13" s="1"/>
  <c r="W24" i="13" s="1"/>
  <c r="Y24" i="13" s="1"/>
  <c r="AA24" i="13" s="1"/>
  <c r="AC24" i="13" s="1"/>
  <c r="AE24" i="13" s="1"/>
  <c r="K6" i="24"/>
  <c r="D47" i="1"/>
  <c r="K7" i="4"/>
  <c r="G6" i="5"/>
  <c r="K6" i="4" s="1"/>
  <c r="M4" i="13"/>
  <c r="M85" i="24"/>
  <c r="F46" i="1"/>
  <c r="Q25" i="24"/>
  <c r="Q57" i="26"/>
  <c r="Q58" i="26" s="1"/>
  <c r="Q69" i="26" s="1"/>
  <c r="O57" i="27"/>
  <c r="O58" i="27" s="1"/>
  <c r="O27" i="24"/>
  <c r="R34" i="31"/>
  <c r="R80" i="26" s="1"/>
  <c r="G128" i="19"/>
  <c r="H45" i="17"/>
  <c r="H60" i="17" s="1"/>
  <c r="H7" i="1" s="1"/>
  <c r="J7" i="5" s="1"/>
  <c r="M27" i="17"/>
  <c r="P64" i="17" s="1"/>
  <c r="M5" i="1"/>
  <c r="M30" i="9" s="1"/>
  <c r="M36" i="9" s="1"/>
  <c r="M46" i="9" s="1"/>
  <c r="J130" i="19"/>
  <c r="I95" i="19"/>
  <c r="C95" i="19"/>
  <c r="C101" i="19" s="1"/>
  <c r="H101" i="19"/>
  <c r="D26" i="11"/>
  <c r="A149" i="12"/>
  <c r="C103" i="12" a="1"/>
  <c r="C103" i="12" s="1"/>
  <c r="H72" i="12"/>
  <c r="A163" i="12"/>
  <c r="C117" i="12" a="1"/>
  <c r="C117" i="12" s="1"/>
  <c r="D117" i="12" s="1" a="1"/>
  <c r="D117" i="12" s="1"/>
  <c r="F92" i="12" a="1"/>
  <c r="F92" i="12" s="1"/>
  <c r="H66" i="12"/>
  <c r="K85" i="24"/>
  <c r="D46" i="1"/>
  <c r="Q57" i="27"/>
  <c r="Q58" i="27" s="1"/>
  <c r="Q69" i="27" s="1"/>
  <c r="Q70" i="27" s="1"/>
  <c r="Q27" i="24"/>
  <c r="U39" i="28"/>
  <c r="U46" i="28" s="1"/>
  <c r="U52" i="28" s="1"/>
  <c r="T46" i="28"/>
  <c r="T52" i="28" s="1"/>
  <c r="L29" i="28"/>
  <c r="K62" i="28"/>
  <c r="K67" i="24" s="1"/>
  <c r="T8" i="24"/>
  <c r="M56" i="1"/>
  <c r="K74" i="27"/>
  <c r="J74" i="24"/>
  <c r="O25" i="24"/>
  <c r="O57" i="26"/>
  <c r="O58" i="26" s="1"/>
  <c r="O69" i="26" s="1"/>
  <c r="L33" i="30"/>
  <c r="L82" i="24" s="1"/>
  <c r="L70" i="27"/>
  <c r="K57" i="28"/>
  <c r="K58" i="28" s="1"/>
  <c r="K26" i="24"/>
  <c r="K86" i="24"/>
  <c r="D55" i="1"/>
  <c r="U86" i="24"/>
  <c r="N55" i="1"/>
  <c r="O57" i="28"/>
  <c r="O58" i="28" s="1"/>
  <c r="O26" i="24"/>
  <c r="H129" i="19"/>
  <c r="H128" i="19" s="1"/>
  <c r="I124" i="19"/>
  <c r="H123" i="19"/>
  <c r="H109" i="19" s="1"/>
  <c r="M131" i="19"/>
  <c r="H26" i="18"/>
  <c r="H32" i="1"/>
  <c r="H43" i="9" s="1"/>
  <c r="H44" i="9" s="1"/>
  <c r="I7" i="4"/>
  <c r="E6" i="5"/>
  <c r="I6" i="4" s="1"/>
  <c r="M10" i="17"/>
  <c r="K37" i="17"/>
  <c r="J45" i="17"/>
  <c r="J60" i="17" s="1"/>
  <c r="K12" i="13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J12" i="13"/>
  <c r="J43" i="13" s="1"/>
  <c r="C68" i="1" s="1"/>
  <c r="C59" i="9" s="1"/>
  <c r="C62" i="9" s="1"/>
  <c r="C64" i="9" s="1"/>
  <c r="V43" i="13"/>
  <c r="I68" i="1" s="1"/>
  <c r="I59" i="9" s="1"/>
  <c r="I62" i="9" s="1"/>
  <c r="I64" i="9" s="1"/>
  <c r="G104" i="19"/>
  <c r="G105" i="19" s="1"/>
  <c r="H59" i="19"/>
  <c r="F65" i="12" a="1"/>
  <c r="F65" i="12" s="1"/>
  <c r="J65" i="12" s="1"/>
  <c r="K65" i="12" s="1"/>
  <c r="G44" i="12"/>
  <c r="F97" i="12" a="1"/>
  <c r="F97" i="12" s="1"/>
  <c r="J61" i="12" s="1"/>
  <c r="F83" i="12" a="1"/>
  <c r="F83" i="12" s="1"/>
  <c r="F85" i="12" a="1"/>
  <c r="F85" i="12" s="1"/>
  <c r="A148" i="12"/>
  <c r="D102" i="12" a="1"/>
  <c r="D102" i="12" s="1"/>
  <c r="C102" i="12" a="1"/>
  <c r="C102" i="12" s="1"/>
  <c r="E102" i="12" a="1"/>
  <c r="E102" i="12" s="1"/>
  <c r="F102" i="12" s="1" a="1"/>
  <c r="F102" i="12" s="1"/>
  <c r="H65" i="12"/>
  <c r="G65" i="12"/>
  <c r="F90" i="12" a="1"/>
  <c r="F90" i="12" s="1"/>
  <c r="F93" i="12" a="1"/>
  <c r="F93" i="12" s="1"/>
  <c r="A159" i="12"/>
  <c r="C113" i="12" a="1"/>
  <c r="C113" i="12" s="1"/>
  <c r="F77" i="12" a="1"/>
  <c r="F77" i="12" s="1"/>
  <c r="H62" i="12"/>
  <c r="P48" i="4"/>
  <c r="AK48" i="4" s="1"/>
  <c r="A162" i="12"/>
  <c r="C116" i="12" a="1"/>
  <c r="C116" i="12" s="1"/>
  <c r="D116" i="12" a="1"/>
  <c r="D116" i="12" s="1"/>
  <c r="F86" i="12" a="1"/>
  <c r="F86" i="12" s="1"/>
  <c r="N25" i="26"/>
  <c r="E11" i="10"/>
  <c r="D93" i="1"/>
  <c r="D49" i="15" s="1"/>
  <c r="N48" i="4"/>
  <c r="AI48" i="4" s="1"/>
  <c r="K70" i="27"/>
  <c r="R25" i="24"/>
  <c r="R57" i="26"/>
  <c r="R58" i="26" s="1"/>
  <c r="R69" i="26" s="1"/>
  <c r="U8" i="24"/>
  <c r="N56" i="1"/>
  <c r="L86" i="24"/>
  <c r="E55" i="1"/>
  <c r="S34" i="31"/>
  <c r="S80" i="26" s="1"/>
  <c r="L49" i="19"/>
  <c r="L54" i="19" s="1"/>
  <c r="M45" i="19"/>
  <c r="G38" i="21"/>
  <c r="G42" i="21" s="1"/>
  <c r="H34" i="21"/>
  <c r="P29" i="14" a="1"/>
  <c r="P29" i="14" s="1"/>
  <c r="G72" i="1" s="1"/>
  <c r="G54" i="9" s="1"/>
  <c r="G56" i="9" s="1"/>
  <c r="N9" i="17"/>
  <c r="N12" i="17" s="1"/>
  <c r="N17" i="17" s="1"/>
  <c r="O15" i="14"/>
  <c r="P15" i="14"/>
  <c r="R15" i="14" s="1"/>
  <c r="T15" i="14" s="1"/>
  <c r="V15" i="14" s="1"/>
  <c r="X15" i="14" s="1"/>
  <c r="Z15" i="14" s="1"/>
  <c r="AB15" i="14" s="1"/>
  <c r="AD15" i="14" s="1"/>
  <c r="E8" i="16"/>
  <c r="F4" i="16"/>
  <c r="J87" i="12"/>
  <c r="K87" i="12" s="1"/>
  <c r="G9" i="19"/>
  <c r="G15" i="19" s="1"/>
  <c r="G10" i="19"/>
  <c r="AA21" i="13"/>
  <c r="AC21" i="13" s="1"/>
  <c r="AE21" i="13" s="1"/>
  <c r="D107" i="12" a="1"/>
  <c r="D107" i="12" s="1"/>
  <c r="A153" i="12"/>
  <c r="C107" i="12" a="1"/>
  <c r="C107" i="12" s="1"/>
  <c r="E107" i="12" a="1"/>
  <c r="E107" i="12" s="1"/>
  <c r="F107" i="12" a="1"/>
  <c r="F107" i="12" s="1"/>
  <c r="G107" i="12" s="1" a="1"/>
  <c r="G107" i="12" s="1"/>
  <c r="M10" i="19"/>
  <c r="M9" i="19"/>
  <c r="M15" i="19" s="1"/>
  <c r="G90" i="12"/>
  <c r="H90" i="12" s="1"/>
  <c r="F72" i="12" a="1"/>
  <c r="F72" i="12" s="1"/>
  <c r="J72" i="12" s="1"/>
  <c r="F67" i="12" a="1"/>
  <c r="F67" i="12" s="1"/>
  <c r="M56" i="9"/>
  <c r="M64" i="9" s="1"/>
  <c r="T5" i="14"/>
  <c r="D104" i="12" a="1"/>
  <c r="D104" i="12" s="1"/>
  <c r="A179" i="12"/>
  <c r="C133" i="12" a="1"/>
  <c r="C133" i="12" s="1"/>
  <c r="D133" i="12" a="1"/>
  <c r="D133" i="12" s="1"/>
  <c r="E133" i="12" s="1" a="1"/>
  <c r="E133" i="12" s="1"/>
  <c r="H82" i="12"/>
  <c r="C127" i="12" a="1"/>
  <c r="C127" i="12" s="1"/>
  <c r="D127" i="12" s="1" a="1"/>
  <c r="D127" i="12" s="1"/>
  <c r="A173" i="12"/>
  <c r="P7" i="26"/>
  <c r="O27" i="26"/>
  <c r="S57" i="28"/>
  <c r="S58" i="28" s="1"/>
  <c r="S69" i="28" s="1"/>
  <c r="S26" i="24"/>
  <c r="U34" i="31"/>
  <c r="U80" i="26" s="1"/>
  <c r="T34" i="31"/>
  <c r="T80" i="26" s="1"/>
  <c r="L34" i="31"/>
  <c r="L80" i="26" s="1"/>
  <c r="K34" i="31"/>
  <c r="K80" i="26" s="1"/>
  <c r="J34" i="31"/>
  <c r="J80" i="26" s="1"/>
  <c r="P52" i="19"/>
  <c r="Q51" i="19"/>
  <c r="Q52" i="19" s="1"/>
  <c r="Z43" i="13"/>
  <c r="K68" i="1" s="1"/>
  <c r="K59" i="9" s="1"/>
  <c r="N125" i="19"/>
  <c r="M130" i="19"/>
  <c r="O57" i="19"/>
  <c r="O54" i="19"/>
  <c r="W14" i="14"/>
  <c r="X14" i="14" s="1"/>
  <c r="Z14" i="14" s="1"/>
  <c r="AB14" i="14" s="1"/>
  <c r="AD14" i="14" s="1"/>
  <c r="G87" i="12"/>
  <c r="H87" i="12" s="1"/>
  <c r="H91" i="12"/>
  <c r="J48" i="4"/>
  <c r="H78" i="12"/>
  <c r="H64" i="12"/>
  <c r="H88" i="12"/>
  <c r="G86" i="12"/>
  <c r="H86" i="12" s="1"/>
  <c r="N34" i="31"/>
  <c r="N80" i="26" s="1"/>
  <c r="U33" i="30"/>
  <c r="U82" i="24" s="1"/>
  <c r="U42" i="24" s="1"/>
  <c r="U44" i="24" s="1"/>
  <c r="T33" i="30"/>
  <c r="T82" i="24" s="1"/>
  <c r="T42" i="24" s="1"/>
  <c r="T44" i="24" s="1"/>
  <c r="Q33" i="30"/>
  <c r="Q82" i="24" s="1"/>
  <c r="Q42" i="24" s="1"/>
  <c r="Q44" i="24" s="1"/>
  <c r="P28" i="24"/>
  <c r="K51" i="20"/>
  <c r="K58" i="20" s="1"/>
  <c r="K62" i="20" s="1"/>
  <c r="K53" i="20"/>
  <c r="M20" i="4"/>
  <c r="AH20" i="4" s="1"/>
  <c r="I19" i="5"/>
  <c r="M19" i="4" s="1"/>
  <c r="AH19" i="4" s="1"/>
  <c r="K29" i="20"/>
  <c r="K22" i="1"/>
  <c r="K40" i="9" s="1"/>
  <c r="K44" i="9" s="1"/>
  <c r="L10" i="19"/>
  <c r="L9" i="19"/>
  <c r="L15" i="19" s="1"/>
  <c r="C79" i="17"/>
  <c r="C83" i="17"/>
  <c r="P57" i="27"/>
  <c r="P58" i="27" s="1"/>
  <c r="P69" i="27" s="1"/>
  <c r="P27" i="24"/>
  <c r="K33" i="30"/>
  <c r="K82" i="24" s="1"/>
  <c r="K42" i="24" s="1"/>
  <c r="K44" i="24" s="1"/>
  <c r="J25" i="24"/>
  <c r="J57" i="26"/>
  <c r="J58" i="26" s="1"/>
  <c r="O34" i="31"/>
  <c r="O80" i="26" s="1"/>
  <c r="J57" i="28"/>
  <c r="J58" i="28" s="1"/>
  <c r="J26" i="24"/>
  <c r="F132" i="19"/>
  <c r="G59" i="19"/>
  <c r="F104" i="19"/>
  <c r="F105" i="19" s="1"/>
  <c r="G60" i="19" s="1"/>
  <c r="U35" i="24"/>
  <c r="J96" i="19"/>
  <c r="K96" i="19" s="1"/>
  <c r="L96" i="19" s="1"/>
  <c r="M96" i="19" s="1"/>
  <c r="N96" i="19" s="1"/>
  <c r="I33" i="13"/>
  <c r="C66" i="1" s="1"/>
  <c r="E29" i="5" s="1"/>
  <c r="I34" i="13"/>
  <c r="F30" i="19"/>
  <c r="C10" i="1"/>
  <c r="C31" i="9" s="1"/>
  <c r="C36" i="9" s="1"/>
  <c r="C46" i="9" s="1"/>
  <c r="K85" i="12"/>
  <c r="J85" i="12"/>
  <c r="H73" i="12"/>
  <c r="D128" i="12" a="1"/>
  <c r="D128" i="12" s="1"/>
  <c r="G89" i="12"/>
  <c r="H89" i="12" s="1"/>
  <c r="E84" i="17"/>
  <c r="D86" i="17"/>
  <c r="D89" i="17" s="1"/>
  <c r="E90" i="17" s="1"/>
  <c r="K93" i="12"/>
  <c r="J93" i="12"/>
  <c r="G71" i="12"/>
  <c r="H71" i="12" s="1"/>
  <c r="A154" i="12"/>
  <c r="C108" i="12" a="1"/>
  <c r="C108" i="12" s="1"/>
  <c r="D108" i="12" a="1"/>
  <c r="D108" i="12" s="1"/>
  <c r="E56" i="9"/>
  <c r="E64" i="9" s="1"/>
  <c r="F70" i="12" a="1"/>
  <c r="F70" i="12" s="1"/>
  <c r="H95" i="12"/>
  <c r="J77" i="12"/>
  <c r="K77" i="12" s="1"/>
  <c r="S6" i="26"/>
  <c r="T13" i="26"/>
  <c r="D105" i="12" a="1"/>
  <c r="D105" i="12" s="1"/>
  <c r="A151" i="12"/>
  <c r="C105" i="12" a="1"/>
  <c r="C105" i="12" s="1"/>
  <c r="F88" i="12" a="1"/>
  <c r="F88" i="12" s="1"/>
  <c r="J88" i="12" s="1"/>
  <c r="H75" i="12"/>
  <c r="M70" i="26"/>
  <c r="F81" i="12" a="1"/>
  <c r="F81" i="12" s="1"/>
  <c r="J81" i="12" s="1"/>
  <c r="N26" i="24"/>
  <c r="N57" i="28"/>
  <c r="N58" i="28" s="1"/>
  <c r="S57" i="27"/>
  <c r="S58" i="27" s="1"/>
  <c r="S69" i="27" s="1"/>
  <c r="S70" i="27" s="1"/>
  <c r="S27" i="24"/>
  <c r="S33" i="30"/>
  <c r="S82" i="24" s="1"/>
  <c r="R28" i="24"/>
  <c r="J5" i="14"/>
  <c r="H23" i="14"/>
  <c r="C71" i="1" s="1"/>
  <c r="E31" i="5" s="1"/>
  <c r="I31" i="4" s="1"/>
  <c r="H24" i="14"/>
  <c r="Q126" i="19"/>
  <c r="Q131" i="19" s="1"/>
  <c r="P131" i="19"/>
  <c r="K27" i="17"/>
  <c r="N64" i="17" s="1"/>
  <c r="K5" i="1"/>
  <c r="K30" i="9" s="1"/>
  <c r="G11" i="19"/>
  <c r="J7" i="4"/>
  <c r="F6" i="5"/>
  <c r="J6" i="4" s="1"/>
  <c r="G85" i="12"/>
  <c r="H85" i="12" s="1"/>
  <c r="C123" i="12" a="1"/>
  <c r="C123" i="12" s="1"/>
  <c r="A169" i="12"/>
  <c r="D123" i="12" a="1"/>
  <c r="D123" i="12" s="1"/>
  <c r="E123" i="12" s="1" a="1"/>
  <c r="E123" i="12" s="1"/>
  <c r="H84" i="12"/>
  <c r="E125" i="12" a="1"/>
  <c r="E125" i="12" s="1"/>
  <c r="F125" i="12" s="1" a="1"/>
  <c r="F125" i="12" s="1"/>
  <c r="D125" i="12" a="1"/>
  <c r="D125" i="12" s="1"/>
  <c r="A171" i="12"/>
  <c r="C125" i="12" a="1"/>
  <c r="C125" i="12" s="1"/>
  <c r="A167" i="12"/>
  <c r="E121" i="12" a="1"/>
  <c r="E121" i="12" s="1"/>
  <c r="D121" i="12" a="1"/>
  <c r="D121" i="12" s="1"/>
  <c r="C121" i="12" a="1"/>
  <c r="C121" i="12" s="1"/>
  <c r="K83" i="12"/>
  <c r="J83" i="12"/>
  <c r="G69" i="12"/>
  <c r="H69" i="12" s="1"/>
  <c r="A180" i="12"/>
  <c r="C134" i="12" a="1"/>
  <c r="C134" i="12" s="1"/>
  <c r="D134" i="12" s="1" a="1"/>
  <c r="D134" i="12" s="1"/>
  <c r="A158" i="12"/>
  <c r="E112" i="12" a="1"/>
  <c r="E112" i="12" s="1"/>
  <c r="D112" i="12" a="1"/>
  <c r="D112" i="12" s="1"/>
  <c r="C112" i="12" a="1"/>
  <c r="C112" i="12" s="1"/>
  <c r="H76" i="12"/>
  <c r="G70" i="12"/>
  <c r="H70" i="12" s="1"/>
  <c r="A182" i="12"/>
  <c r="E136" i="12" a="1"/>
  <c r="E136" i="12" s="1"/>
  <c r="D136" i="12" a="1"/>
  <c r="D136" i="12" s="1"/>
  <c r="H136" i="12" a="1"/>
  <c r="H136" i="12" s="1"/>
  <c r="C136" i="12" a="1"/>
  <c r="C136" i="12" s="1"/>
  <c r="A164" i="12"/>
  <c r="C118" i="12" a="1"/>
  <c r="C118" i="12" s="1"/>
  <c r="D118" i="12" s="1" a="1"/>
  <c r="D118" i="12" s="1"/>
  <c r="F79" i="12" a="1"/>
  <c r="F79" i="12" s="1"/>
  <c r="J79" i="12" s="1"/>
  <c r="K79" i="12" s="1"/>
  <c r="M48" i="4"/>
  <c r="AH48" i="4" s="1"/>
  <c r="F78" i="12" a="1"/>
  <c r="F78" i="12" s="1"/>
  <c r="J78" i="12" s="1"/>
  <c r="K78" i="12" s="1"/>
  <c r="J70" i="12"/>
  <c r="K70" i="12" s="1"/>
  <c r="L48" i="4"/>
  <c r="AG48" i="4" s="1"/>
  <c r="H94" i="12"/>
  <c r="H68" i="12"/>
  <c r="G81" i="12"/>
  <c r="H81" i="12" s="1"/>
  <c r="M57" i="28"/>
  <c r="M58" i="28" s="1"/>
  <c r="M26" i="24"/>
  <c r="P57" i="28"/>
  <c r="P58" i="28" s="1"/>
  <c r="P26" i="24"/>
  <c r="N25" i="24"/>
  <c r="N57" i="26"/>
  <c r="N58" i="26" s="1"/>
  <c r="N69" i="26" s="1"/>
  <c r="L62" i="27"/>
  <c r="L68" i="24" s="1"/>
  <c r="M29" i="27"/>
  <c r="L53" i="20"/>
  <c r="L51" i="20"/>
  <c r="L58" i="20" s="1"/>
  <c r="L62" i="20" s="1"/>
  <c r="J28" i="24"/>
  <c r="Q53" i="28"/>
  <c r="G70" i="21"/>
  <c r="G69" i="21" s="1"/>
  <c r="D48" i="21" s="1"/>
  <c r="G63" i="21"/>
  <c r="H68" i="21"/>
  <c r="K62" i="27"/>
  <c r="K68" i="24" s="1"/>
  <c r="O131" i="19"/>
  <c r="B94" i="20"/>
  <c r="B42" i="20" s="1"/>
  <c r="B46" i="20" s="1"/>
  <c r="B51" i="20" s="1"/>
  <c r="B58" i="20" s="1"/>
  <c r="B62" i="20" s="1"/>
  <c r="B70" i="20" s="1"/>
  <c r="B23" i="1" s="1"/>
  <c r="J9" i="19"/>
  <c r="J15" i="19" s="1"/>
  <c r="J14" i="4"/>
  <c r="F13" i="5"/>
  <c r="J13" i="4" s="1"/>
  <c r="K33" i="18"/>
  <c r="L40" i="18"/>
  <c r="L45" i="18" s="1"/>
  <c r="L53" i="18" s="1"/>
  <c r="N10" i="20"/>
  <c r="J62" i="17"/>
  <c r="G7" i="1"/>
  <c r="I7" i="5" s="1"/>
  <c r="F55" i="17"/>
  <c r="F60" i="17" s="1"/>
  <c r="F62" i="19"/>
  <c r="F82" i="19" s="1"/>
  <c r="K10" i="17"/>
  <c r="H9" i="19"/>
  <c r="H15" i="19" s="1"/>
  <c r="H19" i="19" s="1"/>
  <c r="H10" i="19"/>
  <c r="E126" i="12" a="1"/>
  <c r="E126" i="12" s="1"/>
  <c r="A172" i="12"/>
  <c r="D126" i="12" a="1"/>
  <c r="D126" i="12" s="1"/>
  <c r="C126" i="12" a="1"/>
  <c r="C126" i="12" s="1"/>
  <c r="I47" i="12"/>
  <c r="I48" i="12"/>
  <c r="J5" i="12"/>
  <c r="J89" i="12"/>
  <c r="K89" i="12" s="1"/>
  <c r="C109" i="12" a="1"/>
  <c r="C109" i="12" s="1"/>
  <c r="D109" i="12" a="1"/>
  <c r="D109" i="12" s="1"/>
  <c r="E109" i="12" s="1" a="1"/>
  <c r="E109" i="12" s="1"/>
  <c r="A155" i="12"/>
  <c r="F69" i="12" a="1"/>
  <c r="F69" i="12" s="1"/>
  <c r="J69" i="12" s="1"/>
  <c r="K69" i="12" s="1"/>
  <c r="F84" i="12" a="1"/>
  <c r="F84" i="12" s="1"/>
  <c r="J84" i="12" s="1"/>
  <c r="F95" i="12" a="1"/>
  <c r="F95" i="12" s="1"/>
  <c r="J95" i="12" s="1"/>
  <c r="K95" i="12" s="1"/>
  <c r="H83" i="12"/>
  <c r="G83" i="12"/>
  <c r="N56" i="9"/>
  <c r="N64" i="9" s="1"/>
  <c r="F62" i="12" a="1"/>
  <c r="F62" i="12" s="1"/>
  <c r="J62" i="12" s="1"/>
  <c r="K62" i="12" s="1"/>
  <c r="H93" i="12"/>
  <c r="F71" i="12" a="1"/>
  <c r="F71" i="12" s="1"/>
  <c r="J71" i="12" s="1"/>
  <c r="J67" i="12"/>
  <c r="K67" i="12" s="1"/>
  <c r="A157" i="12"/>
  <c r="C111" i="12" a="1"/>
  <c r="C111" i="12" s="1"/>
  <c r="D111" i="12" s="1" a="1"/>
  <c r="D111" i="12" s="1"/>
  <c r="L112" i="19"/>
  <c r="K113" i="19"/>
  <c r="H92" i="12"/>
  <c r="F80" i="12" a="1"/>
  <c r="F80" i="12" s="1"/>
  <c r="J80" i="12" s="1"/>
  <c r="K80" i="12" s="1"/>
  <c r="H77" i="12"/>
  <c r="G79" i="12"/>
  <c r="H79" i="12" s="1"/>
  <c r="F64" i="12" a="1"/>
  <c r="F64" i="12" s="1"/>
  <c r="J64" i="12" s="1"/>
  <c r="K64" i="12" s="1"/>
  <c r="A175" i="12"/>
  <c r="C129" i="12" a="1"/>
  <c r="C129" i="12" s="1"/>
  <c r="D129" i="12" s="1" a="1"/>
  <c r="D129" i="12" s="1"/>
  <c r="A181" i="12"/>
  <c r="D135" i="12" a="1"/>
  <c r="D135" i="12" s="1"/>
  <c r="C135" i="12" a="1"/>
  <c r="C135" i="12" s="1"/>
  <c r="J86" i="12"/>
  <c r="K86" i="12" s="1"/>
  <c r="O25" i="26"/>
  <c r="L85" i="24"/>
  <c r="E46" i="1"/>
  <c r="C122" i="12" a="1"/>
  <c r="C122" i="12" s="1"/>
  <c r="D122" i="12" s="1" a="1"/>
  <c r="D122" i="12" s="1"/>
  <c r="A168" i="12"/>
  <c r="M33" i="30"/>
  <c r="M82" i="24" s="1"/>
  <c r="M42" i="24" s="1"/>
  <c r="M44" i="24" s="1"/>
  <c r="N29" i="20"/>
  <c r="N21" i="1"/>
  <c r="N32" i="9" s="1"/>
  <c r="P68" i="27"/>
  <c r="N57" i="27"/>
  <c r="N58" i="27" s="1"/>
  <c r="N69" i="27" s="1"/>
  <c r="N27" i="24"/>
  <c r="N33" i="30"/>
  <c r="N82" i="24" s="1"/>
  <c r="N42" i="24" s="1"/>
  <c r="N44" i="24" s="1"/>
  <c r="R27" i="24"/>
  <c r="R57" i="27"/>
  <c r="R58" i="27" s="1"/>
  <c r="R69" i="27" s="1"/>
  <c r="P34" i="31"/>
  <c r="P80" i="26" s="1"/>
  <c r="M57" i="27"/>
  <c r="M58" i="27" s="1"/>
  <c r="M27" i="24"/>
  <c r="U57" i="28"/>
  <c r="U58" i="28" s="1"/>
  <c r="U69" i="28" s="1"/>
  <c r="U26" i="24"/>
  <c r="O33" i="30"/>
  <c r="O82" i="24" s="1"/>
  <c r="O42" i="24" s="1"/>
  <c r="O44" i="24" s="1"/>
  <c r="J62" i="28"/>
  <c r="J67" i="24" s="1"/>
  <c r="J69" i="24" s="1"/>
  <c r="C107" i="1" s="1"/>
  <c r="C42" i="15" s="1"/>
  <c r="Q34" i="31"/>
  <c r="Q80" i="26" s="1"/>
  <c r="R57" i="28"/>
  <c r="R58" i="28" s="1"/>
  <c r="R69" i="28" s="1"/>
  <c r="R26" i="24"/>
  <c r="K74" i="28"/>
  <c r="J73" i="24"/>
  <c r="R25" i="27"/>
  <c r="R31" i="27" s="1"/>
  <c r="T86" i="24"/>
  <c r="M55" i="1"/>
  <c r="J69" i="27"/>
  <c r="J70" i="27" s="1"/>
  <c r="J60" i="27"/>
  <c r="Q57" i="28"/>
  <c r="Q58" i="28" s="1"/>
  <c r="Q69" i="28" s="1"/>
  <c r="Q26" i="24"/>
  <c r="I14" i="4"/>
  <c r="E13" i="5"/>
  <c r="I13" i="4" s="1"/>
  <c r="N32" i="27"/>
  <c r="N68" i="27"/>
  <c r="J44" i="21"/>
  <c r="F104" i="20"/>
  <c r="F105" i="20" s="1"/>
  <c r="F66" i="20"/>
  <c r="F70" i="20" s="1"/>
  <c r="F23" i="1" s="1"/>
  <c r="H14" i="5" s="1"/>
  <c r="G64" i="20"/>
  <c r="G119" i="19"/>
  <c r="G61" i="19" s="1"/>
  <c r="F79" i="19"/>
  <c r="F59" i="19"/>
  <c r="E104" i="19"/>
  <c r="E105" i="19" s="1"/>
  <c r="F60" i="19" s="1"/>
  <c r="K11" i="20"/>
  <c r="L11" i="20" s="1"/>
  <c r="M11" i="20" s="1"/>
  <c r="N11" i="20" s="1"/>
  <c r="J41" i="19"/>
  <c r="I41" i="19"/>
  <c r="H41" i="19"/>
  <c r="G41" i="19"/>
  <c r="F41" i="19"/>
  <c r="I45" i="17"/>
  <c r="I60" i="17" s="1"/>
  <c r="I7" i="1" s="1"/>
  <c r="K7" i="5" s="1"/>
  <c r="X17" i="13"/>
  <c r="Y17" i="13"/>
  <c r="AA17" i="13" s="1"/>
  <c r="AC17" i="13" s="1"/>
  <c r="AE17" i="13" s="1"/>
  <c r="G62" i="19"/>
  <c r="H118" i="19"/>
  <c r="D28" i="17"/>
  <c r="E28" i="17" s="1"/>
  <c r="F28" i="17" s="1"/>
  <c r="G28" i="17" s="1"/>
  <c r="H28" i="17" s="1"/>
  <c r="I28" i="17" s="1"/>
  <c r="J28" i="17" s="1"/>
  <c r="C114" i="12" a="1"/>
  <c r="C114" i="12" s="1"/>
  <c r="A160" i="12"/>
  <c r="A156" i="12"/>
  <c r="D110" i="12" a="1"/>
  <c r="D110" i="12" s="1"/>
  <c r="E110" i="12" s="1" a="1"/>
  <c r="E110" i="12" s="1"/>
  <c r="C110" i="12" a="1"/>
  <c r="C110" i="12" s="1"/>
  <c r="C130" i="12" a="1"/>
  <c r="C130" i="12" s="1"/>
  <c r="A176" i="12"/>
  <c r="G63" i="12"/>
  <c r="H63" i="12" s="1"/>
  <c r="G84" i="12"/>
  <c r="F91" i="12" a="1"/>
  <c r="F91" i="12" s="1"/>
  <c r="J91" i="12" s="1"/>
  <c r="A170" i="12"/>
  <c r="C124" i="12" a="1"/>
  <c r="C124" i="12" s="1"/>
  <c r="D124" i="12" s="1" a="1"/>
  <c r="D124" i="12" s="1"/>
  <c r="J90" i="12"/>
  <c r="K90" i="12" s="1"/>
  <c r="H67" i="12"/>
  <c r="F76" i="12" a="1"/>
  <c r="F76" i="12" s="1"/>
  <c r="J76" i="12" s="1"/>
  <c r="K76" i="12" s="1"/>
  <c r="J92" i="12"/>
  <c r="K92" i="12" s="1"/>
  <c r="G80" i="12"/>
  <c r="H80" i="12" s="1"/>
  <c r="K48" i="4"/>
  <c r="A166" i="12"/>
  <c r="C120" i="12" a="1"/>
  <c r="C120" i="12" s="1"/>
  <c r="D120" i="12" s="1" a="1"/>
  <c r="D120" i="12" s="1"/>
  <c r="A165" i="12"/>
  <c r="C119" i="12" a="1"/>
  <c r="C119" i="12" s="1"/>
  <c r="F75" i="12" a="1"/>
  <c r="F75" i="12" s="1"/>
  <c r="J75" i="12" s="1"/>
  <c r="G74" i="12"/>
  <c r="F74" i="12" a="1"/>
  <c r="F74" i="12" s="1"/>
  <c r="E74" i="12" a="1"/>
  <c r="E74" i="12" s="1"/>
  <c r="D74" i="12"/>
  <c r="I74" i="12" a="1"/>
  <c r="I74" i="12" s="1"/>
  <c r="A115" i="12"/>
  <c r="J94" i="12"/>
  <c r="K94" i="12"/>
  <c r="Q28" i="24" l="1"/>
  <c r="L62" i="26"/>
  <c r="L66" i="24" s="1"/>
  <c r="M29" i="26"/>
  <c r="M62" i="26" s="1"/>
  <c r="M66" i="24" s="1"/>
  <c r="O31" i="26"/>
  <c r="S60" i="28"/>
  <c r="S87" i="24" s="1"/>
  <c r="L88" i="24"/>
  <c r="E59" i="1" s="1"/>
  <c r="E5" i="9" s="1"/>
  <c r="E11" i="9" s="1"/>
  <c r="T28" i="24"/>
  <c r="T36" i="24" s="1"/>
  <c r="T40" i="24" s="1"/>
  <c r="T46" i="24" s="1"/>
  <c r="N60" i="27"/>
  <c r="N86" i="24" s="1"/>
  <c r="Q60" i="27"/>
  <c r="Q86" i="24" s="1"/>
  <c r="F109" i="12" a="1"/>
  <c r="F109" i="12" s="1"/>
  <c r="H107" i="12" a="1"/>
  <c r="H107" i="12" s="1"/>
  <c r="E122" i="12" a="1"/>
  <c r="E122" i="12" s="1"/>
  <c r="E129" i="12" a="1"/>
  <c r="E129" i="12" s="1"/>
  <c r="E118" i="12" a="1"/>
  <c r="E118" i="12" s="1"/>
  <c r="H13" i="5"/>
  <c r="L13" i="4" s="1"/>
  <c r="AG13" i="4" s="1"/>
  <c r="L14" i="4"/>
  <c r="AG14" i="4" s="1"/>
  <c r="G125" i="12" a="1"/>
  <c r="G125" i="12" s="1"/>
  <c r="E117" i="12" a="1"/>
  <c r="E117" i="12" s="1"/>
  <c r="E127" i="12" a="1"/>
  <c r="E127" i="12" s="1"/>
  <c r="G82" i="19"/>
  <c r="G102" i="12" a="1"/>
  <c r="G102" i="12" s="1"/>
  <c r="X20" i="13"/>
  <c r="Y20" i="13"/>
  <c r="AA20" i="13" s="1"/>
  <c r="AC20" i="13" s="1"/>
  <c r="AE20" i="13" s="1"/>
  <c r="F123" i="12" a="1"/>
  <c r="F123" i="12" s="1"/>
  <c r="E120" i="12" a="1"/>
  <c r="E120" i="12" s="1"/>
  <c r="F110" i="12" a="1"/>
  <c r="F110" i="12" s="1"/>
  <c r="F133" i="12" a="1"/>
  <c r="F133" i="12" s="1"/>
  <c r="E111" i="12" a="1"/>
  <c r="E111" i="12" s="1"/>
  <c r="E124" i="12" a="1"/>
  <c r="E124" i="12" s="1"/>
  <c r="E134" i="12" a="1"/>
  <c r="E134" i="12" s="1"/>
  <c r="Y18" i="13"/>
  <c r="AA18" i="13" s="1"/>
  <c r="AC18" i="13" s="1"/>
  <c r="AE18" i="13" s="1"/>
  <c r="X18" i="13"/>
  <c r="I118" i="19"/>
  <c r="H62" i="19"/>
  <c r="H119" i="19"/>
  <c r="H61" i="19" s="1"/>
  <c r="H64" i="20"/>
  <c r="G66" i="20"/>
  <c r="G70" i="20" s="1"/>
  <c r="L56" i="18"/>
  <c r="L61" i="18" s="1"/>
  <c r="L33" i="1"/>
  <c r="N16" i="5" s="1"/>
  <c r="O32" i="26"/>
  <c r="O60" i="26" s="1"/>
  <c r="O68" i="26"/>
  <c r="O70" i="26" s="1"/>
  <c r="J74" i="12"/>
  <c r="K74" i="12" s="1"/>
  <c r="D114" i="12" a="1"/>
  <c r="D114" i="12" s="1"/>
  <c r="D119" i="12" a="1"/>
  <c r="D119" i="12" s="1"/>
  <c r="K6" i="5"/>
  <c r="O6" i="4" s="1"/>
  <c r="AJ6" i="4" s="1"/>
  <c r="O7" i="4"/>
  <c r="AJ7" i="4" s="1"/>
  <c r="F65" i="19"/>
  <c r="F68" i="19" s="1"/>
  <c r="F75" i="19" s="1"/>
  <c r="J8" i="24"/>
  <c r="C56" i="1"/>
  <c r="M69" i="27"/>
  <c r="M70" i="27" s="1"/>
  <c r="M60" i="27"/>
  <c r="N70" i="27"/>
  <c r="H30" i="19"/>
  <c r="E10" i="1"/>
  <c r="E31" i="9" s="1"/>
  <c r="E36" i="9" s="1"/>
  <c r="E46" i="9" s="1"/>
  <c r="J10" i="19"/>
  <c r="J55" i="1"/>
  <c r="I136" i="12" a="1"/>
  <c r="I136" i="12" s="1"/>
  <c r="S42" i="24"/>
  <c r="S44" i="24" s="1"/>
  <c r="S28" i="24"/>
  <c r="S36" i="24" s="1"/>
  <c r="S40" i="24" s="1"/>
  <c r="G79" i="19"/>
  <c r="U28" i="24"/>
  <c r="U36" i="24" s="1"/>
  <c r="J73" i="12"/>
  <c r="K73" i="12" s="1"/>
  <c r="Q57" i="19"/>
  <c r="P57" i="19"/>
  <c r="O55" i="19"/>
  <c r="N103" i="19" s="1"/>
  <c r="O91" i="19" s="1"/>
  <c r="O25" i="19" s="1"/>
  <c r="O28" i="19" s="1"/>
  <c r="O56" i="19"/>
  <c r="O6" i="19"/>
  <c r="O8" i="19" s="1"/>
  <c r="M28" i="24"/>
  <c r="M38" i="24" s="1"/>
  <c r="O72" i="26"/>
  <c r="E104" i="12" a="1"/>
  <c r="E104" i="12" s="1"/>
  <c r="K91" i="12"/>
  <c r="E12" i="16"/>
  <c r="E10" i="16"/>
  <c r="D50" i="1" s="1"/>
  <c r="F42" i="5" s="1"/>
  <c r="J42" i="4" s="1"/>
  <c r="D49" i="1"/>
  <c r="F24" i="5" s="1"/>
  <c r="I34" i="21"/>
  <c r="H38" i="21"/>
  <c r="H42" i="21" s="1"/>
  <c r="J82" i="12"/>
  <c r="K82" i="12" s="1"/>
  <c r="K69" i="28"/>
  <c r="K70" i="28" s="1"/>
  <c r="K7" i="24" s="1"/>
  <c r="K60" i="28"/>
  <c r="K87" i="24" s="1"/>
  <c r="K88" i="24" s="1"/>
  <c r="D59" i="1" s="1"/>
  <c r="D5" i="9" s="1"/>
  <c r="D11" i="9" s="1"/>
  <c r="K81" i="12"/>
  <c r="C131" i="12" a="1"/>
  <c r="C131" i="12" s="1"/>
  <c r="K71" i="12"/>
  <c r="K61" i="12"/>
  <c r="P60" i="27"/>
  <c r="P36" i="24"/>
  <c r="P40" i="24" s="1"/>
  <c r="F126" i="12" a="1"/>
  <c r="F126" i="12" s="1"/>
  <c r="K28" i="17"/>
  <c r="L28" i="17" s="1"/>
  <c r="N28" i="24"/>
  <c r="N36" i="24" s="1"/>
  <c r="N40" i="24" s="1"/>
  <c r="G136" i="12" a="1"/>
  <c r="G136" i="12" s="1"/>
  <c r="J69" i="26"/>
  <c r="J70" i="26" s="1"/>
  <c r="J60" i="26"/>
  <c r="Q7" i="26"/>
  <c r="R28" i="26" s="1"/>
  <c r="P25" i="26"/>
  <c r="P27" i="26"/>
  <c r="V5" i="14"/>
  <c r="O69" i="28"/>
  <c r="O60" i="28"/>
  <c r="O87" i="24" s="1"/>
  <c r="L8" i="24"/>
  <c r="E56" i="1"/>
  <c r="K69" i="24"/>
  <c r="D107" i="1" s="1"/>
  <c r="D42" i="15" s="1"/>
  <c r="M34" i="13"/>
  <c r="M33" i="13"/>
  <c r="E66" i="1" s="1"/>
  <c r="G29" i="5" s="1"/>
  <c r="O4" i="13"/>
  <c r="K72" i="24"/>
  <c r="L74" i="26"/>
  <c r="R32" i="27"/>
  <c r="R60" i="27" s="1"/>
  <c r="R68" i="27"/>
  <c r="R70" i="27"/>
  <c r="H74" i="12"/>
  <c r="L113" i="19"/>
  <c r="M112" i="19"/>
  <c r="Q60" i="28"/>
  <c r="Q87" i="24" s="1"/>
  <c r="F136" i="12" a="1"/>
  <c r="F136" i="12" s="1"/>
  <c r="E132" i="12" a="1"/>
  <c r="E132" i="12" s="1"/>
  <c r="S8" i="24"/>
  <c r="L56" i="1"/>
  <c r="J38" i="24"/>
  <c r="J36" i="24"/>
  <c r="O125" i="19"/>
  <c r="N130" i="19"/>
  <c r="F132" i="12" a="1"/>
  <c r="F132" i="12" s="1"/>
  <c r="N45" i="19"/>
  <c r="N49" i="19" s="1"/>
  <c r="M49" i="19"/>
  <c r="M54" i="19" s="1"/>
  <c r="L42" i="24"/>
  <c r="L44" i="24" s="1"/>
  <c r="L28" i="24"/>
  <c r="M29" i="28"/>
  <c r="L62" i="28"/>
  <c r="L67" i="24" s="1"/>
  <c r="L69" i="24" s="1"/>
  <c r="E107" i="1" s="1"/>
  <c r="E42" i="15" s="1"/>
  <c r="L68" i="28"/>
  <c r="L70" i="28" s="1"/>
  <c r="L7" i="24" s="1"/>
  <c r="J6" i="5"/>
  <c r="N6" i="4" s="1"/>
  <c r="AI6" i="4" s="1"/>
  <c r="N7" i="4"/>
  <c r="AI7" i="4" s="1"/>
  <c r="K33" i="13"/>
  <c r="D66" i="1" s="1"/>
  <c r="F29" i="5" s="1"/>
  <c r="X43" i="13"/>
  <c r="J68" i="1" s="1"/>
  <c r="J59" i="9" s="1"/>
  <c r="J75" i="24"/>
  <c r="P20" i="4"/>
  <c r="AK20" i="4" s="1"/>
  <c r="L19" i="5"/>
  <c r="P19" i="4" s="1"/>
  <c r="AK19" i="4" s="1"/>
  <c r="J136" i="12" a="1"/>
  <c r="J136" i="12" s="1"/>
  <c r="N69" i="28"/>
  <c r="N60" i="28"/>
  <c r="N87" i="24" s="1"/>
  <c r="E105" i="12" a="1"/>
  <c r="E105" i="12" s="1"/>
  <c r="K75" i="12"/>
  <c r="H133" i="12" a="1"/>
  <c r="H133" i="12" s="1"/>
  <c r="F11" i="10"/>
  <c r="E93" i="1"/>
  <c r="E49" i="15" s="1"/>
  <c r="K88" i="12"/>
  <c r="C132" i="12" a="1"/>
  <c r="C132" i="12" s="1"/>
  <c r="D113" i="12" a="1"/>
  <c r="D113" i="12" s="1"/>
  <c r="T53" i="28"/>
  <c r="T60" i="28" s="1"/>
  <c r="T87" i="24" s="1"/>
  <c r="E26" i="11"/>
  <c r="K84" i="12"/>
  <c r="F69" i="19"/>
  <c r="F70" i="19" s="1"/>
  <c r="F84" i="19" s="1"/>
  <c r="O69" i="27"/>
  <c r="O70" i="27" s="1"/>
  <c r="O60" i="27"/>
  <c r="K34" i="13"/>
  <c r="F106" i="12" a="1"/>
  <c r="F106" i="12" s="1"/>
  <c r="L33" i="22"/>
  <c r="K78" i="1"/>
  <c r="M20" i="5" s="1"/>
  <c r="K72" i="12"/>
  <c r="J68" i="12"/>
  <c r="K68" i="12" s="1"/>
  <c r="N27" i="26"/>
  <c r="N31" i="26" s="1"/>
  <c r="J66" i="12"/>
  <c r="K66" i="12" s="1"/>
  <c r="J61" i="17"/>
  <c r="J7" i="1"/>
  <c r="L7" i="5" s="1"/>
  <c r="K28" i="24"/>
  <c r="K38" i="24" s="1"/>
  <c r="U53" i="28"/>
  <c r="U60" i="28" s="1"/>
  <c r="U87" i="24" s="1"/>
  <c r="E131" i="12" a="1"/>
  <c r="E131" i="12" s="1"/>
  <c r="I59" i="19"/>
  <c r="H104" i="19"/>
  <c r="H105" i="19" s="1"/>
  <c r="I60" i="19" s="1"/>
  <c r="D130" i="12" a="1"/>
  <c r="D130" i="12" s="1"/>
  <c r="L74" i="28"/>
  <c r="K73" i="24"/>
  <c r="R60" i="28"/>
  <c r="R87" i="24" s="1"/>
  <c r="E135" i="12" a="1"/>
  <c r="E135" i="12" s="1"/>
  <c r="J47" i="12"/>
  <c r="J45" i="12" s="1"/>
  <c r="J48" i="12"/>
  <c r="K5" i="12"/>
  <c r="I6" i="5"/>
  <c r="M6" i="4" s="1"/>
  <c r="AH6" i="4" s="1"/>
  <c r="M7" i="4"/>
  <c r="AH7" i="4" s="1"/>
  <c r="K40" i="18"/>
  <c r="K45" i="18" s="1"/>
  <c r="K53" i="18" s="1"/>
  <c r="J33" i="18"/>
  <c r="H63" i="21"/>
  <c r="H70" i="21"/>
  <c r="H69" i="21" s="1"/>
  <c r="I68" i="21"/>
  <c r="P69" i="28"/>
  <c r="P60" i="28"/>
  <c r="P87" i="24" s="1"/>
  <c r="J24" i="14"/>
  <c r="J23" i="14"/>
  <c r="D71" i="1" s="1"/>
  <c r="F31" i="5" s="1"/>
  <c r="J31" i="4" s="1"/>
  <c r="L5" i="14"/>
  <c r="P70" i="27"/>
  <c r="J133" i="12" a="1"/>
  <c r="J133" i="12" s="1"/>
  <c r="N27" i="17"/>
  <c r="N5" i="1"/>
  <c r="N30" i="9" s="1"/>
  <c r="N36" i="9" s="1"/>
  <c r="N46" i="9" s="1"/>
  <c r="R36" i="24"/>
  <c r="R40" i="24" s="1"/>
  <c r="K45" i="17"/>
  <c r="K60" i="17" s="1"/>
  <c r="L37" i="17"/>
  <c r="Q36" i="24"/>
  <c r="Q40" i="24" s="1"/>
  <c r="Y16" i="14"/>
  <c r="Z16" i="14" s="1"/>
  <c r="AB16" i="14" s="1"/>
  <c r="AD16" i="14" s="1"/>
  <c r="R7" i="14"/>
  <c r="P24" i="14"/>
  <c r="P23" i="14"/>
  <c r="G71" i="1" s="1"/>
  <c r="I31" i="5" s="1"/>
  <c r="M31" i="4" s="1"/>
  <c r="AH31" i="4" s="1"/>
  <c r="M56" i="18"/>
  <c r="M61" i="18" s="1"/>
  <c r="M62" i="18" s="1"/>
  <c r="M33" i="1"/>
  <c r="O16" i="5" s="1"/>
  <c r="L64" i="17"/>
  <c r="F7" i="1"/>
  <c r="H7" i="5" s="1"/>
  <c r="H64" i="21"/>
  <c r="D47" i="21"/>
  <c r="D52" i="21" s="1"/>
  <c r="D54" i="21" s="1"/>
  <c r="D58" i="21" s="1"/>
  <c r="G65" i="21"/>
  <c r="D131" i="12" a="1"/>
  <c r="D131" i="12" s="1"/>
  <c r="H11" i="19"/>
  <c r="I11" i="19" s="1"/>
  <c r="J11" i="19" s="1"/>
  <c r="K11" i="19" s="1"/>
  <c r="L11" i="19" s="1"/>
  <c r="M11" i="19" s="1"/>
  <c r="N11" i="19" s="1"/>
  <c r="M6" i="24"/>
  <c r="F47" i="1"/>
  <c r="E108" i="12" a="1"/>
  <c r="E108" i="12" s="1"/>
  <c r="D138" i="12"/>
  <c r="E32" i="5"/>
  <c r="I32" i="4" s="1"/>
  <c r="I29" i="4"/>
  <c r="J69" i="28"/>
  <c r="J70" i="28" s="1"/>
  <c r="J7" i="24" s="1"/>
  <c r="J60" i="28"/>
  <c r="J87" i="24" s="1"/>
  <c r="G133" i="12" a="1"/>
  <c r="G133" i="12" s="1"/>
  <c r="N10" i="17"/>
  <c r="O28" i="24"/>
  <c r="K8" i="24"/>
  <c r="D56" i="1"/>
  <c r="E116" i="12" a="1"/>
  <c r="E116" i="12" s="1"/>
  <c r="J63" i="12"/>
  <c r="H65" i="19"/>
  <c r="H68" i="19" s="1"/>
  <c r="H75" i="19" s="1"/>
  <c r="M28" i="17"/>
  <c r="J124" i="19"/>
  <c r="I123" i="19"/>
  <c r="I109" i="19" s="1"/>
  <c r="I129" i="19"/>
  <c r="I128" i="19" s="1"/>
  <c r="L74" i="27"/>
  <c r="K74" i="24"/>
  <c r="Q8" i="24"/>
  <c r="J56" i="1"/>
  <c r="D132" i="12" a="1"/>
  <c r="D132" i="12" s="1"/>
  <c r="D103" i="12" a="1"/>
  <c r="D103" i="12" s="1"/>
  <c r="D139" i="12" s="1" a="1"/>
  <c r="D139" i="12" s="1"/>
  <c r="J95" i="19"/>
  <c r="I101" i="19"/>
  <c r="S33" i="14"/>
  <c r="H73" i="1" s="1"/>
  <c r="H60" i="9" s="1"/>
  <c r="H62" i="9" s="1"/>
  <c r="R29" i="14" a="1"/>
  <c r="R29" i="14" s="1"/>
  <c r="H72" i="1" s="1"/>
  <c r="H54" i="9" s="1"/>
  <c r="H56" i="9" s="1"/>
  <c r="O33" i="14"/>
  <c r="F73" i="1" s="1"/>
  <c r="F60" i="9" s="1"/>
  <c r="N29" i="14" a="1"/>
  <c r="N29" i="14" s="1"/>
  <c r="F72" i="1" s="1"/>
  <c r="F54" i="9" s="1"/>
  <c r="F56" i="9" s="1"/>
  <c r="Y11" i="14"/>
  <c r="Z11" i="14" s="1"/>
  <c r="AB11" i="14" s="1"/>
  <c r="AD11" i="14" s="1"/>
  <c r="N47" i="18"/>
  <c r="N51" i="18"/>
  <c r="N53" i="18" s="1"/>
  <c r="D115" i="12" a="1"/>
  <c r="D115" i="12" s="1"/>
  <c r="C115" i="12" a="1"/>
  <c r="C115" i="12" s="1"/>
  <c r="A161" i="12"/>
  <c r="E115" i="12" a="1"/>
  <c r="E115" i="12" s="1"/>
  <c r="J86" i="24"/>
  <c r="C55" i="1"/>
  <c r="M62" i="27"/>
  <c r="M68" i="24" s="1"/>
  <c r="N29" i="27"/>
  <c r="M69" i="28"/>
  <c r="M60" i="28"/>
  <c r="M87" i="24" s="1"/>
  <c r="F131" i="12" a="1"/>
  <c r="F131" i="12" s="1"/>
  <c r="F112" i="12" a="1"/>
  <c r="F112" i="12" s="1"/>
  <c r="F121" i="12" a="1"/>
  <c r="F121" i="12" s="1"/>
  <c r="U13" i="26"/>
  <c r="T6" i="26"/>
  <c r="G71" i="19"/>
  <c r="G80" i="19" s="1"/>
  <c r="G65" i="19"/>
  <c r="G68" i="19" s="1"/>
  <c r="G75" i="19" s="1"/>
  <c r="I133" i="12" a="1"/>
  <c r="I133" i="12" s="1"/>
  <c r="F8" i="16"/>
  <c r="G4" i="16"/>
  <c r="K63" i="12"/>
  <c r="C139" i="12" a="1"/>
  <c r="C139" i="12" s="1"/>
  <c r="H60" i="19"/>
  <c r="H71" i="19" s="1"/>
  <c r="H80" i="19" s="1"/>
  <c r="H79" i="19"/>
  <c r="H132" i="19"/>
  <c r="G132" i="19"/>
  <c r="G109" i="19"/>
  <c r="W33" i="14"/>
  <c r="J73" i="1" s="1"/>
  <c r="J60" i="9" s="1"/>
  <c r="V29" i="14" a="1"/>
  <c r="V29" i="14" s="1"/>
  <c r="J72" i="1" s="1"/>
  <c r="J54" i="9" s="1"/>
  <c r="J56" i="9" s="1"/>
  <c r="S60" i="27"/>
  <c r="K10" i="24" l="1"/>
  <c r="D58" i="1" s="1"/>
  <c r="D14" i="9" s="1"/>
  <c r="G55" i="1"/>
  <c r="L10" i="24"/>
  <c r="E58" i="1" s="1"/>
  <c r="E14" i="9" s="1"/>
  <c r="U40" i="24"/>
  <c r="U20" i="24" s="1"/>
  <c r="Q20" i="24"/>
  <c r="J95" i="1"/>
  <c r="J16" i="9" s="1"/>
  <c r="Q46" i="24"/>
  <c r="N20" i="24"/>
  <c r="G95" i="1"/>
  <c r="G16" i="9" s="1"/>
  <c r="N46" i="24"/>
  <c r="P20" i="24"/>
  <c r="I95" i="1"/>
  <c r="I16" i="9" s="1"/>
  <c r="P46" i="24"/>
  <c r="R73" i="26"/>
  <c r="S20" i="24"/>
  <c r="L95" i="1"/>
  <c r="L16" i="9" s="1"/>
  <c r="H78" i="19"/>
  <c r="E13" i="1"/>
  <c r="G11" i="5" s="1"/>
  <c r="K11" i="4" s="1"/>
  <c r="D50" i="11"/>
  <c r="N62" i="27"/>
  <c r="N68" i="24" s="1"/>
  <c r="O29" i="27"/>
  <c r="G112" i="12" a="1"/>
  <c r="G112" i="12" s="1"/>
  <c r="F116" i="12" a="1"/>
  <c r="F116" i="12" s="1"/>
  <c r="R20" i="24"/>
  <c r="K95" i="1"/>
  <c r="K16" i="9" s="1"/>
  <c r="R46" i="24"/>
  <c r="J62" i="9"/>
  <c r="M62" i="28"/>
  <c r="M67" i="24" s="1"/>
  <c r="M69" i="24" s="1"/>
  <c r="F107" i="1" s="1"/>
  <c r="F42" i="15" s="1"/>
  <c r="N29" i="28"/>
  <c r="M68" i="28"/>
  <c r="P125" i="19"/>
  <c r="O130" i="19"/>
  <c r="L72" i="24"/>
  <c r="M74" i="26"/>
  <c r="X5" i="14"/>
  <c r="I38" i="21"/>
  <c r="I42" i="21" s="1"/>
  <c r="J34" i="21"/>
  <c r="J38" i="21" s="1"/>
  <c r="J42" i="21" s="1"/>
  <c r="M86" i="24"/>
  <c r="M88" i="24" s="1"/>
  <c r="F59" i="1" s="1"/>
  <c r="F5" i="9" s="1"/>
  <c r="F11" i="9" s="1"/>
  <c r="F55" i="1"/>
  <c r="O85" i="24"/>
  <c r="H46" i="1"/>
  <c r="F111" i="12" a="1"/>
  <c r="F111" i="12" s="1"/>
  <c r="F120" i="12" a="1"/>
  <c r="F120" i="12" s="1"/>
  <c r="H125" i="12" a="1"/>
  <c r="H125" i="12" s="1"/>
  <c r="M74" i="27"/>
  <c r="L74" i="24"/>
  <c r="O36" i="24"/>
  <c r="O40" i="24" s="1"/>
  <c r="M33" i="22"/>
  <c r="M78" i="1" s="1"/>
  <c r="O20" i="5" s="1"/>
  <c r="L78" i="1"/>
  <c r="N20" i="5" s="1"/>
  <c r="G76" i="19"/>
  <c r="D17" i="1" s="1"/>
  <c r="F41" i="5" s="1"/>
  <c r="J41" i="4" s="1"/>
  <c r="D12" i="1"/>
  <c r="F9" i="5" s="1"/>
  <c r="G131" i="12" a="1"/>
  <c r="G131" i="12" s="1"/>
  <c r="N56" i="18"/>
  <c r="N61" i="18" s="1"/>
  <c r="N62" i="18" s="1"/>
  <c r="N33" i="1"/>
  <c r="P16" i="5" s="1"/>
  <c r="J59" i="19"/>
  <c r="I104" i="19"/>
  <c r="I105" i="19" s="1"/>
  <c r="J60" i="19" s="1"/>
  <c r="I132" i="19"/>
  <c r="L7" i="4"/>
  <c r="AG7" i="4" s="1"/>
  <c r="H6" i="5"/>
  <c r="L6" i="4" s="1"/>
  <c r="AG6" i="4" s="1"/>
  <c r="P8" i="24"/>
  <c r="I56" i="1"/>
  <c r="F26" i="11"/>
  <c r="F32" i="5"/>
  <c r="J32" i="4" s="1"/>
  <c r="J29" i="4"/>
  <c r="L36" i="24"/>
  <c r="L38" i="24"/>
  <c r="K75" i="24"/>
  <c r="J85" i="24"/>
  <c r="J88" i="24" s="1"/>
  <c r="C59" i="1" s="1"/>
  <c r="C5" i="9" s="1"/>
  <c r="C11" i="9" s="1"/>
  <c r="C46" i="1"/>
  <c r="F23" i="5"/>
  <c r="J23" i="4" s="1"/>
  <c r="J24" i="4"/>
  <c r="M8" i="24"/>
  <c r="F56" i="1"/>
  <c r="E119" i="12" a="1"/>
  <c r="E119" i="12" s="1"/>
  <c r="G23" i="1"/>
  <c r="I14" i="5" s="1"/>
  <c r="F122" i="12" a="1"/>
  <c r="F122" i="12" s="1"/>
  <c r="F10" i="16"/>
  <c r="E50" i="1" s="1"/>
  <c r="G42" i="5" s="1"/>
  <c r="K42" i="4" s="1"/>
  <c r="E49" i="1"/>
  <c r="G24" i="5" s="1"/>
  <c r="H76" i="19"/>
  <c r="E17" i="1" s="1"/>
  <c r="G41" i="5" s="1"/>
  <c r="K41" i="4" s="1"/>
  <c r="E12" i="1"/>
  <c r="G9" i="5" s="1"/>
  <c r="G78" i="19"/>
  <c r="G16" i="19" s="1"/>
  <c r="G19" i="19" s="1"/>
  <c r="D13" i="1"/>
  <c r="F11" i="5" s="1"/>
  <c r="J11" i="4" s="1"/>
  <c r="J101" i="19"/>
  <c r="K95" i="19"/>
  <c r="L73" i="24"/>
  <c r="M74" i="28"/>
  <c r="L6" i="5"/>
  <c r="P6" i="4" s="1"/>
  <c r="AK6" i="4" s="1"/>
  <c r="P7" i="4"/>
  <c r="AK7" i="4" s="1"/>
  <c r="G106" i="12" a="1"/>
  <c r="G106" i="12" s="1"/>
  <c r="F93" i="1"/>
  <c r="F49" i="15" s="1"/>
  <c r="G11" i="10"/>
  <c r="F105" i="12" a="1"/>
  <c r="F105" i="12" s="1"/>
  <c r="J40" i="24"/>
  <c r="O34" i="13"/>
  <c r="P4" i="13"/>
  <c r="P43" i="13" s="1"/>
  <c r="F68" i="1" s="1"/>
  <c r="F59" i="9" s="1"/>
  <c r="F62" i="9" s="1"/>
  <c r="F64" i="9" s="1"/>
  <c r="J6" i="24"/>
  <c r="J10" i="24" s="1"/>
  <c r="C58" i="1" s="1"/>
  <c r="C14" i="9" s="1"/>
  <c r="C47" i="1"/>
  <c r="O9" i="19"/>
  <c r="O10" i="19"/>
  <c r="H66" i="20"/>
  <c r="H70" i="20" s="1"/>
  <c r="H23" i="1" s="1"/>
  <c r="J14" i="5" s="1"/>
  <c r="I64" i="20"/>
  <c r="M36" i="24"/>
  <c r="M40" i="24" s="1"/>
  <c r="G123" i="12" a="1"/>
  <c r="G123" i="12" s="1"/>
  <c r="G69" i="19"/>
  <c r="G70" i="19" s="1"/>
  <c r="G84" i="19" s="1"/>
  <c r="U6" i="26"/>
  <c r="S86" i="24"/>
  <c r="L55" i="1"/>
  <c r="G8" i="16"/>
  <c r="H4" i="16"/>
  <c r="M70" i="28"/>
  <c r="M7" i="24" s="1"/>
  <c r="E103" i="12" a="1"/>
  <c r="E103" i="12" s="1"/>
  <c r="J123" i="19"/>
  <c r="K124" i="19"/>
  <c r="J129" i="19"/>
  <c r="J128" i="19" s="1"/>
  <c r="J132" i="19" s="1"/>
  <c r="D140" i="12"/>
  <c r="D142" i="12" s="1"/>
  <c r="O15" i="5"/>
  <c r="S15" i="4" s="1"/>
  <c r="AN15" i="4" s="1"/>
  <c r="S16" i="4"/>
  <c r="AN16" i="4" s="1"/>
  <c r="L23" i="14"/>
  <c r="E71" i="1" s="1"/>
  <c r="G31" i="5" s="1"/>
  <c r="K31" i="4" s="1"/>
  <c r="L24" i="14"/>
  <c r="N5" i="14"/>
  <c r="I70" i="21"/>
  <c r="I69" i="21" s="1"/>
  <c r="J68" i="21"/>
  <c r="I63" i="21"/>
  <c r="K48" i="12"/>
  <c r="L5" i="12"/>
  <c r="K47" i="12"/>
  <c r="K45" i="12" s="1"/>
  <c r="E130" i="12" a="1"/>
  <c r="E130" i="12" s="1"/>
  <c r="N112" i="19"/>
  <c r="M113" i="19"/>
  <c r="K29" i="4"/>
  <c r="G32" i="5"/>
  <c r="K32" i="4" s="1"/>
  <c r="G126" i="12" a="1"/>
  <c r="G126" i="12" s="1"/>
  <c r="H69" i="19"/>
  <c r="H70" i="19" s="1"/>
  <c r="H84" i="19" s="1"/>
  <c r="H82" i="19"/>
  <c r="F134" i="12" a="1"/>
  <c r="F134" i="12" s="1"/>
  <c r="K36" i="24"/>
  <c r="K40" i="24" s="1"/>
  <c r="Y33" i="14"/>
  <c r="K73" i="1" s="1"/>
  <c r="K60" i="9" s="1"/>
  <c r="K62" i="9" s="1"/>
  <c r="X29" i="14" a="1"/>
  <c r="X29" i="14" s="1"/>
  <c r="K72" i="1" s="1"/>
  <c r="K54" i="9" s="1"/>
  <c r="K56" i="9" s="1"/>
  <c r="N28" i="17"/>
  <c r="F108" i="12" a="1"/>
  <c r="F108" i="12" s="1"/>
  <c r="R8" i="24"/>
  <c r="K56" i="1"/>
  <c r="P72" i="26"/>
  <c r="F76" i="19"/>
  <c r="C17" i="1" s="1"/>
  <c r="E41" i="5" s="1"/>
  <c r="I41" i="4" s="1"/>
  <c r="C12" i="1"/>
  <c r="E9" i="5" s="1"/>
  <c r="E114" i="12" a="1"/>
  <c r="E114" i="12" s="1"/>
  <c r="F127" i="12" a="1"/>
  <c r="F127" i="12" s="1"/>
  <c r="I107" i="12" a="1"/>
  <c r="I107" i="12" s="1"/>
  <c r="L45" i="17"/>
  <c r="L60" i="17" s="1"/>
  <c r="M37" i="17"/>
  <c r="K133" i="12" a="1"/>
  <c r="K133" i="12" s="1"/>
  <c r="I64" i="21"/>
  <c r="E47" i="21"/>
  <c r="H65" i="21"/>
  <c r="N32" i="26"/>
  <c r="N60" i="26" s="1"/>
  <c r="N68" i="26"/>
  <c r="N70" i="26" s="1"/>
  <c r="O86" i="24"/>
  <c r="H55" i="1"/>
  <c r="O6" i="24"/>
  <c r="H47" i="1"/>
  <c r="N54" i="19"/>
  <c r="N56" i="19"/>
  <c r="P31" i="26"/>
  <c r="F104" i="12" a="1"/>
  <c r="F104" i="12" s="1"/>
  <c r="L11" i="1"/>
  <c r="L39" i="9" s="1"/>
  <c r="L44" i="9" s="1"/>
  <c r="O30" i="19"/>
  <c r="S46" i="24"/>
  <c r="F71" i="19"/>
  <c r="F80" i="19" s="1"/>
  <c r="J118" i="19"/>
  <c r="I62" i="19"/>
  <c r="I65" i="19" s="1"/>
  <c r="I68" i="19" s="1"/>
  <c r="I75" i="19" s="1"/>
  <c r="I119" i="19"/>
  <c r="I61" i="19" s="1"/>
  <c r="F124" i="12" a="1"/>
  <c r="F124" i="12" s="1"/>
  <c r="F118" i="12" a="1"/>
  <c r="F118" i="12" s="1"/>
  <c r="F115" i="12" a="1"/>
  <c r="F115" i="12" s="1"/>
  <c r="D60" i="21"/>
  <c r="D28" i="1" s="1"/>
  <c r="F18" i="5" s="1"/>
  <c r="K61" i="17"/>
  <c r="K7" i="1"/>
  <c r="M7" i="5" s="1"/>
  <c r="K62" i="17"/>
  <c r="J40" i="18"/>
  <c r="J45" i="18" s="1"/>
  <c r="J53" i="18" s="1"/>
  <c r="I33" i="18"/>
  <c r="F135" i="12" a="1"/>
  <c r="F135" i="12" s="1"/>
  <c r="N29" i="26"/>
  <c r="N72" i="26"/>
  <c r="T20" i="24"/>
  <c r="M95" i="1"/>
  <c r="M16" i="9" s="1"/>
  <c r="O8" i="24"/>
  <c r="H56" i="1"/>
  <c r="E113" i="12" a="1"/>
  <c r="E113" i="12" s="1"/>
  <c r="K136" i="12" a="1"/>
  <c r="K136" i="12" s="1"/>
  <c r="G132" i="12" a="1"/>
  <c r="G132" i="12" s="1"/>
  <c r="R86" i="24"/>
  <c r="K55" i="1"/>
  <c r="R7" i="26"/>
  <c r="Q27" i="26"/>
  <c r="Q25" i="26"/>
  <c r="P86" i="24"/>
  <c r="I55" i="1"/>
  <c r="P6" i="19"/>
  <c r="P8" i="19" s="1"/>
  <c r="P56" i="19"/>
  <c r="N15" i="5"/>
  <c r="R15" i="4" s="1"/>
  <c r="AM15" i="4" s="1"/>
  <c r="R16" i="4"/>
  <c r="AM16" i="4" s="1"/>
  <c r="G110" i="12" a="1"/>
  <c r="G110" i="12" s="1"/>
  <c r="H102" i="12" a="1"/>
  <c r="H102" i="12" s="1"/>
  <c r="F117" i="12" a="1"/>
  <c r="F117" i="12" s="1"/>
  <c r="G109" i="12" a="1"/>
  <c r="G109" i="12" s="1"/>
  <c r="J64" i="9"/>
  <c r="C142" i="12"/>
  <c r="C50" i="11"/>
  <c r="G121" i="12" a="1"/>
  <c r="G121" i="12" s="1"/>
  <c r="H64" i="9"/>
  <c r="O11" i="19"/>
  <c r="E48" i="21"/>
  <c r="T7" i="14"/>
  <c r="R23" i="14"/>
  <c r="H71" i="1" s="1"/>
  <c r="J31" i="5" s="1"/>
  <c r="N31" i="4" s="1"/>
  <c r="AI31" i="4" s="1"/>
  <c r="R24" i="14"/>
  <c r="K56" i="18"/>
  <c r="K61" i="18" s="1"/>
  <c r="K33" i="1"/>
  <c r="M16" i="5" s="1"/>
  <c r="Q20" i="4"/>
  <c r="AL20" i="4" s="1"/>
  <c r="M19" i="5"/>
  <c r="Q19" i="4" s="1"/>
  <c r="AL19" i="4" s="1"/>
  <c r="F85" i="19"/>
  <c r="C15" i="1" s="1"/>
  <c r="F12" i="25"/>
  <c r="C108" i="1"/>
  <c r="C44" i="15" s="1"/>
  <c r="C47" i="15" s="1"/>
  <c r="C51" i="15" s="1"/>
  <c r="K97" i="12" a="1"/>
  <c r="K97" i="12" s="1"/>
  <c r="Q56" i="19"/>
  <c r="Q6" i="19"/>
  <c r="Q8" i="19" s="1"/>
  <c r="N8" i="24"/>
  <c r="G56" i="1"/>
  <c r="L62" i="18"/>
  <c r="F83" i="19"/>
  <c r="C14" i="1" s="1"/>
  <c r="E10" i="5" s="1"/>
  <c r="I10" i="4" s="1"/>
  <c r="F129" i="12" a="1"/>
  <c r="F129" i="12" s="1"/>
  <c r="U46" i="24" l="1"/>
  <c r="N95" i="1"/>
  <c r="N16" i="9" s="1"/>
  <c r="M10" i="24"/>
  <c r="F58" i="1" s="1"/>
  <c r="F14" i="9" s="1"/>
  <c r="L40" i="24"/>
  <c r="L20" i="24" s="1"/>
  <c r="L22" i="24" s="1"/>
  <c r="K20" i="24"/>
  <c r="K22" i="24" s="1"/>
  <c r="D95" i="1"/>
  <c r="D16" i="9" s="1"/>
  <c r="D18" i="9" s="1"/>
  <c r="D20" i="9" s="1"/>
  <c r="K46" i="24"/>
  <c r="O20" i="24"/>
  <c r="H95" i="1"/>
  <c r="H16" i="9" s="1"/>
  <c r="O46" i="24"/>
  <c r="M20" i="24"/>
  <c r="M22" i="24" s="1"/>
  <c r="F95" i="1"/>
  <c r="F16" i="9" s="1"/>
  <c r="F18" i="9" s="1"/>
  <c r="F20" i="9" s="1"/>
  <c r="M46" i="24"/>
  <c r="D186" i="12"/>
  <c r="D52" i="11"/>
  <c r="F12" i="1"/>
  <c r="H9" i="5" s="1"/>
  <c r="G117" i="12" a="1"/>
  <c r="G117" i="12" s="1"/>
  <c r="S28" i="26"/>
  <c r="R27" i="26"/>
  <c r="S7" i="26"/>
  <c r="R25" i="26"/>
  <c r="R31" i="26" s="1"/>
  <c r="N62" i="26"/>
  <c r="N66" i="24" s="1"/>
  <c r="O29" i="26"/>
  <c r="F17" i="5"/>
  <c r="J17" i="4" s="1"/>
  <c r="J18" i="4"/>
  <c r="I69" i="19"/>
  <c r="I82" i="19"/>
  <c r="L133" i="12" a="1"/>
  <c r="L133" i="12" s="1"/>
  <c r="K64" i="9"/>
  <c r="H85" i="19"/>
  <c r="E15" i="1" s="1"/>
  <c r="I71" i="19"/>
  <c r="I80" i="19" s="1"/>
  <c r="J63" i="21"/>
  <c r="J70" i="21"/>
  <c r="J69" i="21" s="1"/>
  <c r="K68" i="21"/>
  <c r="H8" i="16"/>
  <c r="I4" i="16"/>
  <c r="Q4" i="13"/>
  <c r="H11" i="10"/>
  <c r="G93" i="1"/>
  <c r="G49" i="15" s="1"/>
  <c r="K9" i="4"/>
  <c r="G83" i="19"/>
  <c r="D14" i="1" s="1"/>
  <c r="F10" i="5" s="1"/>
  <c r="J10" i="4" s="1"/>
  <c r="G26" i="11"/>
  <c r="R20" i="4"/>
  <c r="AM20" i="4" s="1"/>
  <c r="N19" i="5"/>
  <c r="R19" i="4" s="1"/>
  <c r="AM19" i="4" s="1"/>
  <c r="G120" i="12" a="1"/>
  <c r="G120" i="12" s="1"/>
  <c r="F113" i="12" a="1"/>
  <c r="F113" i="12" s="1"/>
  <c r="F114" i="12" a="1"/>
  <c r="F114" i="12" s="1"/>
  <c r="G10" i="16"/>
  <c r="F50" i="1" s="1"/>
  <c r="H42" i="5" s="1"/>
  <c r="L42" i="4" s="1"/>
  <c r="AG42" i="4" s="1"/>
  <c r="F49" i="1"/>
  <c r="H24" i="5" s="1"/>
  <c r="I13" i="5"/>
  <c r="M13" i="4" s="1"/>
  <c r="AH13" i="4" s="1"/>
  <c r="M14" i="4"/>
  <c r="AH14" i="4" s="1"/>
  <c r="J65" i="19"/>
  <c r="J68" i="19" s="1"/>
  <c r="J75" i="19" s="1"/>
  <c r="O19" i="5"/>
  <c r="S19" i="4" s="1"/>
  <c r="AN19" i="4" s="1"/>
  <c r="S20" i="4"/>
  <c r="AN20" i="4" s="1"/>
  <c r="Q125" i="19"/>
  <c r="Q130" i="19" s="1"/>
  <c r="P130" i="19"/>
  <c r="G116" i="12" a="1"/>
  <c r="G116" i="12" s="1"/>
  <c r="Q16" i="4"/>
  <c r="AL16" i="4" s="1"/>
  <c r="M15" i="5"/>
  <c r="Q15" i="4" s="1"/>
  <c r="AL15" i="4" s="1"/>
  <c r="H126" i="12" a="1"/>
  <c r="H126" i="12" s="1"/>
  <c r="G115" i="12" a="1"/>
  <c r="G115" i="12" s="1"/>
  <c r="K118" i="19"/>
  <c r="J62" i="19"/>
  <c r="J119" i="19"/>
  <c r="J61" i="19" s="1"/>
  <c r="J71" i="19" s="1"/>
  <c r="J80" i="19" s="1"/>
  <c r="M45" i="17"/>
  <c r="M60" i="17" s="1"/>
  <c r="N37" i="17"/>
  <c r="N45" i="17" s="1"/>
  <c r="N60" i="17" s="1"/>
  <c r="F130" i="12" a="1"/>
  <c r="F130" i="12" s="1"/>
  <c r="N23" i="14"/>
  <c r="F71" i="1" s="1"/>
  <c r="H31" i="5" s="1"/>
  <c r="L31" i="4" s="1"/>
  <c r="AG31" i="4" s="1"/>
  <c r="N24" i="14"/>
  <c r="J64" i="20"/>
  <c r="I66" i="20"/>
  <c r="I70" i="20" s="1"/>
  <c r="I23" i="1" s="1"/>
  <c r="K14" i="5" s="1"/>
  <c r="O33" i="13"/>
  <c r="F66" i="1" s="1"/>
  <c r="H29" i="5" s="1"/>
  <c r="H106" i="12" a="1"/>
  <c r="H106" i="12" s="1"/>
  <c r="K101" i="19"/>
  <c r="L95" i="19"/>
  <c r="G12" i="25"/>
  <c r="D108" i="1"/>
  <c r="D44" i="15" s="1"/>
  <c r="D47" i="15" s="1"/>
  <c r="D51" i="15" s="1"/>
  <c r="P15" i="5"/>
  <c r="T15" i="4" s="1"/>
  <c r="AO15" i="4" s="1"/>
  <c r="T16" i="4"/>
  <c r="AO16" i="4" s="1"/>
  <c r="P35" i="22"/>
  <c r="G111" i="12" a="1"/>
  <c r="G111" i="12" s="1"/>
  <c r="E140" i="12"/>
  <c r="P32" i="26"/>
  <c r="P60" i="26" s="1"/>
  <c r="P68" i="26"/>
  <c r="P70" i="26" s="1"/>
  <c r="Q9" i="19"/>
  <c r="Q10" i="19" s="1"/>
  <c r="I102" i="12" a="1"/>
  <c r="I102" i="12" s="1"/>
  <c r="C27" i="11"/>
  <c r="C28" i="11" s="1"/>
  <c r="D51" i="11"/>
  <c r="P9" i="19"/>
  <c r="P10" i="19"/>
  <c r="H33" i="18"/>
  <c r="I40" i="18"/>
  <c r="I45" i="18" s="1"/>
  <c r="I53" i="18" s="1"/>
  <c r="F78" i="19"/>
  <c r="C13" i="1"/>
  <c r="E11" i="5" s="1"/>
  <c r="I11" i="4" s="1"/>
  <c r="N6" i="24"/>
  <c r="G47" i="1"/>
  <c r="L61" i="17"/>
  <c r="L7" i="1"/>
  <c r="N7" i="5" s="1"/>
  <c r="L62" i="17"/>
  <c r="I9" i="4"/>
  <c r="K123" i="19"/>
  <c r="K109" i="19" s="1"/>
  <c r="L124" i="19"/>
  <c r="K129" i="19"/>
  <c r="K128" i="19" s="1"/>
  <c r="J13" i="5"/>
  <c r="N13" i="4" s="1"/>
  <c r="AI13" i="4" s="1"/>
  <c r="N14" i="4"/>
  <c r="AI14" i="4" s="1"/>
  <c r="K59" i="19"/>
  <c r="J104" i="19"/>
  <c r="J105" i="19" s="1"/>
  <c r="K60" i="19" s="1"/>
  <c r="G23" i="5"/>
  <c r="K23" i="4" s="1"/>
  <c r="K24" i="4"/>
  <c r="N62" i="28"/>
  <c r="N67" i="24" s="1"/>
  <c r="O29" i="28"/>
  <c r="N68" i="28"/>
  <c r="N70" i="28" s="1"/>
  <c r="N7" i="24" s="1"/>
  <c r="H112" i="12" a="1"/>
  <c r="H112" i="12" s="1"/>
  <c r="D27" i="11"/>
  <c r="E51" i="11"/>
  <c r="H121" i="12" a="1"/>
  <c r="H121" i="12" s="1"/>
  <c r="K62" i="18"/>
  <c r="G129" i="12" a="1"/>
  <c r="G129" i="12" s="1"/>
  <c r="C186" i="12"/>
  <c r="C52" i="11"/>
  <c r="H132" i="12" a="1"/>
  <c r="H132" i="12" s="1"/>
  <c r="J56" i="18"/>
  <c r="J61" i="18" s="1"/>
  <c r="J33" i="1"/>
  <c r="L16" i="5" s="1"/>
  <c r="G118" i="12" a="1"/>
  <c r="G118" i="12" s="1"/>
  <c r="N85" i="24"/>
  <c r="N88" i="24" s="1"/>
  <c r="G59" i="1" s="1"/>
  <c r="G5" i="9" s="1"/>
  <c r="G11" i="9" s="1"/>
  <c r="G46" i="1"/>
  <c r="G108" i="12" a="1"/>
  <c r="G108" i="12" s="1"/>
  <c r="J109" i="19"/>
  <c r="J20" i="24"/>
  <c r="J22" i="24" s="1"/>
  <c r="C95" i="1"/>
  <c r="C16" i="9" s="1"/>
  <c r="C18" i="9" s="1"/>
  <c r="C20" i="9" s="1"/>
  <c r="J46" i="24"/>
  <c r="H131" i="12" a="1"/>
  <c r="H131" i="12" s="1"/>
  <c r="Z5" i="14"/>
  <c r="G135" i="12" a="1"/>
  <c r="G135" i="12" s="1"/>
  <c r="C16" i="1"/>
  <c r="E40" i="5" s="1"/>
  <c r="I40" i="4" s="1"/>
  <c r="V7" i="14"/>
  <c r="T24" i="14"/>
  <c r="T23" i="14"/>
  <c r="I71" i="1" s="1"/>
  <c r="K31" i="5" s="1"/>
  <c r="O31" i="4" s="1"/>
  <c r="AJ31" i="4" s="1"/>
  <c r="H110" i="12" a="1"/>
  <c r="H110" i="12" s="1"/>
  <c r="J107" i="12" a="1"/>
  <c r="J107" i="12" s="1"/>
  <c r="G134" i="12" a="1"/>
  <c r="G134" i="12" s="1"/>
  <c r="L48" i="12"/>
  <c r="M5" i="12"/>
  <c r="L47" i="12"/>
  <c r="G61" i="12"/>
  <c r="H61" i="12" s="1"/>
  <c r="F103" i="12" a="1"/>
  <c r="F103" i="12" s="1"/>
  <c r="E139" i="12" a="1"/>
  <c r="E139" i="12" s="1"/>
  <c r="F12" i="16"/>
  <c r="N74" i="27"/>
  <c r="M74" i="24"/>
  <c r="O88" i="24"/>
  <c r="H59" i="1" s="1"/>
  <c r="H5" i="9" s="1"/>
  <c r="H11" i="9" s="1"/>
  <c r="H109" i="12" a="1"/>
  <c r="H109" i="12" s="1"/>
  <c r="Q31" i="26"/>
  <c r="M6" i="5"/>
  <c r="Q6" i="4" s="1"/>
  <c r="AL6" i="4" s="1"/>
  <c r="Q7" i="4"/>
  <c r="AL7" i="4" s="1"/>
  <c r="G124" i="12" a="1"/>
  <c r="G124" i="12" s="1"/>
  <c r="E52" i="21"/>
  <c r="E54" i="21" s="1"/>
  <c r="E58" i="21" s="1"/>
  <c r="E60" i="21" s="1"/>
  <c r="E28" i="1" s="1"/>
  <c r="G18" i="5" s="1"/>
  <c r="O112" i="19"/>
  <c r="N113" i="19"/>
  <c r="G85" i="19"/>
  <c r="D15" i="1" s="1"/>
  <c r="D16" i="1"/>
  <c r="F40" i="5" s="1"/>
  <c r="J40" i="4" s="1"/>
  <c r="G105" i="12" a="1"/>
  <c r="G105" i="12" s="1"/>
  <c r="N74" i="28"/>
  <c r="M73" i="24"/>
  <c r="G30" i="19"/>
  <c r="D10" i="1"/>
  <c r="D31" i="9" s="1"/>
  <c r="D36" i="9" s="1"/>
  <c r="D46" i="9" s="1"/>
  <c r="G122" i="12" a="1"/>
  <c r="G122" i="12" s="1"/>
  <c r="F8" i="5"/>
  <c r="J8" i="4" s="1"/>
  <c r="J9" i="4"/>
  <c r="I125" i="12" a="1"/>
  <c r="I125" i="12" s="1"/>
  <c r="M72" i="24"/>
  <c r="N74" i="26"/>
  <c r="P29" i="27"/>
  <c r="O62" i="27"/>
  <c r="O68" i="24" s="1"/>
  <c r="P11" i="19"/>
  <c r="Q72" i="26"/>
  <c r="L136" i="12" a="1"/>
  <c r="L136" i="12" s="1"/>
  <c r="G104" i="12" a="1"/>
  <c r="G104" i="12" s="1"/>
  <c r="F48" i="21"/>
  <c r="G127" i="12" a="1"/>
  <c r="G127" i="12" s="1"/>
  <c r="H83" i="19"/>
  <c r="E14" i="1" s="1"/>
  <c r="G10" i="5" s="1"/>
  <c r="K10" i="4" s="1"/>
  <c r="I65" i="21"/>
  <c r="F47" i="21"/>
  <c r="F52" i="21" s="1"/>
  <c r="F54" i="21" s="1"/>
  <c r="F58" i="21" s="1"/>
  <c r="F60" i="21" s="1"/>
  <c r="F28" i="1" s="1"/>
  <c r="H18" i="5" s="1"/>
  <c r="J64" i="21"/>
  <c r="G48" i="21" s="1"/>
  <c r="H123" i="12" a="1"/>
  <c r="H123" i="12" s="1"/>
  <c r="F119" i="12" a="1"/>
  <c r="F119" i="12" s="1"/>
  <c r="I102" i="19"/>
  <c r="L75" i="24"/>
  <c r="M75" i="24" l="1"/>
  <c r="E95" i="1"/>
  <c r="E16" i="9" s="1"/>
  <c r="E18" i="9" s="1"/>
  <c r="E20" i="9" s="1"/>
  <c r="L46" i="24"/>
  <c r="M48" i="24"/>
  <c r="M49" i="24" s="1"/>
  <c r="J48" i="24"/>
  <c r="J49" i="24" s="1"/>
  <c r="J78" i="19"/>
  <c r="J16" i="19" s="1"/>
  <c r="J19" i="19" s="1"/>
  <c r="G13" i="1"/>
  <c r="I11" i="5" s="1"/>
  <c r="M11" i="4" s="1"/>
  <c r="AH11" i="4" s="1"/>
  <c r="H135" i="12" a="1"/>
  <c r="H135" i="12" s="1"/>
  <c r="H127" i="12" a="1"/>
  <c r="H127" i="12" s="1"/>
  <c r="H105" i="12" a="1"/>
  <c r="H105" i="12" s="1"/>
  <c r="H124" i="12" a="1"/>
  <c r="H124" i="12" s="1"/>
  <c r="G103" i="12" a="1"/>
  <c r="G103" i="12" s="1"/>
  <c r="F139" i="12" a="1"/>
  <c r="F139" i="12" s="1"/>
  <c r="I131" i="12" a="1"/>
  <c r="I131" i="12" s="1"/>
  <c r="L48" i="24"/>
  <c r="M124" i="19"/>
  <c r="L129" i="19"/>
  <c r="L128" i="19" s="1"/>
  <c r="L132" i="19" s="1"/>
  <c r="L123" i="19"/>
  <c r="N10" i="24"/>
  <c r="D28" i="11"/>
  <c r="C29" i="11"/>
  <c r="C40" i="11" s="1"/>
  <c r="C47" i="11" s="1"/>
  <c r="C53" i="11" s="1"/>
  <c r="J66" i="20"/>
  <c r="J70" i="20" s="1"/>
  <c r="K64" i="20"/>
  <c r="I78" i="19"/>
  <c r="I16" i="19" s="1"/>
  <c r="I19" i="19" s="1"/>
  <c r="F13" i="1"/>
  <c r="H11" i="5" s="1"/>
  <c r="L11" i="4" s="1"/>
  <c r="AG11" i="4" s="1"/>
  <c r="S73" i="26"/>
  <c r="K107" i="12" a="1"/>
  <c r="K107" i="12" s="1"/>
  <c r="J102" i="12" a="1"/>
  <c r="J102" i="12" s="1"/>
  <c r="L118" i="19"/>
  <c r="K119" i="19"/>
  <c r="K61" i="19" s="1"/>
  <c r="K62" i="19"/>
  <c r="K65" i="19" s="1"/>
  <c r="K68" i="19" s="1"/>
  <c r="H116" i="12" a="1"/>
  <c r="H116" i="12" s="1"/>
  <c r="G12" i="1"/>
  <c r="I9" i="5" s="1"/>
  <c r="G113" i="12" a="1"/>
  <c r="G113" i="12" s="1"/>
  <c r="I11" i="10"/>
  <c r="H93" i="1"/>
  <c r="H49" i="15" s="1"/>
  <c r="E16" i="1"/>
  <c r="G40" i="5" s="1"/>
  <c r="K40" i="4" s="1"/>
  <c r="H117" i="12" a="1"/>
  <c r="H117" i="12" s="1"/>
  <c r="M61" i="24"/>
  <c r="I7" i="25"/>
  <c r="Q11" i="19"/>
  <c r="I123" i="12" a="1"/>
  <c r="I123" i="12" s="1"/>
  <c r="H122" i="12" a="1"/>
  <c r="H122" i="12" s="1"/>
  <c r="I112" i="12" a="1"/>
  <c r="I112" i="12" s="1"/>
  <c r="L101" i="19"/>
  <c r="M95" i="19"/>
  <c r="H115" i="12" a="1"/>
  <c r="H115" i="12" s="1"/>
  <c r="H26" i="11"/>
  <c r="Q34" i="13"/>
  <c r="R4" i="13"/>
  <c r="R43" i="13" s="1"/>
  <c r="G68" i="1" s="1"/>
  <c r="G59" i="9" s="1"/>
  <c r="G62" i="9" s="1"/>
  <c r="G64" i="9" s="1"/>
  <c r="Q29" i="27"/>
  <c r="P62" i="27"/>
  <c r="P68" i="24" s="1"/>
  <c r="I110" i="12" a="1"/>
  <c r="I110" i="12" s="1"/>
  <c r="H118" i="12" a="1"/>
  <c r="H118" i="12" s="1"/>
  <c r="H129" i="12" a="1"/>
  <c r="H129" i="12" s="1"/>
  <c r="E8" i="5"/>
  <c r="I8" i="4" s="1"/>
  <c r="I56" i="18"/>
  <c r="I61" i="18" s="1"/>
  <c r="I33" i="1"/>
  <c r="K16" i="5" s="1"/>
  <c r="H111" i="12" a="1"/>
  <c r="H111" i="12" s="1"/>
  <c r="L59" i="19"/>
  <c r="K104" i="19"/>
  <c r="K105" i="19" s="1"/>
  <c r="L60" i="19" s="1"/>
  <c r="G130" i="12" a="1"/>
  <c r="G130" i="12" s="1"/>
  <c r="J4" i="16"/>
  <c r="I8" i="16"/>
  <c r="O62" i="26"/>
  <c r="O66" i="24" s="1"/>
  <c r="P29" i="26"/>
  <c r="L9" i="4"/>
  <c r="AG9" i="4" s="1"/>
  <c r="O74" i="27"/>
  <c r="N74" i="24"/>
  <c r="H12" i="25"/>
  <c r="E108" i="1"/>
  <c r="E44" i="15" s="1"/>
  <c r="E47" i="15" s="1"/>
  <c r="E51" i="15" s="1"/>
  <c r="N72" i="24"/>
  <c r="O74" i="26"/>
  <c r="N5" i="12"/>
  <c r="M47" i="12"/>
  <c r="C62" i="1" s="1"/>
  <c r="E36" i="5" s="1"/>
  <c r="M48" i="12"/>
  <c r="G33" i="18"/>
  <c r="H40" i="18"/>
  <c r="H45" i="18" s="1"/>
  <c r="H53" i="18" s="1"/>
  <c r="I106" i="12" a="1"/>
  <c r="I106" i="12" s="1"/>
  <c r="L24" i="4"/>
  <c r="AG24" i="4" s="1"/>
  <c r="H23" i="5"/>
  <c r="L23" i="4" s="1"/>
  <c r="AG23" i="4" s="1"/>
  <c r="H12" i="16"/>
  <c r="H10" i="16"/>
  <c r="G50" i="1" s="1"/>
  <c r="I42" i="5" s="1"/>
  <c r="M42" i="4" s="1"/>
  <c r="AH42" i="4" s="1"/>
  <c r="G49" i="1"/>
  <c r="I24" i="5" s="1"/>
  <c r="M133" i="12" a="1"/>
  <c r="M133" i="12" s="1"/>
  <c r="N69" i="24"/>
  <c r="G107" i="1" s="1"/>
  <c r="G42" i="15" s="1"/>
  <c r="L45" i="12"/>
  <c r="B62" i="1"/>
  <c r="L49" i="12"/>
  <c r="M136" i="12" a="1"/>
  <c r="M136" i="12" s="1"/>
  <c r="L15" i="5"/>
  <c r="P15" i="4" s="1"/>
  <c r="AK15" i="4" s="1"/>
  <c r="P16" i="4"/>
  <c r="AK16" i="4" s="1"/>
  <c r="N61" i="17"/>
  <c r="N7" i="1"/>
  <c r="P7" i="5" s="1"/>
  <c r="Q64" i="17"/>
  <c r="K64" i="17" s="1"/>
  <c r="N62" i="17"/>
  <c r="I126" i="12" a="1"/>
  <c r="I126" i="12" s="1"/>
  <c r="L68" i="21"/>
  <c r="K63" i="21"/>
  <c r="K70" i="21"/>
  <c r="K69" i="21" s="1"/>
  <c r="R68" i="26"/>
  <c r="R70" i="26" s="1"/>
  <c r="R32" i="26"/>
  <c r="R60" i="26" s="1"/>
  <c r="H104" i="12" a="1"/>
  <c r="H104" i="12" s="1"/>
  <c r="H17" i="5"/>
  <c r="L17" i="4" s="1"/>
  <c r="AG17" i="4" s="1"/>
  <c r="L18" i="4"/>
  <c r="AG18" i="4" s="1"/>
  <c r="I12" i="25"/>
  <c r="F108" i="1"/>
  <c r="F44" i="15" s="1"/>
  <c r="F47" i="15" s="1"/>
  <c r="F51" i="15" s="1"/>
  <c r="P112" i="19"/>
  <c r="O113" i="19"/>
  <c r="Q32" i="26"/>
  <c r="Q60" i="26" s="1"/>
  <c r="Q68" i="26"/>
  <c r="Q70" i="26" s="1"/>
  <c r="O62" i="28"/>
  <c r="O67" i="24" s="1"/>
  <c r="P29" i="28"/>
  <c r="O68" i="28"/>
  <c r="O70" i="28" s="1"/>
  <c r="O7" i="24" s="1"/>
  <c r="O10" i="24" s="1"/>
  <c r="H58" i="1" s="1"/>
  <c r="H14" i="9" s="1"/>
  <c r="H18" i="9" s="1"/>
  <c r="H20" i="9" s="1"/>
  <c r="N6" i="5"/>
  <c r="R6" i="4" s="1"/>
  <c r="AM6" i="4" s="1"/>
  <c r="R7" i="4"/>
  <c r="AM7" i="4" s="1"/>
  <c r="P36" i="22"/>
  <c r="L23" i="22" s="1"/>
  <c r="L24" i="22" s="1"/>
  <c r="P34" i="22"/>
  <c r="N33" i="22"/>
  <c r="N78" i="1" s="1"/>
  <c r="P20" i="5" s="1"/>
  <c r="J125" i="12" a="1"/>
  <c r="J125" i="12" s="1"/>
  <c r="I109" i="12" a="1"/>
  <c r="I109" i="12" s="1"/>
  <c r="AB5" i="14"/>
  <c r="H108" i="12" a="1"/>
  <c r="H108" i="12" s="1"/>
  <c r="I121" i="12" a="1"/>
  <c r="I121" i="12" s="1"/>
  <c r="P6" i="24"/>
  <c r="I47" i="1"/>
  <c r="H32" i="5"/>
  <c r="L32" i="4" s="1"/>
  <c r="AG32" i="4" s="1"/>
  <c r="L29" i="4"/>
  <c r="AG29" i="4" s="1"/>
  <c r="M61" i="17"/>
  <c r="M7" i="1"/>
  <c r="O7" i="5" s="1"/>
  <c r="M62" i="17"/>
  <c r="G12" i="16"/>
  <c r="H120" i="12" a="1"/>
  <c r="H120" i="12" s="1"/>
  <c r="G8" i="5"/>
  <c r="K8" i="4" s="1"/>
  <c r="S27" i="26"/>
  <c r="T28" i="26"/>
  <c r="T7" i="26"/>
  <c r="S25" i="26"/>
  <c r="S31" i="26" s="1"/>
  <c r="S68" i="26" s="1"/>
  <c r="S70" i="26" s="1"/>
  <c r="G119" i="12" a="1"/>
  <c r="G119" i="12" s="1"/>
  <c r="O74" i="28"/>
  <c r="N73" i="24"/>
  <c r="K18" i="4"/>
  <c r="G17" i="5"/>
  <c r="K17" i="4" s="1"/>
  <c r="E142" i="12"/>
  <c r="E50" i="11"/>
  <c r="F140" i="12"/>
  <c r="H134" i="12" a="1"/>
  <c r="H134" i="12" s="1"/>
  <c r="X7" i="14"/>
  <c r="V24" i="14"/>
  <c r="V23" i="14"/>
  <c r="J71" i="1" s="1"/>
  <c r="L31" i="5" s="1"/>
  <c r="P31" i="4" s="1"/>
  <c r="AK31" i="4" s="1"/>
  <c r="I132" i="12" a="1"/>
  <c r="I132" i="12" s="1"/>
  <c r="K132" i="19"/>
  <c r="P85" i="24"/>
  <c r="P88" i="24" s="1"/>
  <c r="I59" i="1" s="1"/>
  <c r="I5" i="9" s="1"/>
  <c r="I11" i="9" s="1"/>
  <c r="I46" i="1"/>
  <c r="K13" i="5"/>
  <c r="O13" i="4" s="1"/>
  <c r="AJ13" i="4" s="1"/>
  <c r="O14" i="4"/>
  <c r="AJ14" i="4" s="1"/>
  <c r="J69" i="19"/>
  <c r="J82" i="19"/>
  <c r="G114" i="12" a="1"/>
  <c r="G114" i="12" s="1"/>
  <c r="G47" i="21"/>
  <c r="G52" i="21" s="1"/>
  <c r="G54" i="21" s="1"/>
  <c r="G58" i="21" s="1"/>
  <c r="J65" i="21"/>
  <c r="K64" i="21"/>
  <c r="H48" i="21" s="1"/>
  <c r="I83" i="19"/>
  <c r="F14" i="1" s="1"/>
  <c r="H10" i="5" s="1"/>
  <c r="L10" i="4" s="1"/>
  <c r="AG10" i="4" s="1"/>
  <c r="R72" i="26"/>
  <c r="K48" i="24"/>
  <c r="F7" i="25" l="1"/>
  <c r="J61" i="24"/>
  <c r="J63" i="24" s="1"/>
  <c r="K75" i="19"/>
  <c r="K71" i="19"/>
  <c r="K80" i="19" s="1"/>
  <c r="S6" i="24"/>
  <c r="L47" i="1"/>
  <c r="H119" i="12" a="1"/>
  <c r="H119" i="12" s="1"/>
  <c r="I120" i="12" a="1"/>
  <c r="I120" i="12" s="1"/>
  <c r="L26" i="22"/>
  <c r="L36" i="1"/>
  <c r="L34" i="9" s="1"/>
  <c r="L36" i="9" s="1"/>
  <c r="L46" i="9" s="1"/>
  <c r="I104" i="12" a="1"/>
  <c r="I104" i="12" s="1"/>
  <c r="H56" i="18"/>
  <c r="H61" i="18" s="1"/>
  <c r="H33" i="1"/>
  <c r="J16" i="5" s="1"/>
  <c r="E49" i="5"/>
  <c r="E46" i="5"/>
  <c r="I46" i="4" s="1"/>
  <c r="I36" i="4"/>
  <c r="P74" i="27"/>
  <c r="O74" i="24"/>
  <c r="H130" i="12" a="1"/>
  <c r="H130" i="12" s="1"/>
  <c r="Q62" i="27"/>
  <c r="Q68" i="24" s="1"/>
  <c r="R29" i="27"/>
  <c r="I115" i="12" a="1"/>
  <c r="I115" i="12" s="1"/>
  <c r="J123" i="12" a="1"/>
  <c r="J123" i="12" s="1"/>
  <c r="J131" i="12" a="1"/>
  <c r="J131" i="12" s="1"/>
  <c r="H114" i="12" a="1"/>
  <c r="H114" i="12" s="1"/>
  <c r="M24" i="4"/>
  <c r="AH24" i="4" s="1"/>
  <c r="I23" i="5"/>
  <c r="M23" i="4" s="1"/>
  <c r="AH23" i="4" s="1"/>
  <c r="G40" i="18"/>
  <c r="G45" i="18" s="1"/>
  <c r="G53" i="18" s="1"/>
  <c r="F33" i="18"/>
  <c r="N48" i="12"/>
  <c r="O5" i="12"/>
  <c r="N47" i="12"/>
  <c r="D62" i="1" s="1"/>
  <c r="F36" i="5" s="1"/>
  <c r="I129" i="12" a="1"/>
  <c r="I129" i="12" s="1"/>
  <c r="I127" i="12" a="1"/>
  <c r="I127" i="12" s="1"/>
  <c r="I108" i="12" a="1"/>
  <c r="I108" i="12" s="1"/>
  <c r="K61" i="24"/>
  <c r="G7" i="25"/>
  <c r="K49" i="24"/>
  <c r="J83" i="19"/>
  <c r="G14" i="1" s="1"/>
  <c r="I10" i="5" s="1"/>
  <c r="M10" i="4" s="1"/>
  <c r="AH10" i="4" s="1"/>
  <c r="J132" i="12" a="1"/>
  <c r="J132" i="12" s="1"/>
  <c r="E27" i="11"/>
  <c r="E28" i="11" s="1"/>
  <c r="F51" i="11"/>
  <c r="J121" i="12" a="1"/>
  <c r="J121" i="12" s="1"/>
  <c r="J109" i="12" a="1"/>
  <c r="J109" i="12" s="1"/>
  <c r="Q112" i="19"/>
  <c r="P113" i="19"/>
  <c r="R85" i="24"/>
  <c r="R88" i="24" s="1"/>
  <c r="K59" i="1" s="1"/>
  <c r="K5" i="9" s="1"/>
  <c r="K11" i="9" s="1"/>
  <c r="K46" i="1"/>
  <c r="H8" i="5"/>
  <c r="L8" i="4" s="1"/>
  <c r="AG8" i="4" s="1"/>
  <c r="S4" i="13"/>
  <c r="M101" i="19"/>
  <c r="N95" i="19"/>
  <c r="J11" i="10"/>
  <c r="I93" i="1"/>
  <c r="I49" i="15" s="1"/>
  <c r="K69" i="19"/>
  <c r="K82" i="19"/>
  <c r="S32" i="26"/>
  <c r="S60" i="26" s="1"/>
  <c r="D29" i="11"/>
  <c r="D40" i="11" s="1"/>
  <c r="D47" i="11" s="1"/>
  <c r="D53" i="11" s="1"/>
  <c r="F142" i="12"/>
  <c r="F50" i="11"/>
  <c r="G140" i="12"/>
  <c r="R6" i="24"/>
  <c r="K47" i="1"/>
  <c r="T7" i="4"/>
  <c r="AO7" i="4" s="1"/>
  <c r="P6" i="5"/>
  <c r="T6" i="4" s="1"/>
  <c r="AO6" i="4" s="1"/>
  <c r="O72" i="24"/>
  <c r="P74" i="26"/>
  <c r="I118" i="12" a="1"/>
  <c r="I118" i="12" s="1"/>
  <c r="L104" i="19"/>
  <c r="L105" i="19" s="1"/>
  <c r="M60" i="19" s="1"/>
  <c r="M59" i="19"/>
  <c r="H113" i="12" a="1"/>
  <c r="H113" i="12" s="1"/>
  <c r="M118" i="19"/>
  <c r="L119" i="19"/>
  <c r="L61" i="19" s="1"/>
  <c r="L62" i="19"/>
  <c r="G58" i="1"/>
  <c r="G14" i="9" s="1"/>
  <c r="G18" i="9" s="1"/>
  <c r="G20" i="9" s="1"/>
  <c r="N22" i="24"/>
  <c r="N48" i="24" s="1"/>
  <c r="H103" i="12" a="1"/>
  <c r="H103" i="12" s="1"/>
  <c r="G139" i="12" a="1"/>
  <c r="G139" i="12" s="1"/>
  <c r="I135" i="12" a="1"/>
  <c r="I135" i="12" s="1"/>
  <c r="U7" i="26"/>
  <c r="U25" i="26" s="1"/>
  <c r="U31" i="26" s="1"/>
  <c r="T27" i="26"/>
  <c r="T25" i="26"/>
  <c r="S7" i="4"/>
  <c r="AN7" i="4" s="1"/>
  <c r="O6" i="5"/>
  <c r="S6" i="4" s="1"/>
  <c r="AN6" i="4" s="1"/>
  <c r="K125" i="12" a="1"/>
  <c r="K125" i="12" s="1"/>
  <c r="P62" i="28"/>
  <c r="P67" i="24" s="1"/>
  <c r="Q29" i="28"/>
  <c r="P68" i="28"/>
  <c r="P70" i="28" s="1"/>
  <c r="P7" i="24" s="1"/>
  <c r="P10" i="24" s="1"/>
  <c r="O22" i="24"/>
  <c r="O48" i="24" s="1"/>
  <c r="F8" i="25"/>
  <c r="F11" i="25" s="1"/>
  <c r="F16" i="25"/>
  <c r="C106" i="1"/>
  <c r="C43" i="15" s="1"/>
  <c r="N75" i="24"/>
  <c r="P62" i="26"/>
  <c r="P66" i="24" s="1"/>
  <c r="Q29" i="26"/>
  <c r="I111" i="12" a="1"/>
  <c r="I111" i="12" s="1"/>
  <c r="Q33" i="13"/>
  <c r="G66" i="1" s="1"/>
  <c r="I29" i="5" s="1"/>
  <c r="J112" i="12" a="1"/>
  <c r="J112" i="12" s="1"/>
  <c r="K102" i="12" a="1"/>
  <c r="K102" i="12" s="1"/>
  <c r="L109" i="19"/>
  <c r="O69" i="24"/>
  <c r="H107" i="1" s="1"/>
  <c r="H42" i="15" s="1"/>
  <c r="J110" i="12" a="1"/>
  <c r="J110" i="12" s="1"/>
  <c r="I8" i="5"/>
  <c r="M8" i="4" s="1"/>
  <c r="AH8" i="4" s="1"/>
  <c r="M9" i="4"/>
  <c r="AH9" i="4" s="1"/>
  <c r="I30" i="19"/>
  <c r="F10" i="1"/>
  <c r="F31" i="9" s="1"/>
  <c r="F36" i="9" s="1"/>
  <c r="F46" i="9" s="1"/>
  <c r="I124" i="12" a="1"/>
  <c r="I124" i="12" s="1"/>
  <c r="E186" i="12"/>
  <c r="E52" i="11"/>
  <c r="T73" i="26"/>
  <c r="K65" i="21"/>
  <c r="L64" i="21"/>
  <c r="I48" i="21" s="1"/>
  <c r="H47" i="21"/>
  <c r="H52" i="21" s="1"/>
  <c r="H54" i="21" s="1"/>
  <c r="H58" i="21" s="1"/>
  <c r="H60" i="21" s="1"/>
  <c r="H28" i="1" s="1"/>
  <c r="J18" i="5" s="1"/>
  <c r="Q6" i="24"/>
  <c r="J47" i="1"/>
  <c r="I122" i="12" a="1"/>
  <c r="I122" i="12" s="1"/>
  <c r="I117" i="12" a="1"/>
  <c r="I117" i="12" s="1"/>
  <c r="K66" i="20"/>
  <c r="K70" i="20" s="1"/>
  <c r="L64" i="20"/>
  <c r="N124" i="19"/>
  <c r="M123" i="19"/>
  <c r="M129" i="19"/>
  <c r="M128" i="19" s="1"/>
  <c r="M132" i="19" s="1"/>
  <c r="Z7" i="14"/>
  <c r="X24" i="14"/>
  <c r="X23" i="14"/>
  <c r="K71" i="1" s="1"/>
  <c r="M31" i="5" s="1"/>
  <c r="Q31" i="4" s="1"/>
  <c r="AL31" i="4" s="1"/>
  <c r="S72" i="26"/>
  <c r="P19" i="5"/>
  <c r="T19" i="4" s="1"/>
  <c r="AO19" i="4" s="1"/>
  <c r="T20" i="4"/>
  <c r="AO20" i="4" s="1"/>
  <c r="L63" i="21"/>
  <c r="M68" i="21"/>
  <c r="L70" i="21"/>
  <c r="L69" i="21" s="1"/>
  <c r="J106" i="12" a="1"/>
  <c r="J106" i="12" s="1"/>
  <c r="I10" i="16"/>
  <c r="H50" i="1" s="1"/>
  <c r="J42" i="5" s="1"/>
  <c r="N42" i="4" s="1"/>
  <c r="AI42" i="4" s="1"/>
  <c r="I12" i="16"/>
  <c r="H49" i="1"/>
  <c r="J24" i="5" s="1"/>
  <c r="K15" i="5"/>
  <c r="O15" i="4" s="1"/>
  <c r="AJ15" i="4" s="1"/>
  <c r="O16" i="4"/>
  <c r="AJ16" i="4" s="1"/>
  <c r="G60" i="21"/>
  <c r="G28" i="1" s="1"/>
  <c r="I18" i="5" s="1"/>
  <c r="I134" i="12" a="1"/>
  <c r="I134" i="12" s="1"/>
  <c r="P74" i="28"/>
  <c r="O73" i="24"/>
  <c r="AD5" i="14"/>
  <c r="Q85" i="24"/>
  <c r="Q88" i="24" s="1"/>
  <c r="J59" i="1" s="1"/>
  <c r="J5" i="9" s="1"/>
  <c r="J11" i="9" s="1"/>
  <c r="J46" i="1"/>
  <c r="J126" i="12" a="1"/>
  <c r="J126" i="12" s="1"/>
  <c r="N136" i="12" a="1"/>
  <c r="N136" i="12" s="1"/>
  <c r="N133" i="12" a="1"/>
  <c r="N133" i="12" s="1"/>
  <c r="J8" i="16"/>
  <c r="K4" i="16"/>
  <c r="I26" i="11"/>
  <c r="I116" i="12" a="1"/>
  <c r="I116" i="12" s="1"/>
  <c r="L107" i="12" a="1"/>
  <c r="L107" i="12" s="1"/>
  <c r="J71" i="20"/>
  <c r="J23" i="1"/>
  <c r="L14" i="5" s="1"/>
  <c r="J72" i="20"/>
  <c r="L61" i="24"/>
  <c r="L49" i="24"/>
  <c r="H7" i="25"/>
  <c r="I105" i="12" a="1"/>
  <c r="I105" i="12" s="1"/>
  <c r="J30" i="19"/>
  <c r="G10" i="1"/>
  <c r="G31" i="9" s="1"/>
  <c r="G36" i="9" s="1"/>
  <c r="G46" i="9" s="1"/>
  <c r="K63" i="24" l="1"/>
  <c r="L63" i="24" s="1"/>
  <c r="H16" i="25" s="1"/>
  <c r="E29" i="11"/>
  <c r="E40" i="11" s="1"/>
  <c r="E47" i="11" s="1"/>
  <c r="E53" i="11" s="1"/>
  <c r="I58" i="1"/>
  <c r="I14" i="9" s="1"/>
  <c r="I18" i="9" s="1"/>
  <c r="I20" i="9" s="1"/>
  <c r="P22" i="24"/>
  <c r="P48" i="24" s="1"/>
  <c r="K126" i="12" a="1"/>
  <c r="K126" i="12" s="1"/>
  <c r="P69" i="24"/>
  <c r="I107" i="1" s="1"/>
  <c r="I42" i="15" s="1"/>
  <c r="J135" i="12" a="1"/>
  <c r="J135" i="12" s="1"/>
  <c r="L82" i="19"/>
  <c r="L65" i="19"/>
  <c r="L68" i="19" s="1"/>
  <c r="L75" i="19" s="1"/>
  <c r="J108" i="12" a="1"/>
  <c r="J108" i="12" s="1"/>
  <c r="K131" i="12" a="1"/>
  <c r="K131" i="12" s="1"/>
  <c r="I130" i="12" a="1"/>
  <c r="I130" i="12" s="1"/>
  <c r="I119" i="12" a="1"/>
  <c r="I119" i="12" s="1"/>
  <c r="J116" i="12" a="1"/>
  <c r="J116" i="12" s="1"/>
  <c r="K121" i="12" a="1"/>
  <c r="K121" i="12" s="1"/>
  <c r="F46" i="5"/>
  <c r="J46" i="4" s="1"/>
  <c r="J36" i="4"/>
  <c r="R62" i="27"/>
  <c r="R68" i="24" s="1"/>
  <c r="S29" i="27"/>
  <c r="P73" i="24"/>
  <c r="Q74" i="28"/>
  <c r="J26" i="11"/>
  <c r="J134" i="12" a="1"/>
  <c r="J134" i="12" s="1"/>
  <c r="M109" i="19"/>
  <c r="J12" i="25"/>
  <c r="G108" i="1"/>
  <c r="G44" i="15" s="1"/>
  <c r="G47" i="15" s="1"/>
  <c r="G51" i="15" s="1"/>
  <c r="L125" i="12" a="1"/>
  <c r="L125" i="12" s="1"/>
  <c r="N118" i="19"/>
  <c r="M119" i="19"/>
  <c r="M61" i="19" s="1"/>
  <c r="M62" i="19"/>
  <c r="L71" i="19"/>
  <c r="L80" i="19" s="1"/>
  <c r="F40" i="18"/>
  <c r="F45" i="18" s="1"/>
  <c r="F53" i="18" s="1"/>
  <c r="E33" i="18"/>
  <c r="J104" i="12" a="1"/>
  <c r="J104" i="12" s="1"/>
  <c r="O124" i="19"/>
  <c r="N123" i="19"/>
  <c r="N129" i="19"/>
  <c r="N128" i="19" s="1"/>
  <c r="N132" i="19" s="1"/>
  <c r="K110" i="12" a="1"/>
  <c r="K110" i="12" s="1"/>
  <c r="K112" i="12" a="1"/>
  <c r="K112" i="12" s="1"/>
  <c r="C23" i="15"/>
  <c r="C24" i="15" s="1"/>
  <c r="C26" i="15" s="1"/>
  <c r="C101" i="1" s="1"/>
  <c r="C68" i="9" s="1"/>
  <c r="C70" i="9" s="1"/>
  <c r="C73" i="9" s="1"/>
  <c r="C53" i="15"/>
  <c r="C45" i="15"/>
  <c r="C77" i="1" s="1"/>
  <c r="E26" i="5" s="1"/>
  <c r="C52" i="15"/>
  <c r="G142" i="12"/>
  <c r="G50" i="11"/>
  <c r="H140" i="12"/>
  <c r="I113" i="12" a="1"/>
  <c r="I113" i="12" s="1"/>
  <c r="P72" i="24"/>
  <c r="Q74" i="26"/>
  <c r="F27" i="11"/>
  <c r="F28" i="11" s="1"/>
  <c r="G51" i="11"/>
  <c r="K11" i="10"/>
  <c r="J93" i="1"/>
  <c r="J49" i="15" s="1"/>
  <c r="K132" i="12" a="1"/>
  <c r="K132" i="12" s="1"/>
  <c r="J127" i="12" a="1"/>
  <c r="J127" i="12" s="1"/>
  <c r="G56" i="18"/>
  <c r="G61" i="18" s="1"/>
  <c r="G33" i="1"/>
  <c r="I16" i="5" s="1"/>
  <c r="K123" i="12" a="1"/>
  <c r="K123" i="12" s="1"/>
  <c r="K106" i="12" a="1"/>
  <c r="K106" i="12" s="1"/>
  <c r="J124" i="12" a="1"/>
  <c r="J124" i="12" s="1"/>
  <c r="I103" i="12" a="1"/>
  <c r="I103" i="12" s="1"/>
  <c r="H139" i="12" a="1"/>
  <c r="H139" i="12" s="1"/>
  <c r="O75" i="24"/>
  <c r="F186" i="12"/>
  <c r="F52" i="11"/>
  <c r="N101" i="19"/>
  <c r="O95" i="19"/>
  <c r="Q113" i="19"/>
  <c r="P74" i="24"/>
  <c r="Q74" i="27"/>
  <c r="M70" i="21"/>
  <c r="M69" i="21" s="1"/>
  <c r="N68" i="21"/>
  <c r="M63" i="21"/>
  <c r="L13" i="5"/>
  <c r="P13" i="4" s="1"/>
  <c r="AK13" i="4" s="1"/>
  <c r="P14" i="4"/>
  <c r="AK14" i="4" s="1"/>
  <c r="L4" i="16"/>
  <c r="K8" i="16"/>
  <c r="L66" i="20"/>
  <c r="L70" i="20" s="1"/>
  <c r="M64" i="20"/>
  <c r="J105" i="12" a="1"/>
  <c r="J105" i="12" s="1"/>
  <c r="I17" i="5"/>
  <c r="M17" i="4" s="1"/>
  <c r="AH17" i="4" s="1"/>
  <c r="M18" i="4"/>
  <c r="AH18" i="4" s="1"/>
  <c r="K71" i="20"/>
  <c r="K23" i="1"/>
  <c r="M14" i="5" s="1"/>
  <c r="K72" i="20"/>
  <c r="I32" i="5"/>
  <c r="M32" i="4" s="1"/>
  <c r="AH32" i="4" s="1"/>
  <c r="M29" i="4"/>
  <c r="AH29" i="4" s="1"/>
  <c r="M104" i="19"/>
  <c r="M105" i="19" s="1"/>
  <c r="N60" i="19" s="1"/>
  <c r="N59" i="19"/>
  <c r="K109" i="12" a="1"/>
  <c r="K109" i="12" s="1"/>
  <c r="J129" i="12" a="1"/>
  <c r="J129" i="12" s="1"/>
  <c r="J115" i="12" a="1"/>
  <c r="J115" i="12" s="1"/>
  <c r="AB7" i="14"/>
  <c r="Z24" i="14"/>
  <c r="Z23" i="14"/>
  <c r="L71" i="1" s="1"/>
  <c r="N31" i="5" s="1"/>
  <c r="R31" i="4" s="1"/>
  <c r="AM31" i="4" s="1"/>
  <c r="T72" i="26"/>
  <c r="J10" i="16"/>
  <c r="I50" i="1" s="1"/>
  <c r="K42" i="5" s="1"/>
  <c r="O42" i="4" s="1"/>
  <c r="AJ42" i="4" s="1"/>
  <c r="J12" i="16"/>
  <c r="I49" i="1"/>
  <c r="K24" i="5" s="1"/>
  <c r="J17" i="5"/>
  <c r="N17" i="4" s="1"/>
  <c r="AI17" i="4" s="1"/>
  <c r="N18" i="4"/>
  <c r="AI18" i="4" s="1"/>
  <c r="M107" i="12" a="1"/>
  <c r="M107" i="12" s="1"/>
  <c r="J117" i="12" a="1"/>
  <c r="J117" i="12" s="1"/>
  <c r="J111" i="12" a="1"/>
  <c r="J111" i="12" s="1"/>
  <c r="K7" i="25"/>
  <c r="O61" i="24"/>
  <c r="O49" i="24"/>
  <c r="T31" i="26"/>
  <c r="J7" i="25"/>
  <c r="N49" i="24"/>
  <c r="N61" i="24"/>
  <c r="S34" i="13"/>
  <c r="S33" i="13"/>
  <c r="H66" i="1" s="1"/>
  <c r="J29" i="5" s="1"/>
  <c r="U4" i="13"/>
  <c r="J118" i="12" a="1"/>
  <c r="J118" i="12" s="1"/>
  <c r="S85" i="24"/>
  <c r="S88" i="24" s="1"/>
  <c r="L59" i="1" s="1"/>
  <c r="L5" i="9" s="1"/>
  <c r="L11" i="9" s="1"/>
  <c r="L46" i="1"/>
  <c r="I114" i="12" a="1"/>
  <c r="I114" i="12" s="1"/>
  <c r="I49" i="4"/>
  <c r="J120" i="12" a="1"/>
  <c r="J120" i="12" s="1"/>
  <c r="K78" i="19"/>
  <c r="K16" i="19" s="1"/>
  <c r="K19" i="19" s="1"/>
  <c r="H13" i="1"/>
  <c r="J11" i="5" s="1"/>
  <c r="N11" i="4" s="1"/>
  <c r="AI11" i="4" s="1"/>
  <c r="J23" i="5"/>
  <c r="N23" i="4" s="1"/>
  <c r="AI23" i="4" s="1"/>
  <c r="N24" i="4"/>
  <c r="AI24" i="4" s="1"/>
  <c r="L65" i="21"/>
  <c r="I47" i="21"/>
  <c r="I52" i="21" s="1"/>
  <c r="I54" i="21" s="1"/>
  <c r="I58" i="21" s="1"/>
  <c r="I60" i="21" s="1"/>
  <c r="I28" i="1" s="1"/>
  <c r="K18" i="5" s="1"/>
  <c r="M64" i="21"/>
  <c r="J48" i="21" s="1"/>
  <c r="G6" i="25"/>
  <c r="F13" i="25"/>
  <c r="F18" i="25" s="1"/>
  <c r="J122" i="12" a="1"/>
  <c r="J122" i="12" s="1"/>
  <c r="L102" i="12" a="1"/>
  <c r="L102" i="12" s="1"/>
  <c r="Q62" i="26"/>
  <c r="Q66" i="24" s="1"/>
  <c r="Q69" i="24" s="1"/>
  <c r="J107" i="1" s="1"/>
  <c r="J42" i="15" s="1"/>
  <c r="R29" i="26"/>
  <c r="R29" i="28"/>
  <c r="Q62" i="28"/>
  <c r="Q67" i="24" s="1"/>
  <c r="Q68" i="28"/>
  <c r="Q70" i="28" s="1"/>
  <c r="Q7" i="24" s="1"/>
  <c r="Q10" i="24" s="1"/>
  <c r="K83" i="19"/>
  <c r="H14" i="1" s="1"/>
  <c r="J10" i="5" s="1"/>
  <c r="N10" i="4" s="1"/>
  <c r="AI10" i="4" s="1"/>
  <c r="G8" i="25"/>
  <c r="G16" i="25"/>
  <c r="D106" i="1"/>
  <c r="D43" i="15" s="1"/>
  <c r="O47" i="12"/>
  <c r="E62" i="1" s="1"/>
  <c r="G36" i="5" s="1"/>
  <c r="P5" i="12"/>
  <c r="O48" i="12"/>
  <c r="J15" i="5"/>
  <c r="N15" i="4" s="1"/>
  <c r="AI15" i="4" s="1"/>
  <c r="N16" i="4"/>
  <c r="AI16" i="4" s="1"/>
  <c r="H12" i="1"/>
  <c r="J9" i="5" s="1"/>
  <c r="H8" i="25" l="1"/>
  <c r="E106" i="1"/>
  <c r="E43" i="15" s="1"/>
  <c r="E23" i="15" s="1"/>
  <c r="E24" i="15" s="1"/>
  <c r="E26" i="15" s="1"/>
  <c r="E101" i="1" s="1"/>
  <c r="E68" i="9" s="1"/>
  <c r="E70" i="9" s="1"/>
  <c r="M63" i="24"/>
  <c r="I16" i="25" s="1"/>
  <c r="F29" i="11"/>
  <c r="F40" i="11" s="1"/>
  <c r="F47" i="11" s="1"/>
  <c r="F53" i="11" s="1"/>
  <c r="J58" i="1"/>
  <c r="J14" i="9" s="1"/>
  <c r="J18" i="9" s="1"/>
  <c r="J20" i="9" s="1"/>
  <c r="Q22" i="24"/>
  <c r="Q48" i="24" s="1"/>
  <c r="L109" i="12" a="1"/>
  <c r="L109" i="12" s="1"/>
  <c r="R74" i="27"/>
  <c r="Q74" i="24"/>
  <c r="K12" i="25"/>
  <c r="H108" i="1"/>
  <c r="H44" i="15" s="1"/>
  <c r="H47" i="15" s="1"/>
  <c r="H51" i="15" s="1"/>
  <c r="L112" i="12" a="1"/>
  <c r="L112" i="12" s="1"/>
  <c r="P124" i="19"/>
  <c r="O123" i="19"/>
  <c r="O109" i="19" s="1"/>
  <c r="O129" i="19"/>
  <c r="O128" i="19" s="1"/>
  <c r="M82" i="19"/>
  <c r="K134" i="12" a="1"/>
  <c r="K134" i="12" s="1"/>
  <c r="K116" i="12" a="1"/>
  <c r="K116" i="12" s="1"/>
  <c r="K108" i="12" a="1"/>
  <c r="K108" i="12" s="1"/>
  <c r="L123" i="12" a="1"/>
  <c r="L123" i="12" s="1"/>
  <c r="K104" i="12" a="1"/>
  <c r="K104" i="12" s="1"/>
  <c r="O118" i="19"/>
  <c r="N119" i="19"/>
  <c r="N61" i="19" s="1"/>
  <c r="N62" i="19"/>
  <c r="S62" i="27"/>
  <c r="S68" i="24" s="1"/>
  <c r="T29" i="27"/>
  <c r="J114" i="12" a="1"/>
  <c r="J114" i="12" s="1"/>
  <c r="Q14" i="4"/>
  <c r="AL14" i="4" s="1"/>
  <c r="M13" i="5"/>
  <c r="Q13" i="4" s="1"/>
  <c r="AL13" i="4" s="1"/>
  <c r="J103" i="12" a="1"/>
  <c r="J103" i="12" s="1"/>
  <c r="I139" i="12" a="1"/>
  <c r="I139" i="12" s="1"/>
  <c r="K93" i="1"/>
  <c r="K49" i="15" s="1"/>
  <c r="L11" i="10"/>
  <c r="H51" i="11"/>
  <c r="G27" i="11"/>
  <c r="G28" i="11" s="1"/>
  <c r="L110" i="12" a="1"/>
  <c r="L110" i="12" s="1"/>
  <c r="M125" i="12" a="1"/>
  <c r="M125" i="12" s="1"/>
  <c r="J119" i="12" a="1"/>
  <c r="J119" i="12" s="1"/>
  <c r="L126" i="12" a="1"/>
  <c r="L126" i="12" s="1"/>
  <c r="M102" i="12" a="1"/>
  <c r="M102" i="12" s="1"/>
  <c r="H50" i="11"/>
  <c r="H142" i="12"/>
  <c r="I140" i="12"/>
  <c r="J32" i="5"/>
  <c r="N32" i="4" s="1"/>
  <c r="AI32" i="4" s="1"/>
  <c r="N29" i="4"/>
  <c r="AI29" i="4" s="1"/>
  <c r="P48" i="12"/>
  <c r="Q5" i="12"/>
  <c r="P47" i="12"/>
  <c r="F62" i="1" s="1"/>
  <c r="H36" i="5" s="1"/>
  <c r="K122" i="12" a="1"/>
  <c r="K122" i="12" s="1"/>
  <c r="K111" i="12" a="1"/>
  <c r="K111" i="12" s="1"/>
  <c r="AD7" i="14"/>
  <c r="AB24" i="14"/>
  <c r="AB23" i="14"/>
  <c r="M71" i="1" s="1"/>
  <c r="O31" i="5" s="1"/>
  <c r="S31" i="4" s="1"/>
  <c r="AN31" i="4" s="1"/>
  <c r="M66" i="20"/>
  <c r="M70" i="20" s="1"/>
  <c r="N64" i="20"/>
  <c r="N66" i="20" s="1"/>
  <c r="N70" i="20" s="1"/>
  <c r="N64" i="21"/>
  <c r="J47" i="21"/>
  <c r="I15" i="5"/>
  <c r="M15" i="4" s="1"/>
  <c r="AH15" i="4" s="1"/>
  <c r="M16" i="4"/>
  <c r="AH16" i="4" s="1"/>
  <c r="G186" i="12"/>
  <c r="G52" i="11"/>
  <c r="D33" i="18"/>
  <c r="E40" i="18"/>
  <c r="E45" i="18" s="1"/>
  <c r="E53" i="18" s="1"/>
  <c r="K26" i="11"/>
  <c r="K17" i="5"/>
  <c r="O17" i="4" s="1"/>
  <c r="AJ17" i="4" s="1"/>
  <c r="O18" i="4"/>
  <c r="AJ18" i="4" s="1"/>
  <c r="G49" i="5"/>
  <c r="G46" i="5"/>
  <c r="K46" i="4" s="1"/>
  <c r="K36" i="4"/>
  <c r="O24" i="4"/>
  <c r="AJ24" i="4" s="1"/>
  <c r="K23" i="5"/>
  <c r="O23" i="4" s="1"/>
  <c r="AJ23" i="4" s="1"/>
  <c r="K115" i="12" a="1"/>
  <c r="K115" i="12" s="1"/>
  <c r="M65" i="19"/>
  <c r="M68" i="19" s="1"/>
  <c r="M75" i="19" s="1"/>
  <c r="L71" i="20"/>
  <c r="L23" i="1"/>
  <c r="N14" i="5" s="1"/>
  <c r="L72" i="20"/>
  <c r="O68" i="21"/>
  <c r="N63" i="21"/>
  <c r="N70" i="21"/>
  <c r="N69" i="21" s="1"/>
  <c r="O101" i="19"/>
  <c r="P59" i="19" s="1"/>
  <c r="P95" i="19"/>
  <c r="P101" i="19" s="1"/>
  <c r="Q59" i="19" s="1"/>
  <c r="K63" i="18"/>
  <c r="J63" i="18"/>
  <c r="N63" i="18"/>
  <c r="M63" i="18"/>
  <c r="L63" i="18"/>
  <c r="J62" i="18"/>
  <c r="F56" i="18"/>
  <c r="F61" i="18" s="1"/>
  <c r="F33" i="1"/>
  <c r="H16" i="5" s="1"/>
  <c r="R74" i="28"/>
  <c r="Q73" i="24"/>
  <c r="J130" i="12" a="1"/>
  <c r="J130" i="12" s="1"/>
  <c r="I12" i="1"/>
  <c r="K9" i="5" s="1"/>
  <c r="L7" i="25"/>
  <c r="P61" i="24"/>
  <c r="P49" i="24"/>
  <c r="K105" i="12" a="1"/>
  <c r="K105" i="12" s="1"/>
  <c r="D23" i="15"/>
  <c r="D24" i="15" s="1"/>
  <c r="D26" i="15" s="1"/>
  <c r="D101" i="1" s="1"/>
  <c r="D68" i="9" s="1"/>
  <c r="D70" i="9" s="1"/>
  <c r="D73" i="9" s="1"/>
  <c r="D53" i="15"/>
  <c r="D45" i="15"/>
  <c r="D77" i="1" s="1"/>
  <c r="F26" i="5" s="1"/>
  <c r="D52" i="15"/>
  <c r="S29" i="28"/>
  <c r="R62" i="28"/>
  <c r="R67" i="24" s="1"/>
  <c r="R68" i="28"/>
  <c r="R70" i="28" s="1"/>
  <c r="R7" i="24" s="1"/>
  <c r="R10" i="24" s="1"/>
  <c r="K30" i="19"/>
  <c r="H10" i="1"/>
  <c r="H31" i="9" s="1"/>
  <c r="H36" i="9" s="1"/>
  <c r="H46" i="9" s="1"/>
  <c r="N102" i="19"/>
  <c r="N104" i="19"/>
  <c r="O59" i="19"/>
  <c r="K124" i="12" a="1"/>
  <c r="K124" i="12" s="1"/>
  <c r="K127" i="12" a="1"/>
  <c r="K127" i="12" s="1"/>
  <c r="Q72" i="24"/>
  <c r="R74" i="26"/>
  <c r="E25" i="5"/>
  <c r="I25" i="4" s="1"/>
  <c r="I26" i="4"/>
  <c r="F49" i="5"/>
  <c r="N107" i="12" a="1"/>
  <c r="N107" i="12" s="1"/>
  <c r="U33" i="13"/>
  <c r="I66" i="1" s="1"/>
  <c r="K29" i="5" s="1"/>
  <c r="U34" i="13"/>
  <c r="W4" i="13"/>
  <c r="N9" i="4"/>
  <c r="AI9" i="4" s="1"/>
  <c r="J8" i="5"/>
  <c r="N8" i="4" s="1"/>
  <c r="AI8" i="4" s="1"/>
  <c r="R62" i="26"/>
  <c r="R66" i="24" s="1"/>
  <c r="S29" i="26"/>
  <c r="G11" i="25"/>
  <c r="K120" i="12" a="1"/>
  <c r="K120" i="12" s="1"/>
  <c r="K118" i="12" a="1"/>
  <c r="K118" i="12" s="1"/>
  <c r="K117" i="12" a="1"/>
  <c r="K117" i="12" s="1"/>
  <c r="K129" i="12" a="1"/>
  <c r="K129" i="12" s="1"/>
  <c r="K10" i="16"/>
  <c r="J50" i="1" s="1"/>
  <c r="L42" i="5" s="1"/>
  <c r="P42" i="4" s="1"/>
  <c r="AK42" i="4" s="1"/>
  <c r="K12" i="16"/>
  <c r="J49" i="1"/>
  <c r="L24" i="5" s="1"/>
  <c r="P75" i="24"/>
  <c r="L78" i="19"/>
  <c r="L16" i="19" s="1"/>
  <c r="L19" i="19" s="1"/>
  <c r="I13" i="1"/>
  <c r="K11" i="5" s="1"/>
  <c r="O11" i="4" s="1"/>
  <c r="AJ11" i="4" s="1"/>
  <c r="E53" i="15"/>
  <c r="E45" i="15"/>
  <c r="E77" i="1" s="1"/>
  <c r="G26" i="5" s="1"/>
  <c r="E52" i="15"/>
  <c r="L121" i="12" a="1"/>
  <c r="L121" i="12" s="1"/>
  <c r="L131" i="12" a="1"/>
  <c r="L131" i="12" s="1"/>
  <c r="L69" i="19"/>
  <c r="T68" i="26"/>
  <c r="T70" i="26" s="1"/>
  <c r="T32" i="26"/>
  <c r="T60" i="26" s="1"/>
  <c r="M4" i="16"/>
  <c r="L8" i="16"/>
  <c r="L106" i="12" a="1"/>
  <c r="L106" i="12" s="1"/>
  <c r="L132" i="12" a="1"/>
  <c r="L132" i="12" s="1"/>
  <c r="J113" i="12" a="1"/>
  <c r="J113" i="12" s="1"/>
  <c r="C82" i="1"/>
  <c r="E5" i="5" s="1"/>
  <c r="N109" i="19"/>
  <c r="K135" i="12" a="1"/>
  <c r="K135" i="12" s="1"/>
  <c r="F106" i="1" l="1"/>
  <c r="F43" i="15" s="1"/>
  <c r="I8" i="25"/>
  <c r="N63" i="24"/>
  <c r="J8" i="25" s="1"/>
  <c r="J16" i="25"/>
  <c r="E73" i="9"/>
  <c r="D82" i="1"/>
  <c r="F5" i="5" s="1"/>
  <c r="G29" i="11"/>
  <c r="G40" i="11" s="1"/>
  <c r="G47" i="11" s="1"/>
  <c r="G53" i="11" s="1"/>
  <c r="L135" i="12" a="1"/>
  <c r="L135" i="12" s="1"/>
  <c r="L120" i="12" a="1"/>
  <c r="L120" i="12" s="1"/>
  <c r="W33" i="13"/>
  <c r="J66" i="1" s="1"/>
  <c r="L29" i="5" s="1"/>
  <c r="W34" i="13"/>
  <c r="Y4" i="13"/>
  <c r="R73" i="24"/>
  <c r="S74" i="28"/>
  <c r="R14" i="4"/>
  <c r="AM14" i="4" s="1"/>
  <c r="N13" i="5"/>
  <c r="R13" i="4" s="1"/>
  <c r="AM13" i="4" s="1"/>
  <c r="L26" i="11"/>
  <c r="L122" i="12" a="1"/>
  <c r="L122" i="12" s="1"/>
  <c r="M110" i="12" a="1"/>
  <c r="M110" i="12" s="1"/>
  <c r="L108" i="12" a="1"/>
  <c r="L108" i="12" s="1"/>
  <c r="M69" i="19"/>
  <c r="N105" i="19"/>
  <c r="O60" i="19" s="1"/>
  <c r="O104" i="19"/>
  <c r="T29" i="28"/>
  <c r="S62" i="28"/>
  <c r="S67" i="24" s="1"/>
  <c r="S68" i="28"/>
  <c r="S70" i="28" s="1"/>
  <c r="S7" i="24" s="1"/>
  <c r="S10" i="24" s="1"/>
  <c r="E56" i="18"/>
  <c r="E61" i="18" s="1"/>
  <c r="E33" i="1"/>
  <c r="G16" i="5" s="1"/>
  <c r="N71" i="20"/>
  <c r="N23" i="1"/>
  <c r="P14" i="5" s="1"/>
  <c r="N72" i="20"/>
  <c r="O132" i="19"/>
  <c r="S74" i="27"/>
  <c r="R74" i="24"/>
  <c r="M131" i="12" a="1"/>
  <c r="M131" i="12" s="1"/>
  <c r="K32" i="5"/>
  <c r="O32" i="4" s="1"/>
  <c r="AJ32" i="4" s="1"/>
  <c r="O29" i="4"/>
  <c r="AJ29" i="4" s="1"/>
  <c r="R72" i="24"/>
  <c r="S74" i="26"/>
  <c r="L16" i="4"/>
  <c r="AG16" i="4" s="1"/>
  <c r="H15" i="5"/>
  <c r="L15" i="4" s="1"/>
  <c r="AG15" i="4" s="1"/>
  <c r="J12" i="1"/>
  <c r="L9" i="5" s="1"/>
  <c r="C33" i="18"/>
  <c r="C40" i="18" s="1"/>
  <c r="C45" i="18" s="1"/>
  <c r="C53" i="18" s="1"/>
  <c r="D40" i="18"/>
  <c r="D45" i="18" s="1"/>
  <c r="D53" i="18" s="1"/>
  <c r="M71" i="20"/>
  <c r="M23" i="1"/>
  <c r="O14" i="5" s="1"/>
  <c r="M72" i="20"/>
  <c r="H46" i="5"/>
  <c r="L46" i="4" s="1"/>
  <c r="AG46" i="4" s="1"/>
  <c r="L36" i="4"/>
  <c r="AG36" i="4" s="1"/>
  <c r="H186" i="12"/>
  <c r="H52" i="11"/>
  <c r="M126" i="12" a="1"/>
  <c r="M126" i="12" s="1"/>
  <c r="N82" i="19"/>
  <c r="L116" i="12" a="1"/>
  <c r="L116" i="12" s="1"/>
  <c r="M109" i="12" a="1"/>
  <c r="M109" i="12" s="1"/>
  <c r="M106" i="12" a="1"/>
  <c r="M106" i="12" s="1"/>
  <c r="I5" i="4"/>
  <c r="M121" i="12" a="1"/>
  <c r="M121" i="12" s="1"/>
  <c r="S62" i="26"/>
  <c r="S66" i="24" s="1"/>
  <c r="S69" i="24" s="1"/>
  <c r="L107" i="1" s="1"/>
  <c r="L42" i="15" s="1"/>
  <c r="T29" i="26"/>
  <c r="Q75" i="24"/>
  <c r="M71" i="19"/>
  <c r="M80" i="19" s="1"/>
  <c r="F25" i="5"/>
  <c r="J25" i="4" s="1"/>
  <c r="J26" i="4"/>
  <c r="O9" i="4"/>
  <c r="AJ9" i="4" s="1"/>
  <c r="L115" i="12" a="1"/>
  <c r="L115" i="12" s="1"/>
  <c r="Q47" i="12"/>
  <c r="G62" i="1" s="1"/>
  <c r="I36" i="5" s="1"/>
  <c r="R5" i="12"/>
  <c r="Q48" i="12"/>
  <c r="H27" i="11"/>
  <c r="H28" i="11" s="1"/>
  <c r="I51" i="11"/>
  <c r="P118" i="19"/>
  <c r="O119" i="19"/>
  <c r="O61" i="19" s="1"/>
  <c r="O62" i="19"/>
  <c r="P123" i="19"/>
  <c r="P109" i="19" s="1"/>
  <c r="Q124" i="19"/>
  <c r="P129" i="19"/>
  <c r="P128" i="19" s="1"/>
  <c r="F53" i="15"/>
  <c r="F23" i="15"/>
  <c r="F24" i="15" s="1"/>
  <c r="F26" i="15" s="1"/>
  <c r="F101" i="1" s="1"/>
  <c r="F68" i="9" s="1"/>
  <c r="F70" i="9" s="1"/>
  <c r="F45" i="15"/>
  <c r="F77" i="1" s="1"/>
  <c r="H26" i="5" s="1"/>
  <c r="F52" i="15"/>
  <c r="L129" i="12" a="1"/>
  <c r="L129" i="12" s="1"/>
  <c r="G13" i="25"/>
  <c r="G18" i="25" s="1"/>
  <c r="H6" i="25"/>
  <c r="H11" i="25" s="1"/>
  <c r="L10" i="16"/>
  <c r="K50" i="1" s="1"/>
  <c r="M42" i="5" s="1"/>
  <c r="Q42" i="4" s="1"/>
  <c r="AL42" i="4" s="1"/>
  <c r="K49" i="1"/>
  <c r="M24" i="5" s="1"/>
  <c r="M8" i="16"/>
  <c r="N4" i="16"/>
  <c r="L117" i="12" a="1"/>
  <c r="L117" i="12" s="1"/>
  <c r="R69" i="24"/>
  <c r="K107" i="1" s="1"/>
  <c r="K42" i="15" s="1"/>
  <c r="L127" i="12" a="1"/>
  <c r="L127" i="12" s="1"/>
  <c r="K49" i="4"/>
  <c r="K119" i="12" a="1"/>
  <c r="K119" i="12" s="1"/>
  <c r="M11" i="10"/>
  <c r="L93" i="1"/>
  <c r="L49" i="15" s="1"/>
  <c r="K114" i="12" a="1"/>
  <c r="K114" i="12" s="1"/>
  <c r="L104" i="12" a="1"/>
  <c r="L104" i="12" s="1"/>
  <c r="M112" i="12" a="1"/>
  <c r="M112" i="12" s="1"/>
  <c r="Q61" i="24"/>
  <c r="M7" i="25"/>
  <c r="Q49" i="24"/>
  <c r="K113" i="12" a="1"/>
  <c r="K113" i="12" s="1"/>
  <c r="T85" i="24"/>
  <c r="T88" i="24" s="1"/>
  <c r="M59" i="1" s="1"/>
  <c r="M5" i="9" s="1"/>
  <c r="M11" i="9" s="1"/>
  <c r="M46" i="1"/>
  <c r="L30" i="19"/>
  <c r="I10" i="1"/>
  <c r="I31" i="9" s="1"/>
  <c r="I36" i="9" s="1"/>
  <c r="I46" i="9" s="1"/>
  <c r="K130" i="12" a="1"/>
  <c r="K130" i="12" s="1"/>
  <c r="O64" i="21"/>
  <c r="AD23" i="14"/>
  <c r="N71" i="1" s="1"/>
  <c r="P31" i="5" s="1"/>
  <c r="T31" i="4" s="1"/>
  <c r="AO31" i="4" s="1"/>
  <c r="AD24" i="14"/>
  <c r="N65" i="19"/>
  <c r="N68" i="19" s="1"/>
  <c r="N75" i="19" s="1"/>
  <c r="L134" i="12" a="1"/>
  <c r="L134" i="12" s="1"/>
  <c r="T6" i="24"/>
  <c r="M47" i="1"/>
  <c r="K26" i="4"/>
  <c r="G25" i="5"/>
  <c r="K25" i="4" s="1"/>
  <c r="L12" i="25"/>
  <c r="I108" i="1"/>
  <c r="I44" i="15" s="1"/>
  <c r="I47" i="15" s="1"/>
  <c r="I51" i="15" s="1"/>
  <c r="L124" i="12" a="1"/>
  <c r="L124" i="12" s="1"/>
  <c r="L105" i="12" a="1"/>
  <c r="L105" i="12" s="1"/>
  <c r="O70" i="21"/>
  <c r="O69" i="21" s="1"/>
  <c r="O63" i="21"/>
  <c r="P68" i="21"/>
  <c r="L111" i="12" a="1"/>
  <c r="L111" i="12" s="1"/>
  <c r="N71" i="19"/>
  <c r="N80" i="19" s="1"/>
  <c r="N125" i="12" a="1"/>
  <c r="N125" i="12" s="1"/>
  <c r="I50" i="11"/>
  <c r="I142" i="12"/>
  <c r="J140" i="12"/>
  <c r="M123" i="12" a="1"/>
  <c r="M123" i="12" s="1"/>
  <c r="L118" i="12" a="1"/>
  <c r="L118" i="12" s="1"/>
  <c r="L83" i="19"/>
  <c r="I14" i="1" s="1"/>
  <c r="K10" i="5" s="1"/>
  <c r="O10" i="4" s="1"/>
  <c r="AJ10" i="4" s="1"/>
  <c r="M132" i="12" a="1"/>
  <c r="M132" i="12" s="1"/>
  <c r="L23" i="5"/>
  <c r="P23" i="4" s="1"/>
  <c r="AK23" i="4" s="1"/>
  <c r="P24" i="4"/>
  <c r="AK24" i="4" s="1"/>
  <c r="J49" i="4"/>
  <c r="K58" i="1"/>
  <c r="K14" i="9" s="1"/>
  <c r="K18" i="9" s="1"/>
  <c r="K20" i="9" s="1"/>
  <c r="R22" i="24"/>
  <c r="R48" i="24" s="1"/>
  <c r="O47" i="21"/>
  <c r="J14" i="21" s="1"/>
  <c r="J17" i="21" s="1"/>
  <c r="J52" i="21"/>
  <c r="J54" i="21" s="1"/>
  <c r="J58" i="21" s="1"/>
  <c r="N102" i="12" a="1"/>
  <c r="N102" i="12" s="1"/>
  <c r="K103" i="12" a="1"/>
  <c r="K103" i="12" s="1"/>
  <c r="J139" i="12" a="1"/>
  <c r="J139" i="12" s="1"/>
  <c r="T62" i="27"/>
  <c r="T68" i="24" s="1"/>
  <c r="U29" i="27"/>
  <c r="U62" i="27" s="1"/>
  <c r="U68" i="24" s="1"/>
  <c r="M83" i="19"/>
  <c r="J14" i="1" s="1"/>
  <c r="L10" i="5" s="1"/>
  <c r="P10" i="4" s="1"/>
  <c r="AK10" i="4" s="1"/>
  <c r="O63" i="24" l="1"/>
  <c r="G106" i="1"/>
  <c r="G43" i="15" s="1"/>
  <c r="R75" i="24"/>
  <c r="H29" i="11"/>
  <c r="H40" i="11" s="1"/>
  <c r="H47" i="11" s="1"/>
  <c r="H53" i="11" s="1"/>
  <c r="L103" i="12" a="1"/>
  <c r="L103" i="12" s="1"/>
  <c r="K139" i="12" a="1"/>
  <c r="K139" i="12" s="1"/>
  <c r="M115" i="12" a="1"/>
  <c r="M115" i="12" s="1"/>
  <c r="M78" i="19"/>
  <c r="M16" i="19" s="1"/>
  <c r="M19" i="19" s="1"/>
  <c r="J13" i="1"/>
  <c r="L11" i="5" s="1"/>
  <c r="P11" i="4" s="1"/>
  <c r="AK11" i="4" s="1"/>
  <c r="N12" i="25"/>
  <c r="K108" i="1"/>
  <c r="K44" i="15" s="1"/>
  <c r="K47" i="15" s="1"/>
  <c r="K51" i="15" s="1"/>
  <c r="L58" i="1"/>
  <c r="L14" i="9" s="1"/>
  <c r="L18" i="9" s="1"/>
  <c r="L20" i="9" s="1"/>
  <c r="S22" i="24"/>
  <c r="S48" i="24" s="1"/>
  <c r="N110" i="12" a="1"/>
  <c r="N110" i="12" s="1"/>
  <c r="M120" i="12" a="1"/>
  <c r="M120" i="12" s="1"/>
  <c r="M10" i="16"/>
  <c r="L50" i="1" s="1"/>
  <c r="N42" i="5" s="1"/>
  <c r="R42" i="4" s="1"/>
  <c r="AM42" i="4" s="1"/>
  <c r="L49" i="1"/>
  <c r="N24" i="5" s="1"/>
  <c r="O82" i="19"/>
  <c r="M12" i="25"/>
  <c r="J108" i="1"/>
  <c r="J44" i="15" s="1"/>
  <c r="J47" i="15" s="1"/>
  <c r="J51" i="15" s="1"/>
  <c r="N69" i="19"/>
  <c r="P9" i="4"/>
  <c r="AK9" i="4" s="1"/>
  <c r="L8" i="5"/>
  <c r="P8" i="4" s="1"/>
  <c r="AK8" i="4" s="1"/>
  <c r="P13" i="5"/>
  <c r="T13" i="4" s="1"/>
  <c r="AO13" i="4" s="1"/>
  <c r="T14" i="4"/>
  <c r="AO14" i="4" s="1"/>
  <c r="S73" i="24"/>
  <c r="T74" i="28"/>
  <c r="J26" i="21"/>
  <c r="J26" i="1"/>
  <c r="J33" i="9" s="1"/>
  <c r="J142" i="12"/>
  <c r="J50" i="11"/>
  <c r="K140" i="12"/>
  <c r="I186" i="12"/>
  <c r="I52" i="11"/>
  <c r="N8" i="16"/>
  <c r="O4" i="16"/>
  <c r="O8" i="16" s="1"/>
  <c r="P64" i="21"/>
  <c r="M118" i="12" a="1"/>
  <c r="M118" i="12" s="1"/>
  <c r="N11" i="10"/>
  <c r="N93" i="1" s="1"/>
  <c r="N49" i="15" s="1"/>
  <c r="M93" i="1"/>
  <c r="M49" i="15" s="1"/>
  <c r="M23" i="5"/>
  <c r="Q23" i="4" s="1"/>
  <c r="AL23" i="4" s="1"/>
  <c r="Q24" i="4"/>
  <c r="AL24" i="4" s="1"/>
  <c r="L26" i="4"/>
  <c r="AG26" i="4" s="1"/>
  <c r="H25" i="5"/>
  <c r="L25" i="4" s="1"/>
  <c r="AG25" i="4" s="1"/>
  <c r="Q118" i="19"/>
  <c r="P119" i="19"/>
  <c r="P61" i="19" s="1"/>
  <c r="P62" i="19"/>
  <c r="N106" i="12" a="1"/>
  <c r="N106" i="12" s="1"/>
  <c r="N126" i="12" a="1"/>
  <c r="N126" i="12" s="1"/>
  <c r="S14" i="4"/>
  <c r="AN14" i="4" s="1"/>
  <c r="O13" i="5"/>
  <c r="S13" i="4" s="1"/>
  <c r="AN13" i="4" s="1"/>
  <c r="U29" i="28"/>
  <c r="T62" i="28"/>
  <c r="T67" i="24" s="1"/>
  <c r="T68" i="28"/>
  <c r="T70" i="28" s="1"/>
  <c r="T7" i="24" s="1"/>
  <c r="T10" i="24" s="1"/>
  <c r="M122" i="12" a="1"/>
  <c r="M122" i="12" s="1"/>
  <c r="M135" i="12" a="1"/>
  <c r="M135" i="12" s="1"/>
  <c r="M104" i="12" a="1"/>
  <c r="M104" i="12" s="1"/>
  <c r="R49" i="24"/>
  <c r="R61" i="24"/>
  <c r="N7" i="25"/>
  <c r="I27" i="11"/>
  <c r="I28" i="11" s="1"/>
  <c r="J51" i="11"/>
  <c r="N112" i="12" a="1"/>
  <c r="N112" i="12" s="1"/>
  <c r="L119" i="12" a="1"/>
  <c r="L119" i="12" s="1"/>
  <c r="M127" i="12" a="1"/>
  <c r="M127" i="12" s="1"/>
  <c r="L12" i="16"/>
  <c r="T62" i="26"/>
  <c r="T66" i="24" s="1"/>
  <c r="T69" i="24" s="1"/>
  <c r="M107" i="1" s="1"/>
  <c r="M42" i="15" s="1"/>
  <c r="U28" i="26"/>
  <c r="N131" i="12" a="1"/>
  <c r="N131" i="12" s="1"/>
  <c r="G15" i="5"/>
  <c r="K15" i="4" s="1"/>
  <c r="K16" i="4"/>
  <c r="O105" i="19"/>
  <c r="P60" i="19" s="1"/>
  <c r="P104" i="19"/>
  <c r="P105" i="19" s="1"/>
  <c r="Q60" i="19" s="1"/>
  <c r="O65" i="19"/>
  <c r="O68" i="19" s="1"/>
  <c r="O75" i="19" s="1"/>
  <c r="N123" i="12" a="1"/>
  <c r="N123" i="12" s="1"/>
  <c r="N78" i="19"/>
  <c r="N16" i="19" s="1"/>
  <c r="N19" i="19" s="1"/>
  <c r="K13" i="1"/>
  <c r="M11" i="5" s="1"/>
  <c r="Q11" i="4" s="1"/>
  <c r="AL11" i="4" s="1"/>
  <c r="N132" i="12" a="1"/>
  <c r="N132" i="12" s="1"/>
  <c r="P63" i="21"/>
  <c r="Q64" i="21" s="1"/>
  <c r="Q68" i="21"/>
  <c r="P70" i="21"/>
  <c r="P69" i="21" s="1"/>
  <c r="M134" i="12" a="1"/>
  <c r="M134" i="12" s="1"/>
  <c r="M105" i="12" a="1"/>
  <c r="M105" i="12" s="1"/>
  <c r="K12" i="1"/>
  <c r="M9" i="5" s="1"/>
  <c r="K8" i="5"/>
  <c r="O8" i="4" s="1"/>
  <c r="AJ8" i="4" s="1"/>
  <c r="N109" i="12" a="1"/>
  <c r="N109" i="12" s="1"/>
  <c r="D56" i="18"/>
  <c r="D61" i="18" s="1"/>
  <c r="D33" i="1"/>
  <c r="F16" i="5" s="1"/>
  <c r="H13" i="25"/>
  <c r="H18" i="25" s="1"/>
  <c r="I6" i="25"/>
  <c r="I11" i="25" s="1"/>
  <c r="P132" i="19"/>
  <c r="C56" i="18"/>
  <c r="C61" i="18" s="1"/>
  <c r="C33" i="1"/>
  <c r="E16" i="5" s="1"/>
  <c r="M26" i="11"/>
  <c r="Y33" i="13"/>
  <c r="K66" i="1" s="1"/>
  <c r="M29" i="5" s="1"/>
  <c r="Y34" i="13"/>
  <c r="AA4" i="13"/>
  <c r="M124" i="12" a="1"/>
  <c r="M124" i="12" s="1"/>
  <c r="M111" i="12" a="1"/>
  <c r="M111" i="12" s="1"/>
  <c r="L113" i="12" a="1"/>
  <c r="L113" i="12" s="1"/>
  <c r="M117" i="12" a="1"/>
  <c r="M117" i="12" s="1"/>
  <c r="Q123" i="19"/>
  <c r="Q129" i="19"/>
  <c r="Q128" i="19" s="1"/>
  <c r="Q132" i="19" s="1"/>
  <c r="R47" i="12"/>
  <c r="H62" i="1" s="1"/>
  <c r="J36" i="5" s="1"/>
  <c r="S5" i="12"/>
  <c r="R48" i="12"/>
  <c r="N121" i="12" a="1"/>
  <c r="N121" i="12" s="1"/>
  <c r="M116" i="12" a="1"/>
  <c r="M116" i="12" s="1"/>
  <c r="T74" i="27"/>
  <c r="S74" i="24"/>
  <c r="M108" i="12" a="1"/>
  <c r="M108" i="12" s="1"/>
  <c r="J5" i="4"/>
  <c r="L130" i="12" a="1"/>
  <c r="L130" i="12" s="1"/>
  <c r="L114" i="12" a="1"/>
  <c r="L114" i="12" s="1"/>
  <c r="M129" i="12" a="1"/>
  <c r="M129" i="12" s="1"/>
  <c r="I46" i="5"/>
  <c r="M46" i="4" s="1"/>
  <c r="AH46" i="4" s="1"/>
  <c r="M36" i="4"/>
  <c r="AH36" i="4" s="1"/>
  <c r="H49" i="5"/>
  <c r="S72" i="24"/>
  <c r="T74" i="26"/>
  <c r="P29" i="4"/>
  <c r="AK29" i="4" s="1"/>
  <c r="L32" i="5"/>
  <c r="P32" i="4" s="1"/>
  <c r="AK32" i="4" s="1"/>
  <c r="F73" i="9"/>
  <c r="E82" i="1"/>
  <c r="G5" i="5" s="1"/>
  <c r="G52" i="15" l="1"/>
  <c r="G23" i="15"/>
  <c r="G24" i="15" s="1"/>
  <c r="G26" i="15" s="1"/>
  <c r="G101" i="1" s="1"/>
  <c r="G68" i="9" s="1"/>
  <c r="G70" i="9" s="1"/>
  <c r="G45" i="15"/>
  <c r="G77" i="1" s="1"/>
  <c r="I26" i="5" s="1"/>
  <c r="G53" i="15"/>
  <c r="P63" i="24"/>
  <c r="K8" i="25"/>
  <c r="H106" i="1"/>
  <c r="H43" i="15" s="1"/>
  <c r="K16" i="25"/>
  <c r="I29" i="11"/>
  <c r="I40" i="11" s="1"/>
  <c r="I47" i="11" s="1"/>
  <c r="I53" i="11" s="1"/>
  <c r="S47" i="12"/>
  <c r="I62" i="1" s="1"/>
  <c r="K36" i="5" s="1"/>
  <c r="S48" i="12"/>
  <c r="T5" i="12"/>
  <c r="O69" i="19"/>
  <c r="S61" i="24"/>
  <c r="S49" i="24"/>
  <c r="O7" i="25"/>
  <c r="N111" i="12" a="1"/>
  <c r="N111" i="12" s="1"/>
  <c r="I13" i="25"/>
  <c r="I18" i="25" s="1"/>
  <c r="J6" i="25"/>
  <c r="J11" i="25" s="1"/>
  <c r="U32" i="26"/>
  <c r="U60" i="26" s="1"/>
  <c r="U73" i="26"/>
  <c r="U68" i="26"/>
  <c r="U70" i="26" s="1"/>
  <c r="I49" i="5"/>
  <c r="U74" i="27"/>
  <c r="U74" i="24" s="1"/>
  <c r="T74" i="24"/>
  <c r="J46" i="5"/>
  <c r="N46" i="4" s="1"/>
  <c r="AI46" i="4" s="1"/>
  <c r="N36" i="4"/>
  <c r="AI36" i="4" s="1"/>
  <c r="J49" i="5"/>
  <c r="M58" i="1"/>
  <c r="M14" i="9" s="1"/>
  <c r="M18" i="9" s="1"/>
  <c r="M20" i="9" s="1"/>
  <c r="T22" i="24"/>
  <c r="T48" i="24" s="1"/>
  <c r="Q63" i="21"/>
  <c r="Q70" i="21"/>
  <c r="Q69" i="21" s="1"/>
  <c r="L12" i="1"/>
  <c r="N9" i="5" s="1"/>
  <c r="U29" i="26"/>
  <c r="U62" i="26" s="1"/>
  <c r="U66" i="24" s="1"/>
  <c r="N122" i="12" a="1"/>
  <c r="N122" i="12" s="1"/>
  <c r="N23" i="5"/>
  <c r="R23" i="4" s="1"/>
  <c r="AM23" i="4" s="1"/>
  <c r="R24" i="4"/>
  <c r="AM24" i="4" s="1"/>
  <c r="K142" i="12"/>
  <c r="L140" i="12"/>
  <c r="K50" i="11"/>
  <c r="N118" i="12" a="1"/>
  <c r="N118" i="12" s="1"/>
  <c r="J27" i="11"/>
  <c r="J28" i="11" s="1"/>
  <c r="K51" i="11"/>
  <c r="M103" i="12" a="1"/>
  <c r="M103" i="12" s="1"/>
  <c r="L139" i="12" a="1"/>
  <c r="L139" i="12" s="1"/>
  <c r="Q9" i="4"/>
  <c r="AL9" i="4" s="1"/>
  <c r="N129" i="12" a="1"/>
  <c r="N129" i="12" s="1"/>
  <c r="N116" i="12" a="1"/>
  <c r="N116" i="12" s="1"/>
  <c r="Q109" i="19"/>
  <c r="F15" i="5"/>
  <c r="J16" i="4"/>
  <c r="P71" i="19"/>
  <c r="P80" i="19" s="1"/>
  <c r="P65" i="19"/>
  <c r="P68" i="19" s="1"/>
  <c r="P75" i="19" s="1"/>
  <c r="J186" i="12"/>
  <c r="J52" i="11"/>
  <c r="M12" i="16"/>
  <c r="G72" i="9"/>
  <c r="F82" i="1"/>
  <c r="H5" i="5" s="1"/>
  <c r="N117" i="12" a="1"/>
  <c r="N117" i="12" s="1"/>
  <c r="AA33" i="13"/>
  <c r="L66" i="1" s="1"/>
  <c r="N29" i="5" s="1"/>
  <c r="AA34" i="13"/>
  <c r="AC4" i="13"/>
  <c r="N105" i="12" a="1"/>
  <c r="N105" i="12" s="1"/>
  <c r="N120" i="12" a="1"/>
  <c r="N120" i="12" s="1"/>
  <c r="N83" i="19"/>
  <c r="K14" i="1" s="1"/>
  <c r="M10" i="5" s="1"/>
  <c r="Q10" i="4" s="1"/>
  <c r="AL10" i="4" s="1"/>
  <c r="N124" i="12" a="1"/>
  <c r="N124" i="12" s="1"/>
  <c r="T72" i="24"/>
  <c r="U74" i="26"/>
  <c r="U72" i="24" s="1"/>
  <c r="N127" i="12" a="1"/>
  <c r="N127" i="12" s="1"/>
  <c r="S75" i="24"/>
  <c r="M114" i="12" a="1"/>
  <c r="M114" i="12" s="1"/>
  <c r="E15" i="5"/>
  <c r="I16" i="4"/>
  <c r="N104" i="12" a="1"/>
  <c r="N104" i="12" s="1"/>
  <c r="U62" i="28"/>
  <c r="U67" i="24" s="1"/>
  <c r="U68" i="28"/>
  <c r="U70" i="28" s="1"/>
  <c r="U7" i="24" s="1"/>
  <c r="P69" i="19"/>
  <c r="P82" i="19"/>
  <c r="O12" i="16"/>
  <c r="O10" i="16"/>
  <c r="N50" i="1" s="1"/>
  <c r="P42" i="5" s="1"/>
  <c r="T42" i="4" s="1"/>
  <c r="AO42" i="4" s="1"/>
  <c r="N49" i="1"/>
  <c r="P24" i="5" s="1"/>
  <c r="O71" i="19"/>
  <c r="O80" i="19" s="1"/>
  <c r="N108" i="12" a="1"/>
  <c r="N108" i="12" s="1"/>
  <c r="M32" i="5"/>
  <c r="Q32" i="4" s="1"/>
  <c r="AL32" i="4" s="1"/>
  <c r="Q29" i="4"/>
  <c r="AL29" i="4" s="1"/>
  <c r="N134" i="12" a="1"/>
  <c r="N134" i="12" s="1"/>
  <c r="N30" i="19"/>
  <c r="K10" i="1"/>
  <c r="K31" i="9" s="1"/>
  <c r="K36" i="9" s="1"/>
  <c r="K46" i="9" s="1"/>
  <c r="M119" i="12" a="1"/>
  <c r="M119" i="12" s="1"/>
  <c r="Q119" i="19"/>
  <c r="Q61" i="19" s="1"/>
  <c r="Q62" i="19"/>
  <c r="N10" i="16"/>
  <c r="M50" i="1" s="1"/>
  <c r="O42" i="5" s="1"/>
  <c r="S42" i="4" s="1"/>
  <c r="AN42" i="4" s="1"/>
  <c r="M49" i="1"/>
  <c r="O24" i="5" s="1"/>
  <c r="T73" i="24"/>
  <c r="U74" i="28"/>
  <c r="U73" i="24" s="1"/>
  <c r="M30" i="19"/>
  <c r="J10" i="1"/>
  <c r="J31" i="9" s="1"/>
  <c r="J36" i="9" s="1"/>
  <c r="J46" i="9" s="1"/>
  <c r="M113" i="12" a="1"/>
  <c r="M113" i="12" s="1"/>
  <c r="G27" i="5"/>
  <c r="K5" i="4"/>
  <c r="L49" i="4"/>
  <c r="AG49" i="4" s="1"/>
  <c r="M130" i="12" a="1"/>
  <c r="M130" i="12" s="1"/>
  <c r="N26" i="11"/>
  <c r="N135" i="12" a="1"/>
  <c r="N135" i="12" s="1"/>
  <c r="O83" i="19"/>
  <c r="L14" i="1" s="1"/>
  <c r="N10" i="5" s="1"/>
  <c r="R10" i="4" s="1"/>
  <c r="AM10" i="4" s="1"/>
  <c r="N115" i="12" a="1"/>
  <c r="N115" i="12" s="1"/>
  <c r="H23" i="15" l="1"/>
  <c r="H24" i="15" s="1"/>
  <c r="H26" i="15" s="1"/>
  <c r="H101" i="1" s="1"/>
  <c r="H68" i="9" s="1"/>
  <c r="H70" i="9" s="1"/>
  <c r="H45" i="15"/>
  <c r="H77" i="1" s="1"/>
  <c r="J26" i="5" s="1"/>
  <c r="H52" i="15"/>
  <c r="H53" i="15"/>
  <c r="L16" i="25"/>
  <c r="Q63" i="24"/>
  <c r="I106" i="1"/>
  <c r="I43" i="15" s="1"/>
  <c r="L8" i="25"/>
  <c r="M26" i="4"/>
  <c r="AH26" i="4" s="1"/>
  <c r="I25" i="5"/>
  <c r="M25" i="4" s="1"/>
  <c r="AH25" i="4" s="1"/>
  <c r="G73" i="9"/>
  <c r="G82" i="1" s="1"/>
  <c r="I5" i="5" s="1"/>
  <c r="K28" i="11"/>
  <c r="J29" i="11"/>
  <c r="J40" i="11" s="1"/>
  <c r="J47" i="11" s="1"/>
  <c r="J53" i="11" s="1"/>
  <c r="H72" i="9"/>
  <c r="H73" i="9" s="1"/>
  <c r="N119" i="12" a="1"/>
  <c r="N119" i="12" s="1"/>
  <c r="AC34" i="13"/>
  <c r="AE4" i="13"/>
  <c r="AC33" i="13"/>
  <c r="M66" i="1" s="1"/>
  <c r="O29" i="5" s="1"/>
  <c r="K27" i="11"/>
  <c r="L51" i="11"/>
  <c r="P7" i="25"/>
  <c r="T49" i="24"/>
  <c r="T61" i="24"/>
  <c r="U6" i="24"/>
  <c r="U10" i="24" s="1"/>
  <c r="N47" i="1"/>
  <c r="J15" i="4"/>
  <c r="F27" i="5"/>
  <c r="L142" i="12"/>
  <c r="L50" i="11"/>
  <c r="M140" i="12"/>
  <c r="U69" i="24"/>
  <c r="N107" i="1" s="1"/>
  <c r="N42" i="15" s="1"/>
  <c r="K27" i="4"/>
  <c r="G33" i="5"/>
  <c r="U75" i="24"/>
  <c r="N32" i="5"/>
  <c r="R32" i="4" s="1"/>
  <c r="AM32" i="4" s="1"/>
  <c r="R29" i="4"/>
  <c r="AM29" i="4" s="1"/>
  <c r="N103" i="12" a="1"/>
  <c r="N103" i="12" s="1"/>
  <c r="M139" i="12" a="1"/>
  <c r="M139" i="12" s="1"/>
  <c r="K186" i="12"/>
  <c r="K52" i="11"/>
  <c r="N49" i="4"/>
  <c r="AI49" i="4" s="1"/>
  <c r="U85" i="24"/>
  <c r="U88" i="24" s="1"/>
  <c r="N59" i="1" s="1"/>
  <c r="N5" i="9" s="1"/>
  <c r="N11" i="9" s="1"/>
  <c r="N46" i="1"/>
  <c r="N113" i="12" a="1"/>
  <c r="N113" i="12" s="1"/>
  <c r="O78" i="19"/>
  <c r="L13" i="1"/>
  <c r="N11" i="5" s="1"/>
  <c r="R11" i="4" s="1"/>
  <c r="AM11" i="4" s="1"/>
  <c r="P83" i="19"/>
  <c r="M14" i="1" s="1"/>
  <c r="O10" i="5" s="1"/>
  <c r="S10" i="4" s="1"/>
  <c r="AN10" i="4" s="1"/>
  <c r="I15" i="4"/>
  <c r="E27" i="5"/>
  <c r="T75" i="24"/>
  <c r="Q65" i="19"/>
  <c r="Q68" i="19" s="1"/>
  <c r="Q75" i="19" s="1"/>
  <c r="J13" i="25"/>
  <c r="J18" i="25" s="1"/>
  <c r="K6" i="25"/>
  <c r="K11" i="25" s="1"/>
  <c r="T47" i="12"/>
  <c r="J62" i="1" s="1"/>
  <c r="L36" i="5" s="1"/>
  <c r="T48" i="12"/>
  <c r="U5" i="12"/>
  <c r="O23" i="5"/>
  <c r="S23" i="4" s="1"/>
  <c r="AN23" i="4" s="1"/>
  <c r="S24" i="4"/>
  <c r="AN24" i="4" s="1"/>
  <c r="N12" i="16"/>
  <c r="P76" i="19"/>
  <c r="M17" i="1" s="1"/>
  <c r="O41" i="5" s="1"/>
  <c r="S41" i="4" s="1"/>
  <c r="AN41" i="4" s="1"/>
  <c r="M12" i="1"/>
  <c r="O9" i="5" s="1"/>
  <c r="J76" i="19"/>
  <c r="G17" i="1" s="1"/>
  <c r="I41" i="5" s="1"/>
  <c r="M41" i="4" s="1"/>
  <c r="AH41" i="4" s="1"/>
  <c r="R9" i="4"/>
  <c r="AM9" i="4" s="1"/>
  <c r="N114" i="12" a="1"/>
  <c r="N114" i="12" s="1"/>
  <c r="K46" i="5"/>
  <c r="O46" i="4" s="1"/>
  <c r="AJ46" i="4" s="1"/>
  <c r="O36" i="4"/>
  <c r="AJ36" i="4" s="1"/>
  <c r="N130" i="12" a="1"/>
  <c r="N130" i="12" s="1"/>
  <c r="T24" i="4"/>
  <c r="AO24" i="4" s="1"/>
  <c r="P23" i="5"/>
  <c r="T23" i="4" s="1"/>
  <c r="AO23" i="4" s="1"/>
  <c r="P78" i="19"/>
  <c r="M13" i="1"/>
  <c r="O11" i="5" s="1"/>
  <c r="S11" i="4" s="1"/>
  <c r="AN11" i="4" s="1"/>
  <c r="H27" i="5"/>
  <c r="L5" i="4"/>
  <c r="AG5" i="4" s="1"/>
  <c r="Q69" i="19"/>
  <c r="Q82" i="19"/>
  <c r="Q83" i="19" s="1"/>
  <c r="N14" i="1" s="1"/>
  <c r="P10" i="5" s="1"/>
  <c r="T10" i="4" s="1"/>
  <c r="AO10" i="4" s="1"/>
  <c r="O12" i="25"/>
  <c r="L108" i="1"/>
  <c r="L44" i="15" s="1"/>
  <c r="L47" i="15" s="1"/>
  <c r="L51" i="15" s="1"/>
  <c r="M8" i="5"/>
  <c r="Q8" i="4" s="1"/>
  <c r="AL8" i="4" s="1"/>
  <c r="M49" i="4"/>
  <c r="AH49" i="4" s="1"/>
  <c r="I23" i="15" l="1"/>
  <c r="I24" i="15" s="1"/>
  <c r="I26" i="15" s="1"/>
  <c r="I101" i="1" s="1"/>
  <c r="I68" i="9" s="1"/>
  <c r="I70" i="9" s="1"/>
  <c r="I52" i="15"/>
  <c r="I53" i="15"/>
  <c r="I45" i="15"/>
  <c r="I77" i="1" s="1"/>
  <c r="K26" i="5" s="1"/>
  <c r="J106" i="1"/>
  <c r="J43" i="15" s="1"/>
  <c r="M8" i="25"/>
  <c r="R63" i="24"/>
  <c r="M16" i="25"/>
  <c r="N26" i="4"/>
  <c r="AI26" i="4" s="1"/>
  <c r="J25" i="5"/>
  <c r="N25" i="4" s="1"/>
  <c r="AI25" i="4" s="1"/>
  <c r="I72" i="9"/>
  <c r="I73" i="9" s="1"/>
  <c r="H82" i="1"/>
  <c r="J5" i="5" s="1"/>
  <c r="J27" i="4"/>
  <c r="F33" i="5"/>
  <c r="O32" i="5"/>
  <c r="S32" i="4" s="1"/>
  <c r="AN32" i="4" s="1"/>
  <c r="S29" i="4"/>
  <c r="AN29" i="4" s="1"/>
  <c r="I27" i="5"/>
  <c r="M5" i="4"/>
  <c r="AH5" i="4" s="1"/>
  <c r="Q70" i="19"/>
  <c r="Q84" i="19" s="1"/>
  <c r="I70" i="19"/>
  <c r="I84" i="19" s="1"/>
  <c r="N70" i="19"/>
  <c r="N84" i="19" s="1"/>
  <c r="J70" i="19"/>
  <c r="J84" i="19" s="1"/>
  <c r="L70" i="19"/>
  <c r="L84" i="19" s="1"/>
  <c r="N8" i="5"/>
  <c r="R8" i="4" s="1"/>
  <c r="AM8" i="4" s="1"/>
  <c r="Q76" i="19"/>
  <c r="N17" i="1" s="1"/>
  <c r="P41" i="5" s="1"/>
  <c r="T41" i="4" s="1"/>
  <c r="AO41" i="4" s="1"/>
  <c r="N12" i="1"/>
  <c r="P9" i="5" s="1"/>
  <c r="I76" i="19"/>
  <c r="F17" i="1" s="1"/>
  <c r="H41" i="5" s="1"/>
  <c r="L41" i="4" s="1"/>
  <c r="AG41" i="4" s="1"/>
  <c r="N76" i="19"/>
  <c r="K17" i="1" s="1"/>
  <c r="M41" i="5" s="1"/>
  <c r="Q41" i="4" s="1"/>
  <c r="AL41" i="4" s="1"/>
  <c r="M76" i="19"/>
  <c r="J17" i="1" s="1"/>
  <c r="L41" i="5" s="1"/>
  <c r="P41" i="4" s="1"/>
  <c r="AK41" i="4" s="1"/>
  <c r="O76" i="19"/>
  <c r="L17" i="1" s="1"/>
  <c r="N41" i="5" s="1"/>
  <c r="R41" i="4" s="1"/>
  <c r="AM41" i="4" s="1"/>
  <c r="AE33" i="13"/>
  <c r="N66" i="1" s="1"/>
  <c r="P29" i="5" s="1"/>
  <c r="AE34" i="13"/>
  <c r="L27" i="4"/>
  <c r="AG27" i="4" s="1"/>
  <c r="H33" i="5"/>
  <c r="K49" i="5"/>
  <c r="N58" i="1"/>
  <c r="N14" i="9" s="1"/>
  <c r="N18" i="9" s="1"/>
  <c r="N20" i="9" s="1"/>
  <c r="U22" i="24"/>
  <c r="U48" i="24" s="1"/>
  <c r="K76" i="19"/>
  <c r="H17" i="1" s="1"/>
  <c r="J41" i="5" s="1"/>
  <c r="N41" i="4" s="1"/>
  <c r="AI41" i="4" s="1"/>
  <c r="Q12" i="25"/>
  <c r="N108" i="1"/>
  <c r="N44" i="15" s="1"/>
  <c r="N47" i="15" s="1"/>
  <c r="N51" i="15" s="1"/>
  <c r="L76" i="19"/>
  <c r="I17" i="1" s="1"/>
  <c r="K41" i="5" s="1"/>
  <c r="O41" i="4" s="1"/>
  <c r="AJ41" i="4" s="1"/>
  <c r="S9" i="4"/>
  <c r="AN9" i="4" s="1"/>
  <c r="O8" i="5"/>
  <c r="S8" i="4" s="1"/>
  <c r="AN8" i="4" s="1"/>
  <c r="U48" i="12"/>
  <c r="U47" i="12"/>
  <c r="K62" i="1" s="1"/>
  <c r="M36" i="5" s="1"/>
  <c r="V5" i="12"/>
  <c r="P12" i="25"/>
  <c r="M108" i="1"/>
  <c r="M44" i="15" s="1"/>
  <c r="M47" i="15" s="1"/>
  <c r="M51" i="15" s="1"/>
  <c r="E185" i="12"/>
  <c r="E187" i="12" s="1"/>
  <c r="E4" i="8"/>
  <c r="E10" i="8" s="1"/>
  <c r="E11" i="8" s="1"/>
  <c r="E86" i="1" s="1"/>
  <c r="G35" i="5" s="1"/>
  <c r="K33" i="4"/>
  <c r="E174" i="12"/>
  <c r="E155" i="12"/>
  <c r="E156" i="12"/>
  <c r="E148" i="12"/>
  <c r="E182" i="12"/>
  <c r="E153" i="12"/>
  <c r="E158" i="12"/>
  <c r="E171" i="12"/>
  <c r="E167" i="12"/>
  <c r="E179" i="12"/>
  <c r="E169" i="12"/>
  <c r="E152" i="12"/>
  <c r="E172" i="12"/>
  <c r="E168" i="12"/>
  <c r="E151" i="12"/>
  <c r="E170" i="12"/>
  <c r="E180" i="12"/>
  <c r="E154" i="12"/>
  <c r="E164" i="12"/>
  <c r="E175" i="12"/>
  <c r="E163" i="12"/>
  <c r="E157" i="12"/>
  <c r="E177" i="12"/>
  <c r="E178" i="12"/>
  <c r="E181" i="12"/>
  <c r="E162" i="12"/>
  <c r="E161" i="12"/>
  <c r="E166" i="12"/>
  <c r="E173" i="12"/>
  <c r="E150" i="12"/>
  <c r="E149" i="12"/>
  <c r="E176" i="12"/>
  <c r="E159" i="12"/>
  <c r="E160" i="12"/>
  <c r="E165" i="12"/>
  <c r="Q71" i="19"/>
  <c r="Q80" i="19" s="1"/>
  <c r="I27" i="4"/>
  <c r="E33" i="5"/>
  <c r="M70" i="19"/>
  <c r="M84" i="19" s="1"/>
  <c r="P36" i="4"/>
  <c r="AK36" i="4" s="1"/>
  <c r="L46" i="5"/>
  <c r="P46" i="4" s="1"/>
  <c r="AK46" i="4" s="1"/>
  <c r="L49" i="5"/>
  <c r="O70" i="19"/>
  <c r="O84" i="19" s="1"/>
  <c r="M142" i="12"/>
  <c r="M50" i="11"/>
  <c r="N140" i="12"/>
  <c r="L27" i="11"/>
  <c r="M51" i="11"/>
  <c r="L28" i="11"/>
  <c r="K29" i="11"/>
  <c r="K40" i="11" s="1"/>
  <c r="K47" i="11" s="1"/>
  <c r="K53" i="11" s="1"/>
  <c r="P70" i="19"/>
  <c r="P84" i="19" s="1"/>
  <c r="L6" i="25"/>
  <c r="L11" i="25" s="1"/>
  <c r="K13" i="25"/>
  <c r="K18" i="25" s="1"/>
  <c r="N139" i="12" a="1"/>
  <c r="N139" i="12" s="1"/>
  <c r="L186" i="12"/>
  <c r="L52" i="11"/>
  <c r="K70" i="19"/>
  <c r="K84" i="19" s="1"/>
  <c r="J45" i="15" l="1"/>
  <c r="J77" i="1" s="1"/>
  <c r="L26" i="5" s="1"/>
  <c r="J52" i="15"/>
  <c r="J23" i="15"/>
  <c r="J24" i="15" s="1"/>
  <c r="J26" i="15" s="1"/>
  <c r="J101" i="1" s="1"/>
  <c r="J68" i="9" s="1"/>
  <c r="J70" i="9" s="1"/>
  <c r="J53" i="15"/>
  <c r="N16" i="25"/>
  <c r="K106" i="1"/>
  <c r="K43" i="15" s="1"/>
  <c r="N8" i="25"/>
  <c r="S63" i="24"/>
  <c r="K25" i="5"/>
  <c r="O25" i="4" s="1"/>
  <c r="AJ25" i="4" s="1"/>
  <c r="O26" i="4"/>
  <c r="AJ26" i="4" s="1"/>
  <c r="J72" i="9"/>
  <c r="I82" i="1"/>
  <c r="K5" i="5" s="1"/>
  <c r="L29" i="11"/>
  <c r="L40" i="11" s="1"/>
  <c r="L47" i="11" s="1"/>
  <c r="L53" i="11" s="1"/>
  <c r="O85" i="19"/>
  <c r="L16" i="1"/>
  <c r="N40" i="5" s="1"/>
  <c r="R40" i="4" s="1"/>
  <c r="AM40" i="4" s="1"/>
  <c r="C185" i="12"/>
  <c r="C187" i="12" s="1"/>
  <c r="C4" i="8"/>
  <c r="C10" i="8" s="1"/>
  <c r="C11" i="8" s="1"/>
  <c r="C86" i="1" s="1"/>
  <c r="E35" i="5" s="1"/>
  <c r="I33" i="4"/>
  <c r="C150" i="12"/>
  <c r="C174" i="12"/>
  <c r="C152" i="12"/>
  <c r="C171" i="12"/>
  <c r="C182" i="12"/>
  <c r="C158" i="12"/>
  <c r="C173" i="12"/>
  <c r="C157" i="12"/>
  <c r="C160" i="12"/>
  <c r="C169" i="12"/>
  <c r="C159" i="12"/>
  <c r="C167" i="12"/>
  <c r="C155" i="12"/>
  <c r="C165" i="12"/>
  <c r="C168" i="12"/>
  <c r="C180" i="12"/>
  <c r="C163" i="12"/>
  <c r="C153" i="12"/>
  <c r="C154" i="12"/>
  <c r="C170" i="12"/>
  <c r="C149" i="12"/>
  <c r="C164" i="12"/>
  <c r="C179" i="12"/>
  <c r="C166" i="12"/>
  <c r="C151" i="12"/>
  <c r="C176" i="12"/>
  <c r="C172" i="12"/>
  <c r="C162" i="12"/>
  <c r="C148" i="12"/>
  <c r="C156" i="12"/>
  <c r="C175" i="12"/>
  <c r="C181" i="12"/>
  <c r="C177" i="12"/>
  <c r="C161" i="12"/>
  <c r="C178" i="12"/>
  <c r="T29" i="4"/>
  <c r="AO29" i="4" s="1"/>
  <c r="P32" i="5"/>
  <c r="T32" i="4" s="1"/>
  <c r="AO32" i="4" s="1"/>
  <c r="L85" i="19"/>
  <c r="I15" i="1" s="1"/>
  <c r="I16" i="1"/>
  <c r="K40" i="5" s="1"/>
  <c r="O40" i="4" s="1"/>
  <c r="AJ40" i="4" s="1"/>
  <c r="P49" i="4"/>
  <c r="AK49" i="4" s="1"/>
  <c r="K35" i="4"/>
  <c r="J85" i="19"/>
  <c r="G16" i="1"/>
  <c r="I40" i="5" s="1"/>
  <c r="M40" i="4" s="1"/>
  <c r="AH40" i="4" s="1"/>
  <c r="D185" i="12"/>
  <c r="D187" i="12" s="1"/>
  <c r="D4" i="8"/>
  <c r="D10" i="8" s="1"/>
  <c r="D11" i="8" s="1"/>
  <c r="D86" i="1" s="1"/>
  <c r="F35" i="5" s="1"/>
  <c r="F38" i="5" s="1"/>
  <c r="J33" i="4"/>
  <c r="D152" i="12"/>
  <c r="D163" i="12"/>
  <c r="D164" i="12"/>
  <c r="D170" i="12"/>
  <c r="D150" i="12"/>
  <c r="D181" i="12"/>
  <c r="D179" i="12"/>
  <c r="D173" i="12"/>
  <c r="D158" i="12"/>
  <c r="D180" i="12"/>
  <c r="D148" i="12"/>
  <c r="D151" i="12"/>
  <c r="D167" i="12"/>
  <c r="D162" i="12"/>
  <c r="D182" i="12"/>
  <c r="D168" i="12"/>
  <c r="D155" i="12"/>
  <c r="D172" i="12"/>
  <c r="D154" i="12"/>
  <c r="D174" i="12"/>
  <c r="D169" i="12"/>
  <c r="D156" i="12"/>
  <c r="D166" i="12"/>
  <c r="D157" i="12"/>
  <c r="D171" i="12"/>
  <c r="D175" i="12"/>
  <c r="D153" i="12"/>
  <c r="D178" i="12"/>
  <c r="D149" i="12"/>
  <c r="D161" i="12"/>
  <c r="D176" i="12"/>
  <c r="D159" i="12"/>
  <c r="D160" i="12"/>
  <c r="D177" i="12"/>
  <c r="D165" i="12"/>
  <c r="N142" i="12"/>
  <c r="N50" i="11"/>
  <c r="N27" i="11" s="1"/>
  <c r="Q78" i="19"/>
  <c r="N13" i="1"/>
  <c r="P11" i="5" s="1"/>
  <c r="T11" i="4" s="1"/>
  <c r="AO11" i="4" s="1"/>
  <c r="U61" i="24"/>
  <c r="Q7" i="25"/>
  <c r="U49" i="24"/>
  <c r="N85" i="19"/>
  <c r="K16" i="1"/>
  <c r="M40" i="5" s="1"/>
  <c r="Q40" i="4" s="1"/>
  <c r="AL40" i="4" s="1"/>
  <c r="E184" i="12"/>
  <c r="G47" i="5" s="1"/>
  <c r="K47" i="4" s="1"/>
  <c r="I85" i="19"/>
  <c r="F15" i="1" s="1"/>
  <c r="F16" i="1"/>
  <c r="H40" i="5" s="1"/>
  <c r="L40" i="4" s="1"/>
  <c r="AG40" i="4" s="1"/>
  <c r="Q85" i="19"/>
  <c r="N16" i="1"/>
  <c r="P40" i="5" s="1"/>
  <c r="T40" i="4" s="1"/>
  <c r="AO40" i="4" s="1"/>
  <c r="K85" i="19"/>
  <c r="H15" i="1" s="1"/>
  <c r="H16" i="1"/>
  <c r="J40" i="5" s="1"/>
  <c r="N40" i="4" s="1"/>
  <c r="AI40" i="4" s="1"/>
  <c r="O49" i="4"/>
  <c r="AJ49" i="4" s="1"/>
  <c r="L13" i="25"/>
  <c r="L18" i="25" s="1"/>
  <c r="M6" i="25"/>
  <c r="M11" i="25" s="1"/>
  <c r="V48" i="12"/>
  <c r="V47" i="12"/>
  <c r="L62" i="1" s="1"/>
  <c r="N36" i="5" s="1"/>
  <c r="W5" i="12"/>
  <c r="F185" i="12"/>
  <c r="F187" i="12" s="1"/>
  <c r="F174" i="12"/>
  <c r="L33" i="4"/>
  <c r="AG33" i="4" s="1"/>
  <c r="F4" i="8"/>
  <c r="F10" i="8" s="1"/>
  <c r="F11" i="8" s="1"/>
  <c r="F86" i="1" s="1"/>
  <c r="H35" i="5" s="1"/>
  <c r="H38" i="5" s="1"/>
  <c r="F148" i="12"/>
  <c r="F153" i="12"/>
  <c r="F171" i="12"/>
  <c r="F155" i="12"/>
  <c r="F156" i="12"/>
  <c r="F177" i="12"/>
  <c r="F178" i="12"/>
  <c r="F158" i="12"/>
  <c r="F179" i="12"/>
  <c r="F152" i="12"/>
  <c r="F172" i="12"/>
  <c r="F167" i="12"/>
  <c r="F169" i="12"/>
  <c r="F182" i="12"/>
  <c r="F166" i="12"/>
  <c r="F154" i="12"/>
  <c r="F151" i="12"/>
  <c r="F157" i="12"/>
  <c r="F175" i="12"/>
  <c r="F164" i="12"/>
  <c r="F150" i="12"/>
  <c r="F161" i="12"/>
  <c r="F168" i="12"/>
  <c r="F163" i="12"/>
  <c r="F162" i="12"/>
  <c r="F181" i="12"/>
  <c r="F170" i="12"/>
  <c r="F173" i="12"/>
  <c r="F180" i="12"/>
  <c r="F149" i="12"/>
  <c r="F159" i="12"/>
  <c r="F176" i="12"/>
  <c r="F165" i="12"/>
  <c r="F160" i="12"/>
  <c r="P8" i="5"/>
  <c r="T8" i="4" s="1"/>
  <c r="AO8" i="4" s="1"/>
  <c r="T9" i="4"/>
  <c r="AO9" i="4" s="1"/>
  <c r="J27" i="5"/>
  <c r="N5" i="4"/>
  <c r="AI5" i="4" s="1"/>
  <c r="P85" i="19"/>
  <c r="M16" i="1"/>
  <c r="O40" i="5" s="1"/>
  <c r="S40" i="4" s="1"/>
  <c r="AN40" i="4" s="1"/>
  <c r="M27" i="11"/>
  <c r="M28" i="11" s="1"/>
  <c r="N51" i="11"/>
  <c r="G38" i="5"/>
  <c r="Q36" i="4"/>
  <c r="AL36" i="4" s="1"/>
  <c r="M46" i="5"/>
  <c r="Q46" i="4" s="1"/>
  <c r="AL46" i="4" s="1"/>
  <c r="I33" i="5"/>
  <c r="M27" i="4"/>
  <c r="AH27" i="4" s="1"/>
  <c r="M186" i="12"/>
  <c r="M52" i="11"/>
  <c r="M85" i="19"/>
  <c r="J16" i="1"/>
  <c r="L40" i="5" s="1"/>
  <c r="P40" i="4" s="1"/>
  <c r="AK40" i="4" s="1"/>
  <c r="O16" i="25" l="1"/>
  <c r="L106" i="1"/>
  <c r="L43" i="15" s="1"/>
  <c r="O8" i="25"/>
  <c r="T63" i="24"/>
  <c r="K52" i="15"/>
  <c r="K23" i="15"/>
  <c r="K24" i="15" s="1"/>
  <c r="K26" i="15" s="1"/>
  <c r="K101" i="1" s="1"/>
  <c r="K68" i="9" s="1"/>
  <c r="K70" i="9" s="1"/>
  <c r="K53" i="15"/>
  <c r="K45" i="15"/>
  <c r="K77" i="1" s="1"/>
  <c r="M26" i="5" s="1"/>
  <c r="J73" i="9"/>
  <c r="K72" i="9" s="1"/>
  <c r="L25" i="5"/>
  <c r="P25" i="4" s="1"/>
  <c r="AK25" i="4" s="1"/>
  <c r="P26" i="4"/>
  <c r="AK26" i="4" s="1"/>
  <c r="J38" i="4"/>
  <c r="N28" i="11"/>
  <c r="N29" i="11" s="1"/>
  <c r="N40" i="11" s="1"/>
  <c r="N47" i="11" s="1"/>
  <c r="M29" i="11"/>
  <c r="M40" i="11" s="1"/>
  <c r="M47" i="11" s="1"/>
  <c r="M53" i="11" s="1"/>
  <c r="P86" i="19"/>
  <c r="M15" i="1"/>
  <c r="L35" i="4"/>
  <c r="AG35" i="4" s="1"/>
  <c r="H39" i="5"/>
  <c r="M86" i="19"/>
  <c r="J15" i="1"/>
  <c r="M49" i="5"/>
  <c r="O86" i="19"/>
  <c r="L15" i="1"/>
  <c r="K38" i="4"/>
  <c r="G39" i="5"/>
  <c r="F184" i="12"/>
  <c r="H47" i="5" s="1"/>
  <c r="L47" i="4" s="1"/>
  <c r="AG47" i="4" s="1"/>
  <c r="N186" i="12"/>
  <c r="N52" i="11"/>
  <c r="L38" i="4"/>
  <c r="AG38" i="4" s="1"/>
  <c r="J33" i="5"/>
  <c r="N27" i="4"/>
  <c r="AI27" i="4" s="1"/>
  <c r="F39" i="5"/>
  <c r="J35" i="4"/>
  <c r="O5" i="4"/>
  <c r="AJ5" i="4" s="1"/>
  <c r="K27" i="5"/>
  <c r="I35" i="4"/>
  <c r="E38" i="5"/>
  <c r="J82" i="1"/>
  <c r="L5" i="5" s="1"/>
  <c r="N49" i="5"/>
  <c r="N46" i="5"/>
  <c r="R46" i="4" s="1"/>
  <c r="AM46" i="4" s="1"/>
  <c r="R36" i="4"/>
  <c r="AM36" i="4" s="1"/>
  <c r="G185" i="12"/>
  <c r="G187" i="12" s="1"/>
  <c r="G174" i="12"/>
  <c r="M33" i="4"/>
  <c r="AH33" i="4" s="1"/>
  <c r="G4" i="8"/>
  <c r="G10" i="8" s="1"/>
  <c r="G11" i="8" s="1"/>
  <c r="G86" i="1" s="1"/>
  <c r="I35" i="5" s="1"/>
  <c r="G153" i="12"/>
  <c r="G171" i="12"/>
  <c r="G182" i="12"/>
  <c r="G179" i="12"/>
  <c r="G148" i="12"/>
  <c r="G167" i="12"/>
  <c r="G155" i="12"/>
  <c r="G172" i="12"/>
  <c r="G152" i="12"/>
  <c r="G156" i="12"/>
  <c r="G158" i="12"/>
  <c r="G169" i="12"/>
  <c r="G178" i="12"/>
  <c r="G177" i="12"/>
  <c r="G163" i="12"/>
  <c r="G168" i="12"/>
  <c r="G154" i="12"/>
  <c r="G170" i="12"/>
  <c r="G157" i="12"/>
  <c r="G181" i="12"/>
  <c r="G164" i="12"/>
  <c r="G173" i="12"/>
  <c r="G175" i="12"/>
  <c r="G150" i="12"/>
  <c r="G166" i="12"/>
  <c r="G161" i="12"/>
  <c r="G180" i="12"/>
  <c r="G151" i="12"/>
  <c r="G162" i="12"/>
  <c r="G160" i="12"/>
  <c r="G149" i="12"/>
  <c r="G159" i="12"/>
  <c r="G165" i="12"/>
  <c r="G176" i="12"/>
  <c r="Q86" i="19"/>
  <c r="N15" i="1"/>
  <c r="N86" i="19"/>
  <c r="K15" i="1"/>
  <c r="D184" i="12"/>
  <c r="F47" i="5" s="1"/>
  <c r="J47" i="4" s="1"/>
  <c r="Q87" i="19"/>
  <c r="O87" i="19"/>
  <c r="N87" i="19"/>
  <c r="M87" i="19"/>
  <c r="P87" i="19"/>
  <c r="G15" i="1"/>
  <c r="C184" i="12"/>
  <c r="E47" i="5" s="1"/>
  <c r="I47" i="4" s="1"/>
  <c r="X5" i="12"/>
  <c r="W47" i="12"/>
  <c r="M62" i="1" s="1"/>
  <c r="O36" i="5" s="1"/>
  <c r="W48" i="12"/>
  <c r="M13" i="25"/>
  <c r="M18" i="25" s="1"/>
  <c r="N6" i="25"/>
  <c r="N11" i="25" s="1"/>
  <c r="M25" i="5" l="1"/>
  <c r="Q25" i="4" s="1"/>
  <c r="AL25" i="4" s="1"/>
  <c r="Q26" i="4"/>
  <c r="AL26" i="4" s="1"/>
  <c r="P16" i="25"/>
  <c r="P8" i="25"/>
  <c r="M106" i="1"/>
  <c r="M43" i="15" s="1"/>
  <c r="K73" i="9"/>
  <c r="L72" i="9" s="1"/>
  <c r="U63" i="24"/>
  <c r="L23" i="15"/>
  <c r="L24" i="15" s="1"/>
  <c r="L26" i="15" s="1"/>
  <c r="L101" i="1" s="1"/>
  <c r="L68" i="9" s="1"/>
  <c r="L70" i="9" s="1"/>
  <c r="L53" i="15"/>
  <c r="L45" i="15"/>
  <c r="L77" i="1" s="1"/>
  <c r="N26" i="5" s="1"/>
  <c r="L52" i="15"/>
  <c r="R49" i="4"/>
  <c r="AM49" i="4" s="1"/>
  <c r="K33" i="5"/>
  <c r="O27" i="4"/>
  <c r="AJ27" i="4" s="1"/>
  <c r="O46" i="5"/>
  <c r="S46" i="4" s="1"/>
  <c r="AN46" i="4" s="1"/>
  <c r="O49" i="5"/>
  <c r="S36" i="4"/>
  <c r="AN36" i="4" s="1"/>
  <c r="X48" i="12"/>
  <c r="X47" i="12"/>
  <c r="N62" i="1" s="1"/>
  <c r="P36" i="5" s="1"/>
  <c r="M35" i="4"/>
  <c r="AH35" i="4" s="1"/>
  <c r="I38" i="5"/>
  <c r="I39" i="5" s="1"/>
  <c r="K82" i="1"/>
  <c r="M5" i="5" s="1"/>
  <c r="G184" i="12"/>
  <c r="I47" i="5" s="1"/>
  <c r="M47" i="4" s="1"/>
  <c r="AH47" i="4" s="1"/>
  <c r="I38" i="4"/>
  <c r="J39" i="4"/>
  <c r="F44" i="5"/>
  <c r="G44" i="5"/>
  <c r="K39" i="4"/>
  <c r="Q49" i="4"/>
  <c r="AL49" i="4" s="1"/>
  <c r="N53" i="11"/>
  <c r="O6" i="25"/>
  <c r="O11" i="25" s="1"/>
  <c r="N13" i="25"/>
  <c r="N18" i="25" s="1"/>
  <c r="E39" i="5"/>
  <c r="H174" i="12"/>
  <c r="H185" i="12"/>
  <c r="H187" i="12" s="1"/>
  <c r="H4" i="8"/>
  <c r="H10" i="8" s="1"/>
  <c r="H11" i="8" s="1"/>
  <c r="H86" i="1" s="1"/>
  <c r="J35" i="5" s="1"/>
  <c r="N33" i="4"/>
  <c r="AI33" i="4" s="1"/>
  <c r="H182" i="12"/>
  <c r="H153" i="12"/>
  <c r="H179" i="12"/>
  <c r="H171" i="12"/>
  <c r="H148" i="12"/>
  <c r="H152" i="12"/>
  <c r="H156" i="12"/>
  <c r="H178" i="12"/>
  <c r="H158" i="12"/>
  <c r="H167" i="12"/>
  <c r="H155" i="12"/>
  <c r="H177" i="12"/>
  <c r="H169" i="12"/>
  <c r="H172" i="12"/>
  <c r="H166" i="12"/>
  <c r="H164" i="12"/>
  <c r="H163" i="12"/>
  <c r="H161" i="12"/>
  <c r="H175" i="12"/>
  <c r="H151" i="12"/>
  <c r="H157" i="12"/>
  <c r="H170" i="12"/>
  <c r="H180" i="12"/>
  <c r="H173" i="12"/>
  <c r="H150" i="12"/>
  <c r="H154" i="12"/>
  <c r="H181" i="12"/>
  <c r="H168" i="12"/>
  <c r="H162" i="12"/>
  <c r="H176" i="12"/>
  <c r="H165" i="12"/>
  <c r="H149" i="12"/>
  <c r="H160" i="12"/>
  <c r="H159" i="12"/>
  <c r="P5" i="4"/>
  <c r="AK5" i="4" s="1"/>
  <c r="L27" i="5"/>
  <c r="L39" i="4"/>
  <c r="AG39" i="4" s="1"/>
  <c r="H44" i="5"/>
  <c r="L73" i="9" l="1"/>
  <c r="Q8" i="25"/>
  <c r="Q16" i="25"/>
  <c r="N106" i="1"/>
  <c r="N43" i="15" s="1"/>
  <c r="R26" i="4"/>
  <c r="AM26" i="4" s="1"/>
  <c r="N25" i="5"/>
  <c r="R25" i="4" s="1"/>
  <c r="AM25" i="4" s="1"/>
  <c r="M53" i="15"/>
  <c r="M23" i="15"/>
  <c r="M24" i="15" s="1"/>
  <c r="M26" i="15" s="1"/>
  <c r="M101" i="1" s="1"/>
  <c r="M68" i="9" s="1"/>
  <c r="M70" i="9" s="1"/>
  <c r="M52" i="15"/>
  <c r="M45" i="15"/>
  <c r="M77" i="1" s="1"/>
  <c r="O26" i="5" s="1"/>
  <c r="H184" i="12"/>
  <c r="J47" i="5" s="1"/>
  <c r="N47" i="4" s="1"/>
  <c r="AI47" i="4" s="1"/>
  <c r="M72" i="9"/>
  <c r="L82" i="1"/>
  <c r="N5" i="5" s="1"/>
  <c r="L33" i="5"/>
  <c r="P27" i="4"/>
  <c r="AK27" i="4" s="1"/>
  <c r="Q5" i="4"/>
  <c r="AL5" i="4" s="1"/>
  <c r="M27" i="5"/>
  <c r="P6" i="25"/>
  <c r="P11" i="25" s="1"/>
  <c r="O13" i="25"/>
  <c r="O18" i="25" s="1"/>
  <c r="E5" i="8"/>
  <c r="E15" i="8" s="1"/>
  <c r="E87" i="1" s="1"/>
  <c r="G45" i="5" s="1"/>
  <c r="K44" i="4"/>
  <c r="S49" i="4"/>
  <c r="AN49" i="4" s="1"/>
  <c r="N35" i="4"/>
  <c r="AI35" i="4" s="1"/>
  <c r="D5" i="8"/>
  <c r="D15" i="8" s="1"/>
  <c r="D87" i="1" s="1"/>
  <c r="F45" i="5" s="1"/>
  <c r="J44" i="4"/>
  <c r="M38" i="4"/>
  <c r="AH38" i="4" s="1"/>
  <c r="F21" i="9"/>
  <c r="F5" i="8"/>
  <c r="F15" i="8" s="1"/>
  <c r="F87" i="1" s="1"/>
  <c r="H45" i="5" s="1"/>
  <c r="L44" i="4"/>
  <c r="AG44" i="4" s="1"/>
  <c r="I44" i="5"/>
  <c r="M39" i="4"/>
  <c r="AH39" i="4" s="1"/>
  <c r="I174" i="12"/>
  <c r="I185" i="12"/>
  <c r="I187" i="12" s="1"/>
  <c r="I4" i="8"/>
  <c r="I10" i="8" s="1"/>
  <c r="I11" i="8" s="1"/>
  <c r="I86" i="1" s="1"/>
  <c r="K35" i="5" s="1"/>
  <c r="O33" i="4"/>
  <c r="AJ33" i="4" s="1"/>
  <c r="I179" i="12"/>
  <c r="I182" i="12"/>
  <c r="I153" i="12"/>
  <c r="I148" i="12"/>
  <c r="I171" i="12"/>
  <c r="I167" i="12"/>
  <c r="I155" i="12"/>
  <c r="I152" i="12"/>
  <c r="I169" i="12"/>
  <c r="I178" i="12"/>
  <c r="I158" i="12"/>
  <c r="I156" i="12"/>
  <c r="I177" i="12"/>
  <c r="I172" i="12"/>
  <c r="I175" i="12"/>
  <c r="I163" i="12"/>
  <c r="I164" i="12"/>
  <c r="I166" i="12"/>
  <c r="I173" i="12"/>
  <c r="I170" i="12"/>
  <c r="I161" i="12"/>
  <c r="I157" i="12"/>
  <c r="I168" i="12"/>
  <c r="I150" i="12"/>
  <c r="I151" i="12"/>
  <c r="I154" i="12"/>
  <c r="I162" i="12"/>
  <c r="I180" i="12"/>
  <c r="I181" i="12"/>
  <c r="I176" i="12"/>
  <c r="I159" i="12"/>
  <c r="I160" i="12"/>
  <c r="I165" i="12"/>
  <c r="I149" i="12"/>
  <c r="J38" i="5"/>
  <c r="J39" i="5" s="1"/>
  <c r="I39" i="4"/>
  <c r="E44" i="5"/>
  <c r="P49" i="5"/>
  <c r="P46" i="5"/>
  <c r="T46" i="4" s="1"/>
  <c r="AO46" i="4" s="1"/>
  <c r="T36" i="4"/>
  <c r="AO36" i="4" s="1"/>
  <c r="M73" i="9" l="1"/>
  <c r="N45" i="15"/>
  <c r="N77" i="1" s="1"/>
  <c r="P26" i="5" s="1"/>
  <c r="N52" i="15"/>
  <c r="N53" i="15"/>
  <c r="N23" i="15"/>
  <c r="N24" i="15" s="1"/>
  <c r="N26" i="15" s="1"/>
  <c r="N101" i="1" s="1"/>
  <c r="N68" i="9" s="1"/>
  <c r="N70" i="9" s="1"/>
  <c r="O25" i="5"/>
  <c r="S25" i="4" s="1"/>
  <c r="AN25" i="4" s="1"/>
  <c r="S26" i="4"/>
  <c r="AN26" i="4" s="1"/>
  <c r="J44" i="5"/>
  <c r="N39" i="4"/>
  <c r="AI39" i="4" s="1"/>
  <c r="N72" i="9"/>
  <c r="M82" i="1"/>
  <c r="O5" i="5" s="1"/>
  <c r="P13" i="25"/>
  <c r="P18" i="25" s="1"/>
  <c r="Q6" i="25"/>
  <c r="Q11" i="25" s="1"/>
  <c r="Q13" i="25" s="1"/>
  <c r="Q18" i="25" s="1"/>
  <c r="O35" i="4"/>
  <c r="AJ35" i="4" s="1"/>
  <c r="N38" i="4"/>
  <c r="AI38" i="4" s="1"/>
  <c r="K38" i="5"/>
  <c r="M33" i="5"/>
  <c r="Q27" i="4"/>
  <c r="AL27" i="4" s="1"/>
  <c r="L45" i="4"/>
  <c r="AG45" i="4" s="1"/>
  <c r="H50" i="5"/>
  <c r="H51" i="5"/>
  <c r="L51" i="4" s="1"/>
  <c r="AG51" i="4" s="1"/>
  <c r="T49" i="4"/>
  <c r="AO49" i="4" s="1"/>
  <c r="C5" i="8"/>
  <c r="C15" i="8" s="1"/>
  <c r="C87" i="1" s="1"/>
  <c r="E45" i="5" s="1"/>
  <c r="I44" i="4"/>
  <c r="I184" i="12"/>
  <c r="K47" i="5" s="1"/>
  <c r="O47" i="4" s="1"/>
  <c r="AJ47" i="4" s="1"/>
  <c r="J185" i="12"/>
  <c r="J187" i="12" s="1"/>
  <c r="J174" i="12"/>
  <c r="J4" i="8"/>
  <c r="J10" i="8" s="1"/>
  <c r="J11" i="8" s="1"/>
  <c r="J86" i="1" s="1"/>
  <c r="L35" i="5" s="1"/>
  <c r="L38" i="5" s="1"/>
  <c r="P33" i="4"/>
  <c r="AK33" i="4" s="1"/>
  <c r="J179" i="12"/>
  <c r="J182" i="12"/>
  <c r="J153" i="12"/>
  <c r="J171" i="12"/>
  <c r="J148" i="12"/>
  <c r="J177" i="12"/>
  <c r="J167" i="12"/>
  <c r="J172" i="12"/>
  <c r="J156" i="12"/>
  <c r="J155" i="12"/>
  <c r="J169" i="12"/>
  <c r="J158" i="12"/>
  <c r="J178" i="12"/>
  <c r="J152" i="12"/>
  <c r="J157" i="12"/>
  <c r="J151" i="12"/>
  <c r="J170" i="12"/>
  <c r="J164" i="12"/>
  <c r="J180" i="12"/>
  <c r="J150" i="12"/>
  <c r="J173" i="12"/>
  <c r="J163" i="12"/>
  <c r="J161" i="12"/>
  <c r="J181" i="12"/>
  <c r="J162" i="12"/>
  <c r="J175" i="12"/>
  <c r="J154" i="12"/>
  <c r="J168" i="12"/>
  <c r="J166" i="12"/>
  <c r="J159" i="12"/>
  <c r="J165" i="12"/>
  <c r="J160" i="12"/>
  <c r="J176" i="12"/>
  <c r="J149" i="12"/>
  <c r="N27" i="5"/>
  <c r="R5" i="4"/>
  <c r="AM5" i="4" s="1"/>
  <c r="G5" i="8"/>
  <c r="G15" i="8" s="1"/>
  <c r="G87" i="1" s="1"/>
  <c r="I45" i="5" s="1"/>
  <c r="M44" i="4"/>
  <c r="AH44" i="4" s="1"/>
  <c r="K45" i="4"/>
  <c r="G50" i="5"/>
  <c r="G51" i="5"/>
  <c r="K51" i="4" s="1"/>
  <c r="J45" i="4"/>
  <c r="F51" i="5"/>
  <c r="J51" i="4" s="1"/>
  <c r="F50" i="5"/>
  <c r="N73" i="9" l="1"/>
  <c r="N82" i="1" s="1"/>
  <c r="P5" i="5" s="1"/>
  <c r="P25" i="5"/>
  <c r="T25" i="4" s="1"/>
  <c r="AO25" i="4" s="1"/>
  <c r="T26" i="4"/>
  <c r="AO26" i="4" s="1"/>
  <c r="J50" i="4"/>
  <c r="F52" i="5"/>
  <c r="J52" i="4" s="1"/>
  <c r="R27" i="4"/>
  <c r="AM27" i="4" s="1"/>
  <c r="N33" i="5"/>
  <c r="K174" i="12"/>
  <c r="K4" i="8"/>
  <c r="K10" i="8" s="1"/>
  <c r="K11" i="8" s="1"/>
  <c r="K86" i="1" s="1"/>
  <c r="M35" i="5" s="1"/>
  <c r="M38" i="5" s="1"/>
  <c r="K185" i="12"/>
  <c r="K187" i="12" s="1"/>
  <c r="Q33" i="4"/>
  <c r="AL33" i="4" s="1"/>
  <c r="K182" i="12"/>
  <c r="K179" i="12"/>
  <c r="K153" i="12"/>
  <c r="K148" i="12"/>
  <c r="K171" i="12"/>
  <c r="K169" i="12"/>
  <c r="K158" i="12"/>
  <c r="K167" i="12"/>
  <c r="K155" i="12"/>
  <c r="K172" i="12"/>
  <c r="K177" i="12"/>
  <c r="K152" i="12"/>
  <c r="K156" i="12"/>
  <c r="K178" i="12"/>
  <c r="K154" i="12"/>
  <c r="K162" i="12"/>
  <c r="K163" i="12"/>
  <c r="K150" i="12"/>
  <c r="K170" i="12"/>
  <c r="K173" i="12"/>
  <c r="K151" i="12"/>
  <c r="K164" i="12"/>
  <c r="K181" i="12"/>
  <c r="K168" i="12"/>
  <c r="K180" i="12"/>
  <c r="K175" i="12"/>
  <c r="K157" i="12"/>
  <c r="K166" i="12"/>
  <c r="K161" i="12"/>
  <c r="K165" i="12"/>
  <c r="K159" i="12"/>
  <c r="K176" i="12"/>
  <c r="K160" i="12"/>
  <c r="K149" i="12"/>
  <c r="I45" i="4"/>
  <c r="E50" i="5"/>
  <c r="E51" i="5"/>
  <c r="I51" i="4" s="1"/>
  <c r="O38" i="4"/>
  <c r="AJ38" i="4" s="1"/>
  <c r="S5" i="4"/>
  <c r="AN5" i="4" s="1"/>
  <c r="O27" i="5"/>
  <c r="P38" i="4"/>
  <c r="AK38" i="4" s="1"/>
  <c r="C11" i="2"/>
  <c r="P27" i="5"/>
  <c r="T5" i="4"/>
  <c r="AO5" i="4" s="1"/>
  <c r="L39" i="5"/>
  <c r="P35" i="4"/>
  <c r="AK35" i="4" s="1"/>
  <c r="K50" i="4"/>
  <c r="G52" i="5"/>
  <c r="K52" i="4" s="1"/>
  <c r="M45" i="4"/>
  <c r="AH45" i="4" s="1"/>
  <c r="I50" i="5"/>
  <c r="I51" i="5"/>
  <c r="J184" i="12"/>
  <c r="L47" i="5" s="1"/>
  <c r="P47" i="4" s="1"/>
  <c r="AK47" i="4" s="1"/>
  <c r="L50" i="4"/>
  <c r="AG50" i="4" s="1"/>
  <c r="H52" i="5"/>
  <c r="K39" i="5"/>
  <c r="H5" i="8"/>
  <c r="H15" i="8" s="1"/>
  <c r="H87" i="1" s="1"/>
  <c r="J45" i="5" s="1"/>
  <c r="N44" i="4"/>
  <c r="AI44" i="4" s="1"/>
  <c r="Q38" i="4" l="1"/>
  <c r="AL38" i="4" s="1"/>
  <c r="D11" i="2"/>
  <c r="M51" i="4"/>
  <c r="AH51" i="4" s="1"/>
  <c r="E3" i="2"/>
  <c r="C14" i="2" s="1"/>
  <c r="M50" i="4"/>
  <c r="AH50" i="4" s="1"/>
  <c r="I52" i="5"/>
  <c r="T27" i="4"/>
  <c r="AO27" i="4" s="1"/>
  <c r="P33" i="5"/>
  <c r="M39" i="5"/>
  <c r="Q35" i="4"/>
  <c r="AL35" i="4" s="1"/>
  <c r="C17" i="2"/>
  <c r="I50" i="4"/>
  <c r="E52" i="5"/>
  <c r="I52" i="4" s="1"/>
  <c r="K184" i="12"/>
  <c r="M47" i="5" s="1"/>
  <c r="Q47" i="4" s="1"/>
  <c r="AL47" i="4" s="1"/>
  <c r="N45" i="4"/>
  <c r="AI45" i="4" s="1"/>
  <c r="J50" i="5"/>
  <c r="J51" i="5"/>
  <c r="N51" i="4" s="1"/>
  <c r="AI51" i="4" s="1"/>
  <c r="L174" i="12"/>
  <c r="L185" i="12"/>
  <c r="L187" i="12" s="1"/>
  <c r="R33" i="4"/>
  <c r="AM33" i="4" s="1"/>
  <c r="L4" i="8"/>
  <c r="L10" i="8" s="1"/>
  <c r="L11" i="8" s="1"/>
  <c r="L86" i="1" s="1"/>
  <c r="N35" i="5" s="1"/>
  <c r="N38" i="5" s="1"/>
  <c r="L179" i="12"/>
  <c r="L182" i="12"/>
  <c r="L153" i="12"/>
  <c r="L171" i="12"/>
  <c r="L148" i="12"/>
  <c r="L167" i="12"/>
  <c r="L155" i="12"/>
  <c r="L177" i="12"/>
  <c r="L158" i="12"/>
  <c r="L172" i="12"/>
  <c r="L152" i="12"/>
  <c r="L178" i="12"/>
  <c r="L169" i="12"/>
  <c r="L156" i="12"/>
  <c r="L180" i="12"/>
  <c r="L154" i="12"/>
  <c r="L150" i="12"/>
  <c r="L166" i="12"/>
  <c r="L173" i="12"/>
  <c r="L151" i="12"/>
  <c r="L163" i="12"/>
  <c r="L162" i="12"/>
  <c r="L175" i="12"/>
  <c r="L164" i="12"/>
  <c r="L170" i="12"/>
  <c r="L181" i="12"/>
  <c r="L168" i="12"/>
  <c r="L157" i="12"/>
  <c r="L161" i="12"/>
  <c r="L160" i="12"/>
  <c r="L176" i="12"/>
  <c r="L159" i="12"/>
  <c r="L149" i="12"/>
  <c r="L165" i="12"/>
  <c r="K44" i="5"/>
  <c r="O39" i="4"/>
  <c r="AJ39" i="4" s="1"/>
  <c r="H53" i="5"/>
  <c r="L53" i="4" s="1"/>
  <c r="AG53" i="4" s="1"/>
  <c r="L52" i="4"/>
  <c r="AG52" i="4" s="1"/>
  <c r="S27" i="4"/>
  <c r="AN27" i="4" s="1"/>
  <c r="O33" i="5"/>
  <c r="L44" i="5"/>
  <c r="J11" i="2"/>
  <c r="P39" i="4"/>
  <c r="AK39" i="4" s="1"/>
  <c r="C13" i="2" l="1"/>
  <c r="R38" i="4"/>
  <c r="AM38" i="4" s="1"/>
  <c r="E11" i="2"/>
  <c r="L184" i="12"/>
  <c r="N47" i="5" s="1"/>
  <c r="R47" i="4" s="1"/>
  <c r="AM47" i="4" s="1"/>
  <c r="C12" i="2"/>
  <c r="C19" i="2"/>
  <c r="C20" i="2"/>
  <c r="C18" i="2"/>
  <c r="I53" i="5"/>
  <c r="M52" i="4"/>
  <c r="AH52" i="4" s="1"/>
  <c r="I5" i="8"/>
  <c r="I15" i="8" s="1"/>
  <c r="I87" i="1" s="1"/>
  <c r="K45" i="5" s="1"/>
  <c r="O44" i="4"/>
  <c r="AJ44" i="4" s="1"/>
  <c r="J17" i="2"/>
  <c r="N50" i="4"/>
  <c r="AI50" i="4" s="1"/>
  <c r="J52" i="5"/>
  <c r="J21" i="9"/>
  <c r="P44" i="4"/>
  <c r="AK44" i="4" s="1"/>
  <c r="J5" i="8"/>
  <c r="J15" i="8" s="1"/>
  <c r="J87" i="1" s="1"/>
  <c r="L45" i="5" s="1"/>
  <c r="K11" i="2"/>
  <c r="Q39" i="4"/>
  <c r="AL39" i="4" s="1"/>
  <c r="M44" i="5"/>
  <c r="D13" i="2"/>
  <c r="D12" i="2"/>
  <c r="D14" i="2"/>
  <c r="D17" i="2"/>
  <c r="M174" i="12"/>
  <c r="M185" i="12"/>
  <c r="M187" i="12" s="1"/>
  <c r="S33" i="4"/>
  <c r="AN33" i="4" s="1"/>
  <c r="M4" i="8"/>
  <c r="M10" i="8" s="1"/>
  <c r="M11" i="8" s="1"/>
  <c r="M86" i="1" s="1"/>
  <c r="O35" i="5" s="1"/>
  <c r="O38" i="5" s="1"/>
  <c r="M179" i="12"/>
  <c r="M182" i="12"/>
  <c r="M153" i="12"/>
  <c r="M171" i="12"/>
  <c r="M148" i="12"/>
  <c r="M156" i="12"/>
  <c r="M177" i="12"/>
  <c r="M155" i="12"/>
  <c r="M167" i="12"/>
  <c r="M178" i="12"/>
  <c r="M152" i="12"/>
  <c r="M172" i="12"/>
  <c r="M158" i="12"/>
  <c r="M169" i="12"/>
  <c r="M151" i="12"/>
  <c r="M157" i="12"/>
  <c r="M175" i="12"/>
  <c r="M180" i="12"/>
  <c r="M181" i="12"/>
  <c r="M170" i="12"/>
  <c r="M162" i="12"/>
  <c r="M163" i="12"/>
  <c r="M154" i="12"/>
  <c r="M161" i="12"/>
  <c r="M166" i="12"/>
  <c r="M173" i="12"/>
  <c r="M150" i="12"/>
  <c r="M168" i="12"/>
  <c r="M164" i="12"/>
  <c r="M165" i="12"/>
  <c r="M160" i="12"/>
  <c r="M159" i="12"/>
  <c r="M176" i="12"/>
  <c r="M149" i="12"/>
  <c r="N39" i="5"/>
  <c r="R35" i="4"/>
  <c r="AM35" i="4" s="1"/>
  <c r="N185" i="12"/>
  <c r="N187" i="12" s="1"/>
  <c r="N174" i="12"/>
  <c r="T33" i="4"/>
  <c r="AO33" i="4" s="1"/>
  <c r="N4" i="8"/>
  <c r="N10" i="8" s="1"/>
  <c r="N11" i="8" s="1"/>
  <c r="N86" i="1" s="1"/>
  <c r="P35" i="5" s="1"/>
  <c r="P38" i="5" s="1"/>
  <c r="N182" i="12"/>
  <c r="N179" i="12"/>
  <c r="N153" i="12"/>
  <c r="N148" i="12"/>
  <c r="N171" i="12"/>
  <c r="N158" i="12"/>
  <c r="N156" i="12"/>
  <c r="N178" i="12"/>
  <c r="N172" i="12"/>
  <c r="N167" i="12"/>
  <c r="N177" i="12"/>
  <c r="N169" i="12"/>
  <c r="N152" i="12"/>
  <c r="N155" i="12"/>
  <c r="N181" i="12"/>
  <c r="N161" i="12"/>
  <c r="N170" i="12"/>
  <c r="N168" i="12"/>
  <c r="N173" i="12"/>
  <c r="N166" i="12"/>
  <c r="N163" i="12"/>
  <c r="N157" i="12"/>
  <c r="N150" i="12"/>
  <c r="N175" i="12"/>
  <c r="N154" i="12"/>
  <c r="N162" i="12"/>
  <c r="N151" i="12"/>
  <c r="N180" i="12"/>
  <c r="N164" i="12"/>
  <c r="N165" i="12"/>
  <c r="N160" i="12"/>
  <c r="N176" i="12"/>
  <c r="N149" i="12"/>
  <c r="N159" i="12"/>
  <c r="S38" i="4" l="1"/>
  <c r="AN38" i="4" s="1"/>
  <c r="F11" i="2"/>
  <c r="G11" i="2"/>
  <c r="T38" i="4"/>
  <c r="AO38" i="4" s="1"/>
  <c r="K5" i="8"/>
  <c r="K15" i="8" s="1"/>
  <c r="K87" i="1" s="1"/>
  <c r="M45" i="5" s="1"/>
  <c r="Q44" i="4"/>
  <c r="AL44" i="4" s="1"/>
  <c r="K21" i="9"/>
  <c r="N184" i="12"/>
  <c r="P47" i="5" s="1"/>
  <c r="T47" i="4" s="1"/>
  <c r="AO47" i="4" s="1"/>
  <c r="M184" i="12"/>
  <c r="O47" i="5" s="1"/>
  <c r="S47" i="4" s="1"/>
  <c r="AN47" i="4" s="1"/>
  <c r="K17" i="2"/>
  <c r="K13" i="2"/>
  <c r="P45" i="4"/>
  <c r="AK45" i="4" s="1"/>
  <c r="L51" i="5"/>
  <c r="L50" i="5"/>
  <c r="L11" i="2"/>
  <c r="N44" i="5"/>
  <c r="R39" i="4"/>
  <c r="AM39" i="4" s="1"/>
  <c r="D19" i="2"/>
  <c r="D18" i="2"/>
  <c r="D20" i="2"/>
  <c r="O45" i="4"/>
  <c r="AJ45" i="4" s="1"/>
  <c r="K50" i="5"/>
  <c r="K51" i="5"/>
  <c r="O51" i="4" s="1"/>
  <c r="AJ51" i="4" s="1"/>
  <c r="E12" i="2"/>
  <c r="E13" i="2"/>
  <c r="E14" i="2"/>
  <c r="E17" i="2"/>
  <c r="P39" i="5"/>
  <c r="T35" i="4"/>
  <c r="AO35" i="4" s="1"/>
  <c r="N52" i="4"/>
  <c r="AI52" i="4" s="1"/>
  <c r="J53" i="5"/>
  <c r="N53" i="4" s="1"/>
  <c r="AI53" i="4" s="1"/>
  <c r="S35" i="4"/>
  <c r="AN35" i="4" s="1"/>
  <c r="O39" i="5"/>
  <c r="M53" i="4"/>
  <c r="AH53" i="4" s="1"/>
  <c r="L3" i="2"/>
  <c r="K12" i="2" s="1"/>
  <c r="J19" i="2" l="1"/>
  <c r="J20" i="2"/>
  <c r="E18" i="2"/>
  <c r="E19" i="2"/>
  <c r="E20" i="2"/>
  <c r="Q45" i="4"/>
  <c r="AL45" i="4" s="1"/>
  <c r="M51" i="5"/>
  <c r="M50" i="5"/>
  <c r="L14" i="2"/>
  <c r="L13" i="2"/>
  <c r="L17" i="2"/>
  <c r="L12" i="2"/>
  <c r="O50" i="4"/>
  <c r="AJ50" i="4" s="1"/>
  <c r="K52" i="5"/>
  <c r="K20" i="2"/>
  <c r="K18" i="2"/>
  <c r="K19" i="2"/>
  <c r="J14" i="2"/>
  <c r="J12" i="2"/>
  <c r="J13" i="2"/>
  <c r="J18" i="2"/>
  <c r="K14" i="2"/>
  <c r="G17" i="2"/>
  <c r="G14" i="2"/>
  <c r="G13" i="2"/>
  <c r="G12" i="2"/>
  <c r="F12" i="2"/>
  <c r="F17" i="2"/>
  <c r="F13" i="2"/>
  <c r="F14" i="2"/>
  <c r="L5" i="8"/>
  <c r="L15" i="8" s="1"/>
  <c r="L87" i="1" s="1"/>
  <c r="N45" i="5" s="1"/>
  <c r="R44" i="4"/>
  <c r="AM44" i="4" s="1"/>
  <c r="L21" i="9"/>
  <c r="P50" i="4"/>
  <c r="AK50" i="4" s="1"/>
  <c r="L52" i="5"/>
  <c r="T39" i="4"/>
  <c r="AO39" i="4" s="1"/>
  <c r="N11" i="2"/>
  <c r="P44" i="5"/>
  <c r="M11" i="2"/>
  <c r="O44" i="5"/>
  <c r="S39" i="4"/>
  <c r="AN39" i="4" s="1"/>
  <c r="P51" i="4"/>
  <c r="AK51" i="4" s="1"/>
  <c r="C23" i="2"/>
  <c r="M13" i="2" l="1"/>
  <c r="M17" i="2"/>
  <c r="M12" i="2"/>
  <c r="M14" i="2"/>
  <c r="C25" i="2"/>
  <c r="C26" i="2"/>
  <c r="C24" i="2"/>
  <c r="L20" i="2"/>
  <c r="L19" i="2"/>
  <c r="L18" i="2"/>
  <c r="M5" i="8"/>
  <c r="M15" i="8" s="1"/>
  <c r="M87" i="1" s="1"/>
  <c r="O45" i="5" s="1"/>
  <c r="S44" i="4"/>
  <c r="AN44" i="4" s="1"/>
  <c r="M21" i="9"/>
  <c r="Q50" i="4"/>
  <c r="AL50" i="4" s="1"/>
  <c r="M52" i="5"/>
  <c r="R45" i="4"/>
  <c r="AM45" i="4" s="1"/>
  <c r="N51" i="5"/>
  <c r="N50" i="5"/>
  <c r="G18" i="2"/>
  <c r="G20" i="2"/>
  <c r="G19" i="2"/>
  <c r="D23" i="2"/>
  <c r="Q51" i="4"/>
  <c r="AL51" i="4" s="1"/>
  <c r="T44" i="4"/>
  <c r="AO44" i="4" s="1"/>
  <c r="N5" i="8"/>
  <c r="N15" i="8" s="1"/>
  <c r="N87" i="1" s="1"/>
  <c r="P45" i="5" s="1"/>
  <c r="N21" i="9"/>
  <c r="O52" i="4"/>
  <c r="AJ52" i="4" s="1"/>
  <c r="K53" i="5"/>
  <c r="O53" i="4" s="1"/>
  <c r="AJ53" i="4" s="1"/>
  <c r="N13" i="2"/>
  <c r="N12" i="2"/>
  <c r="N14" i="2"/>
  <c r="N17" i="2"/>
  <c r="F18" i="2"/>
  <c r="F20" i="2"/>
  <c r="F19" i="2"/>
  <c r="P52" i="4"/>
  <c r="AK52" i="4" s="1"/>
  <c r="L53" i="5"/>
  <c r="N19" i="2" l="1"/>
  <c r="N18" i="2"/>
  <c r="N20" i="2"/>
  <c r="P53" i="4"/>
  <c r="AK53" i="4" s="1"/>
  <c r="J23" i="2"/>
  <c r="Q52" i="4"/>
  <c r="AL52" i="4" s="1"/>
  <c r="M53" i="5"/>
  <c r="M19" i="2"/>
  <c r="M18" i="2"/>
  <c r="M20" i="2"/>
  <c r="D25" i="2"/>
  <c r="D24" i="2"/>
  <c r="D26" i="2"/>
  <c r="S45" i="4"/>
  <c r="AN45" i="4" s="1"/>
  <c r="O51" i="5"/>
  <c r="O50" i="5"/>
  <c r="R50" i="4"/>
  <c r="AM50" i="4" s="1"/>
  <c r="N52" i="5"/>
  <c r="T45" i="4"/>
  <c r="AO45" i="4" s="1"/>
  <c r="P50" i="5"/>
  <c r="P51" i="5"/>
  <c r="E23" i="2"/>
  <c r="R51" i="4"/>
  <c r="AM51" i="4" s="1"/>
  <c r="S50" i="4" l="1"/>
  <c r="AN50" i="4" s="1"/>
  <c r="O52" i="5"/>
  <c r="K23" i="2"/>
  <c r="Q53" i="4"/>
  <c r="AL53" i="4" s="1"/>
  <c r="E24" i="2"/>
  <c r="E26" i="2"/>
  <c r="E25" i="2"/>
  <c r="T51" i="4"/>
  <c r="AO51" i="4" s="1"/>
  <c r="G23" i="2"/>
  <c r="J26" i="2"/>
  <c r="J24" i="2"/>
  <c r="J25" i="2"/>
  <c r="R52" i="4"/>
  <c r="AM52" i="4" s="1"/>
  <c r="N53" i="5"/>
  <c r="S51" i="4"/>
  <c r="AN51" i="4" s="1"/>
  <c r="F23" i="2"/>
  <c r="T50" i="4"/>
  <c r="AO50" i="4" s="1"/>
  <c r="P52" i="5"/>
  <c r="L23" i="2" l="1"/>
  <c r="R53" i="4"/>
  <c r="AM53" i="4" s="1"/>
  <c r="K26" i="2"/>
  <c r="K24" i="2"/>
  <c r="K25" i="2"/>
  <c r="F24" i="2"/>
  <c r="F25" i="2"/>
  <c r="F26" i="2"/>
  <c r="P53" i="5"/>
  <c r="T52" i="4"/>
  <c r="AO52" i="4" s="1"/>
  <c r="O53" i="5"/>
  <c r="S52" i="4"/>
  <c r="AN52" i="4" s="1"/>
  <c r="G24" i="2"/>
  <c r="G25" i="2"/>
  <c r="G26" i="2"/>
  <c r="S53" i="4" l="1"/>
  <c r="AN53" i="4" s="1"/>
  <c r="M23" i="2"/>
  <c r="T53" i="4"/>
  <c r="AO53" i="4" s="1"/>
  <c r="N23" i="2"/>
  <c r="L26" i="2"/>
  <c r="L25" i="2"/>
  <c r="L24" i="2"/>
  <c r="N25" i="2" l="1"/>
  <c r="N24" i="2"/>
  <c r="N26" i="2"/>
  <c r="M25" i="2"/>
  <c r="M24" i="2"/>
  <c r="M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X6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<sst xmlns="http://schemas.openxmlformats.org/spreadsheetml/2006/main" count="2947" uniqueCount="1143">
  <si>
    <t>Year</t>
  </si>
  <si>
    <t>Period</t>
  </si>
  <si>
    <t>Q4</t>
  </si>
  <si>
    <t>Q1</t>
  </si>
  <si>
    <t>Q2</t>
  </si>
  <si>
    <t>Q3</t>
  </si>
  <si>
    <t>i/o</t>
  </si>
  <si>
    <t>field_name</t>
  </si>
  <si>
    <t>index</t>
  </si>
  <si>
    <t>LGH Fee Revenue</t>
  </si>
  <si>
    <t>lgh_fee_revenue_section</t>
  </si>
  <si>
    <t>Bermuda PB Mgt</t>
  </si>
  <si>
    <t>i</t>
  </si>
  <si>
    <t>mgmt_fee_actual</t>
  </si>
  <si>
    <t>bermuda_pb</t>
  </si>
  <si>
    <t>INPUT</t>
  </si>
  <si>
    <t>Bermuda PB Inc</t>
  </si>
  <si>
    <t>incentive_fee_actual</t>
  </si>
  <si>
    <t>Austin Mgt</t>
  </si>
  <si>
    <t>austin</t>
  </si>
  <si>
    <t>Austin Inc</t>
  </si>
  <si>
    <t>incentive_fee</t>
  </si>
  <si>
    <t>Turks Mgt</t>
  </si>
  <si>
    <t>mgmt_fee</t>
  </si>
  <si>
    <t>turks</t>
  </si>
  <si>
    <t>Turks Inc</t>
  </si>
  <si>
    <t>Frithholme</t>
  </si>
  <si>
    <t>fritholme</t>
  </si>
  <si>
    <t>Elbow</t>
  </si>
  <si>
    <t>elbow</t>
  </si>
  <si>
    <t>[LSAT]</t>
  </si>
  <si>
    <t>lsat</t>
  </si>
  <si>
    <t>[blank]</t>
  </si>
  <si>
    <t>[L4]</t>
  </si>
  <si>
    <t>l4</t>
  </si>
  <si>
    <t>Total LGH Fees Earned</t>
  </si>
  <si>
    <t>o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</si>
  <si>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</si>
  <si>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</si>
  <si>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</si>
  <si>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</si>
  <si>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</si>
  <si>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</si>
  <si>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</si>
  <si>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</si>
  <si>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</si>
  <si>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</si>
  <si>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</si>
  <si>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</si>
  <si>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lgh_service_revenue_section</t>
  </si>
  <si>
    <t>Bermuda PB</t>
  </si>
  <si>
    <t>service_fee</t>
  </si>
  <si>
    <t>Austin</t>
  </si>
  <si>
    <t>Turks</t>
  </si>
  <si>
    <t>Frith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</si>
  <si>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</si>
  <si>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</si>
  <si>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</si>
  <si>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</si>
  <si>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</si>
  <si>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</si>
  <si>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</si>
  <si>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</si>
  <si>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</si>
  <si>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</si>
  <si>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</si>
  <si>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</si>
  <si>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lgh_chargebacks_section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</si>
  <si>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</si>
  <si>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</si>
  <si>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</si>
  <si>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</si>
  <si>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</si>
  <si>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</si>
  <si>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</si>
  <si>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total_lgh_hm_revenue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</si>
  <si>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</si>
  <si>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</si>
  <si>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</si>
  <si>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</si>
  <si>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</si>
  <si>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</si>
  <si>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</si>
  <si>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</si>
  <si>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</si>
  <si>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</si>
  <si>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</si>
  <si>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</si>
  <si>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</si>
  <si>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</si>
  <si>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</si>
  <si>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total_c12_hm_revenue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</si>
  <si>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</si>
  <si>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</si>
  <si>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</si>
  <si>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</si>
  <si>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</si>
  <si>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</si>
  <si>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</si>
  <si>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</si>
  <si>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</si>
  <si>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</si>
  <si>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</si>
  <si>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</si>
  <si>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</si>
  <si>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</si>
  <si>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</si>
  <si>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</si>
  <si>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 xml:space="preserve"> 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</si>
  <si>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</si>
  <si>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</si>
  <si>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</si>
  <si>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</si>
  <si>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</si>
  <si>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</si>
  <si>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</si>
  <si>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</si>
  <si>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</si>
  <si>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</si>
  <si>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</si>
  <si>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</si>
  <si>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</si>
  <si>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</si>
  <si>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</si>
  <si>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</si>
  <si>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</si>
  <si>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</si>
  <si>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</si>
  <si>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</si>
  <si>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</si>
  <si>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</si>
  <si>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</si>
  <si>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</si>
  <si>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</si>
  <si>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</si>
  <si>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</si>
  <si>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</si>
  <si>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</si>
  <si>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</si>
  <si>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</si>
  <si>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</si>
  <si>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</si>
  <si>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</si>
  <si>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</si>
  <si>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</si>
  <si>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</si>
  <si>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</si>
  <si>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</si>
  <si>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</si>
  <si>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</si>
  <si>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</si>
  <si>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</si>
  <si>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</si>
  <si>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</si>
  <si>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</si>
  <si>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</si>
  <si>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</si>
  <si>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</si>
  <si>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</si>
  <si>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</si>
  <si>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</si>
  <si>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</si>
  <si>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</si>
  <si>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</si>
  <si>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</si>
  <si>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</si>
  <si>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</si>
  <si>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</si>
  <si>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</si>
  <si>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</si>
  <si>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</si>
  <si>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</si>
  <si>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</si>
  <si>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</si>
  <si>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</si>
  <si>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</si>
  <si>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</si>
  <si>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</si>
  <si>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</si>
  <si>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</si>
  <si>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</si>
  <si>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</si>
  <si>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</si>
  <si>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</si>
  <si>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</si>
  <si>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</si>
  <si>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</si>
  <si>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</si>
  <si>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</si>
  <si>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</si>
  <si>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</si>
  <si>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</si>
  <si>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</si>
  <si>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 Lady Bird Lake</t>
  </si>
  <si>
    <t>Preferred Equity</t>
  </si>
  <si>
    <t>Mezz Loan</t>
  </si>
  <si>
    <t>STL</t>
  </si>
  <si>
    <t>Turks &amp; Caicos</t>
  </si>
  <si>
    <t>Bermuda: Elbow Beach</t>
  </si>
  <si>
    <t>Elbow Beach</t>
  </si>
  <si>
    <t>Fritholme</t>
  </si>
  <si>
    <t>lgh_other_assets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</si>
  <si>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</si>
  <si>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</si>
  <si>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</si>
  <si>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</si>
  <si>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</si>
  <si>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</si>
  <si>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</si>
  <si>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</si>
  <si>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</si>
  <si>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</si>
  <si>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</si>
  <si>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</si>
  <si>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</si>
  <si>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</si>
  <si>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</si>
  <si>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</si>
  <si>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</si>
  <si>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</si>
  <si>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</si>
  <si>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</si>
  <si>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</si>
  <si>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</si>
  <si>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</si>
  <si>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</si>
  <si>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</si>
  <si>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</si>
  <si>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</si>
  <si>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</si>
  <si>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</si>
  <si>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</si>
  <si>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</si>
  <si>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</si>
  <si>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</si>
  <si>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</si>
  <si>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</si>
  <si>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</si>
  <si>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</si>
  <si>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</si>
  <si>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</si>
  <si>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</si>
  <si>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</si>
  <si>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</si>
  <si>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</si>
  <si>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</si>
  <si>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</si>
  <si>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</si>
  <si>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</si>
  <si>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</si>
  <si>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</si>
  <si>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</si>
  <si>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</si>
  <si>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</si>
  <si>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</si>
  <si>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</si>
  <si>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</si>
  <si>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</si>
  <si>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</si>
  <si>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</si>
  <si>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</si>
  <si>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</si>
  <si>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</si>
  <si>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</si>
  <si>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</si>
  <si>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</si>
  <si>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</si>
  <si>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</si>
  <si>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</si>
  <si>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</si>
  <si>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</si>
  <si>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</si>
  <si>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</si>
  <si>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</si>
  <si>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</si>
  <si>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</si>
  <si>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</si>
  <si>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</si>
  <si>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</si>
  <si>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</si>
  <si>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</si>
  <si>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</si>
  <si>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</si>
  <si>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</si>
  <si>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</si>
  <si>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</si>
  <si>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</si>
  <si>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</si>
  <si>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</si>
  <si>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</si>
  <si>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</si>
  <si>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</si>
  <si>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</si>
  <si>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</si>
  <si>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</si>
  <si>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</si>
  <si>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</si>
  <si>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</si>
  <si>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</si>
  <si>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</si>
  <si>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</si>
  <si>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</si>
  <si>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</si>
  <si>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</si>
  <si>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</si>
  <si>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</si>
  <si>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</si>
  <si>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</si>
  <si>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</si>
  <si>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</si>
  <si>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</si>
  <si>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</si>
  <si>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</si>
  <si>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</si>
  <si>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</si>
  <si>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</si>
  <si>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</si>
  <si>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</si>
  <si>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</si>
  <si>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</si>
  <si>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</si>
  <si>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</si>
  <si>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</si>
  <si>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</si>
  <si>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</si>
  <si>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</si>
  <si>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</si>
  <si>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</si>
  <si>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</si>
  <si>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</si>
  <si>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</si>
  <si>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</si>
  <si>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</si>
  <si>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</si>
  <si>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</si>
  <si>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</si>
  <si>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</si>
  <si>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</si>
  <si>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</si>
  <si>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</si>
  <si>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</si>
  <si>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</si>
  <si>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</si>
  <si>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</si>
  <si>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</si>
  <si>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</si>
  <si>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</si>
  <si>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</si>
  <si>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</si>
  <si>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</si>
  <si>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</si>
  <si>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</si>
  <si>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</si>
  <si>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</si>
  <si>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</si>
  <si>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</si>
  <si>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</si>
  <si>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</si>
  <si>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</si>
  <si>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</si>
  <si>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</si>
  <si>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</si>
  <si>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</si>
  <si>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</si>
  <si>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</si>
  <si>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</si>
  <si>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</si>
  <si>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</si>
  <si>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</si>
  <si>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</si>
  <si>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</si>
  <si>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</si>
  <si>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</si>
  <si>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</si>
  <si>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</si>
  <si>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</si>
  <si>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</si>
  <si>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</si>
  <si>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</si>
  <si>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</si>
  <si>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</si>
  <si>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</si>
  <si>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</si>
  <si>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</si>
  <si>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</si>
  <si>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</si>
  <si>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</si>
  <si>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</si>
  <si>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</si>
  <si>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</si>
  <si>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</si>
  <si>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</si>
  <si>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</si>
  <si>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</si>
  <si>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</si>
  <si>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</si>
  <si>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</si>
  <si>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</si>
  <si>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</si>
  <si>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</si>
  <si>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</si>
  <si>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</si>
  <si>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</si>
  <si>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</si>
  <si>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</si>
  <si>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</si>
  <si>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</si>
  <si>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</si>
  <si>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</si>
  <si>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</si>
  <si>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</si>
  <si>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</si>
  <si>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</si>
  <si>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</si>
  <si>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</si>
  <si>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</si>
  <si>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</si>
  <si>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</si>
  <si>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</si>
  <si>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</si>
  <si>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</si>
  <si>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</si>
  <si>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</si>
  <si>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</si>
  <si>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</si>
  <si>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</si>
  <si>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</si>
  <si>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</si>
  <si>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</si>
  <si>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</si>
  <si>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</si>
  <si>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</si>
  <si>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</si>
  <si>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</si>
  <si>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</si>
  <si>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</si>
  <si>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</si>
  <si>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</si>
  <si>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</si>
  <si>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</si>
  <si>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</si>
  <si>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</si>
  <si>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</si>
  <si>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</si>
  <si>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</si>
  <si>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</si>
  <si>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</si>
  <si>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</si>
  <si>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</si>
  <si>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</si>
  <si>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</si>
  <si>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</si>
  <si>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</si>
  <si>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</si>
  <si>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</si>
  <si>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</si>
  <si>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</si>
  <si>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</si>
  <si>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</si>
  <si>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</si>
  <si>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</si>
  <si>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</si>
  <si>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</si>
  <si>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</si>
  <si>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</si>
  <si>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</si>
  <si>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</si>
  <si>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</si>
  <si>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</si>
  <si>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</si>
  <si>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</si>
  <si>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</si>
  <si>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</si>
  <si>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</si>
  <si>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</si>
  <si>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</si>
  <si>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</si>
  <si>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</si>
  <si>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</si>
  <si>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</si>
  <si>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</si>
  <si>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</si>
  <si>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</si>
  <si>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</si>
  <si>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</si>
  <si>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</si>
  <si>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</si>
  <si>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</si>
  <si>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</si>
  <si>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</si>
  <si>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</si>
  <si>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</si>
  <si>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</si>
  <si>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</si>
  <si>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</si>
  <si>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</si>
  <si>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</si>
  <si>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</si>
  <si>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</si>
  <si>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</si>
  <si>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</si>
  <si>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</si>
  <si>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</si>
  <si>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</si>
  <si>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</si>
  <si>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</si>
  <si>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</si>
  <si>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</si>
  <si>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</si>
  <si>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</si>
  <si>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</si>
  <si>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</si>
  <si>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</si>
  <si>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</si>
  <si>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</si>
  <si>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</si>
  <si>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</si>
  <si>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</si>
  <si>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</si>
  <si>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</si>
  <si>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</si>
  <si>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</si>
  <si>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</si>
  <si>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</si>
  <si>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</si>
  <si>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</si>
  <si>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</si>
  <si>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</si>
  <si>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</si>
  <si>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</si>
  <si>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</si>
  <si>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</si>
  <si>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</si>
  <si>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</si>
  <si>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</si>
  <si>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</si>
  <si>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</si>
  <si>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</si>
  <si>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</si>
  <si>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</si>
  <si>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</si>
  <si>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</si>
  <si>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</si>
  <si>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</si>
  <si>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</si>
  <si>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</si>
  <si>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</si>
  <si>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</si>
  <si>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</si>
  <si>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</si>
  <si>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</si>
  <si>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</si>
  <si>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</si>
  <si>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</si>
  <si>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</si>
  <si>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</si>
  <si>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</si>
  <si>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</si>
  <si>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</si>
  <si>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</si>
  <si>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</si>
  <si>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</si>
  <si>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</si>
  <si>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</si>
  <si>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</si>
  <si>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</si>
  <si>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</si>
  <si>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</si>
  <si>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</si>
  <si>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</si>
  <si>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</si>
  <si>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</si>
  <si>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</si>
  <si>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</si>
  <si>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</si>
  <si>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</si>
  <si>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</si>
  <si>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</si>
  <si>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</si>
  <si>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</si>
  <si>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</si>
  <si>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</si>
  <si>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</si>
  <si>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</si>
  <si>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</si>
  <si>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</si>
  <si>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</si>
  <si>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</si>
  <si>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</si>
  <si>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</si>
  <si>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</si>
  <si>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</si>
  <si>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</si>
  <si>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</si>
  <si>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</si>
  <si>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</si>
  <si>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</si>
  <si>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</si>
  <si>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</si>
  <si>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</si>
  <si>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</si>
  <si>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</si>
  <si>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</si>
  <si>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</si>
  <si>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</si>
  <si>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</si>
  <si>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</si>
  <si>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</si>
  <si>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</si>
  <si>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</si>
  <si>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</si>
  <si>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</si>
  <si>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</si>
  <si>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</si>
  <si>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</si>
  <si>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</si>
  <si>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</si>
  <si>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</si>
  <si>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</si>
  <si>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</si>
  <si>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</si>
  <si>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</si>
  <si>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</si>
  <si>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</si>
  <si>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</si>
  <si>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</si>
  <si>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</si>
  <si>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</si>
  <si>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</si>
  <si>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</si>
  <si>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</si>
  <si>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</si>
  <si>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</si>
  <si>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</si>
  <si>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</si>
  <si>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</si>
  <si>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</si>
  <si>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</si>
  <si>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</si>
  <si>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</si>
  <si>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</si>
  <si>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</si>
  <si>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</si>
  <si>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</si>
  <si>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</si>
  <si>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</si>
  <si>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</si>
  <si>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</si>
  <si>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</si>
  <si>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</si>
  <si>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</si>
  <si>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</si>
  <si>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</si>
  <si>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</si>
  <si>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</si>
  <si>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</si>
  <si>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</si>
  <si>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</si>
  <si>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</si>
  <si>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</si>
  <si>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</si>
  <si>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</si>
  <si>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</si>
  <si>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</si>
  <si>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</si>
  <si>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</si>
  <si>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</si>
  <si>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</si>
  <si>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</si>
  <si>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</si>
  <si>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</si>
  <si>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</si>
  <si>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</si>
  <si>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</si>
  <si>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</si>
  <si>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</si>
  <si>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</si>
  <si>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</si>
  <si>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</si>
  <si>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</si>
  <si>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</si>
  <si>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</si>
  <si>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</si>
  <si>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</si>
  <si>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</si>
  <si>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</si>
  <si>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</si>
  <si>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</si>
  <si>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</si>
  <si>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</si>
  <si>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</si>
  <si>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</si>
  <si>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</si>
  <si>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</si>
  <si>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</si>
  <si>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</si>
  <si>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</si>
  <si>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</si>
  <si>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</si>
  <si>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</si>
  <si>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</si>
  <si>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</si>
  <si>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</si>
  <si>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</si>
  <si>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</si>
  <si>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</si>
  <si>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</si>
  <si>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</si>
  <si>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</si>
  <si>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</si>
  <si>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</si>
  <si>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</si>
  <si>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</si>
  <si>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</si>
  <si>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</si>
  <si>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</si>
  <si>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</si>
  <si>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</si>
  <si>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</si>
  <si>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</si>
  <si>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</si>
  <si>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</si>
  <si>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</si>
  <si>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</si>
  <si>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</si>
  <si>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</si>
  <si>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</si>
  <si>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</si>
  <si>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</si>
  <si>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</si>
  <si>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</si>
  <si>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</si>
  <si>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</si>
  <si>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</si>
  <si>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</si>
  <si>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</si>
  <si>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</si>
  <si>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</si>
  <si>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</si>
  <si>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</si>
  <si>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</si>
  <si>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</si>
  <si>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</si>
  <si>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</si>
  <si>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</si>
  <si>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</si>
  <si>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</si>
  <si>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</si>
  <si>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</si>
  <si>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</si>
  <si>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</si>
  <si>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</si>
  <si>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</si>
  <si>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</si>
  <si>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</si>
  <si>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</si>
  <si>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</si>
  <si>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</si>
  <si>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</si>
  <si>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</si>
  <si>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</si>
  <si>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</si>
  <si>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</si>
  <si>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</si>
  <si>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</si>
  <si>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</si>
  <si>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</si>
  <si>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</si>
  <si>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</si>
  <si>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</si>
  <si>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</si>
  <si>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</si>
  <si>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</si>
  <si>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</si>
  <si>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</si>
  <si>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</si>
  <si>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</si>
  <si>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</si>
  <si>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</si>
  <si>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</si>
  <si>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</si>
  <si>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</si>
  <si>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</si>
  <si>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</si>
  <si>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</si>
  <si>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</si>
  <si>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</si>
  <si>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</si>
  <si>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</si>
  <si>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</si>
  <si>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</si>
  <si>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</si>
  <si>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</si>
  <si>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</si>
  <si>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</si>
  <si>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</si>
  <si>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</si>
  <si>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</si>
  <si>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</si>
  <si>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</si>
  <si>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</si>
  <si>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</si>
  <si>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</si>
  <si>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</si>
  <si>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</si>
  <si>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</si>
  <si>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</si>
  <si>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</si>
  <si>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</si>
  <si>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</si>
  <si>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</si>
  <si>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</si>
  <si>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</si>
  <si>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</si>
  <si>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</si>
  <si>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</si>
  <si>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</si>
  <si>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</si>
  <si>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</si>
  <si>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</si>
  <si>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</si>
  <si>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</si>
  <si>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</si>
  <si>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</si>
  <si>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</si>
  <si>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</si>
  <si>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</si>
  <si>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</si>
  <si>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</si>
  <si>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</si>
  <si>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</si>
  <si>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</si>
  <si>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</si>
  <si>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</si>
  <si>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</si>
  <si>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</si>
  <si>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</si>
  <si>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</si>
  <si>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</si>
  <si>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</si>
  <si>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</si>
  <si>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</si>
  <si>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</si>
  <si>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</si>
  <si>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</si>
  <si>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C12 Participation Revenue (not c/b reimb)</t>
  </si>
  <si>
    <t>HM Fees</t>
  </si>
  <si>
    <t>BI&amp;F Fees</t>
  </si>
  <si>
    <t>DS Fees</t>
  </si>
  <si>
    <t>total participation revenue</t>
  </si>
  <si>
    <t>total_participation_revenue_actual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</si>
  <si>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</si>
  <si>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</si>
  <si>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</si>
  <si>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</si>
  <si>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</si>
  <si>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</si>
  <si>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</si>
  <si>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</si>
  <si>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</si>
  <si>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</si>
  <si>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</si>
  <si>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</si>
  <si>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</si>
  <si>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put this in c12_oc_hr costs</t>
  </si>
  <si>
    <t>housing</t>
  </si>
  <si>
    <t>I think this is in oop cos paid by me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</si>
  <si>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</si>
  <si>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</si>
  <si>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</si>
  <si>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</si>
  <si>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</si>
  <si>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</si>
  <si>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</si>
  <si>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</si>
  <si>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</si>
  <si>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</si>
  <si>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</si>
  <si>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</si>
  <si>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</si>
  <si>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</si>
  <si>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</si>
  <si>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dept_oop_via_sk</t>
  </si>
  <si>
    <t>should come from danielle</t>
  </si>
  <si>
    <t>Departmental OOP not paid via sk</t>
  </si>
  <si>
    <t>dept_oop_not_via_sk</t>
  </si>
  <si>
    <t>added mastercard cos not all paid by sk</t>
  </si>
  <si>
    <t>Non-recurring Items paid by LGH</t>
  </si>
  <si>
    <t>nonrecur_paid_by_lgh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</si>
  <si>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</si>
  <si>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</si>
  <si>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</si>
  <si>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</si>
  <si>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</si>
  <si>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</si>
  <si>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revs in nominal dollars cos business forecast nominal, but personnel costs real</t>
  </si>
  <si>
    <t>Compensation - actual</t>
  </si>
  <si>
    <t>actual_compensation_actual</t>
  </si>
  <si>
    <t>ADJ FOR SALARY ACTUALS</t>
  </si>
  <si>
    <t>adj_compensation</t>
  </si>
  <si>
    <t>Total c12 Expenses paid by LGH</t>
  </si>
  <si>
    <t>total_c12_exp_lgh_actual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</si>
  <si>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</si>
  <si>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</si>
  <si>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</si>
  <si>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</si>
  <si>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</si>
  <si>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</si>
  <si>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</si>
  <si>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</si>
  <si>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</si>
  <si>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</si>
  <si>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</si>
  <si>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</si>
  <si>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</si>
  <si>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actual_bank_transfers</t>
  </si>
  <si>
    <t>oop</t>
  </si>
  <si>
    <t>art</t>
  </si>
  <si>
    <t>pay</t>
  </si>
  <si>
    <t>guarantess</t>
  </si>
  <si>
    <t>cuda buy back</t>
  </si>
  <si>
    <t>Distributions</t>
  </si>
  <si>
    <t>sk_dist_required_actual</t>
  </si>
  <si>
    <t>Distribution after c12 profit</t>
  </si>
  <si>
    <t>sk_dist_top_up_actual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</si>
  <si>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</si>
  <si>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</si>
  <si>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</si>
  <si>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</si>
  <si>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</si>
  <si>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</si>
  <si>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</si>
  <si>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</si>
  <si>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</si>
  <si>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</si>
  <si>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</si>
  <si>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</si>
  <si>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</si>
  <si>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</si>
  <si>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</si>
  <si>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</si>
  <si>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total_lgh_revenue</t>
  </si>
  <si>
    <t>variable name</t>
  </si>
  <si>
    <t>assets</t>
  </si>
  <si>
    <t>cash open</t>
  </si>
  <si>
    <t>c12 profit</t>
  </si>
  <si>
    <t>borrow from c12 loc</t>
  </si>
  <si>
    <t>LGH to sk (from danielle)</t>
  </si>
  <si>
    <t>c12 to sk (jp dist)</t>
  </si>
  <si>
    <t>cash close</t>
  </si>
  <si>
    <t>participation accrual</t>
  </si>
  <si>
    <t>total assets</t>
  </si>
  <si>
    <t>liabilities</t>
  </si>
  <si>
    <t>c12loc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</si>
  <si>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</si>
  <si>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</si>
  <si>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</si>
  <si>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</si>
  <si>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</si>
  <si>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</si>
  <si>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</si>
  <si>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</si>
  <si>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</si>
  <si>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</si>
  <si>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development_fee_actual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</si>
  <si>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</si>
  <si>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</si>
  <si>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</si>
  <si>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</si>
  <si>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</si>
  <si>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</si>
  <si>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</si>
  <si>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</si>
  <si>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Sale Fees</t>
  </si>
  <si>
    <t>sale_fee</t>
  </si>
  <si>
    <t>Frith Acq Fee</t>
  </si>
  <si>
    <t>Frith Real Estate Fee</t>
  </si>
  <si>
    <t>real_estate_fee</t>
  </si>
  <si>
    <t>Frith Disposition fee</t>
  </si>
  <si>
    <t>disposition_fee</t>
  </si>
  <si>
    <t>fee_unknown</t>
  </si>
  <si>
    <t>Bermuda PB Design Services</t>
  </si>
  <si>
    <t>design_service_fee</t>
  </si>
  <si>
    <t>Austin Design Services</t>
  </si>
  <si>
    <t>design_service_fee_actual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</si>
  <si>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</si>
  <si>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</si>
  <si>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</si>
  <si>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</si>
  <si>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</si>
  <si>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</si>
  <si>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</si>
  <si>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</si>
  <si>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Paid Accruals</t>
  </si>
  <si>
    <t>Total LGH D&amp;S Charge Back chk</t>
  </si>
  <si>
    <t>total LGH D&amp;S revenue</t>
  </si>
  <si>
    <t>total_lgh_ds_revenue</t>
  </si>
  <si>
    <t>pre_mod_extra_pct_actual</t>
  </si>
  <si>
    <t>catchup_extra_pct_actual</t>
  </si>
  <si>
    <t>Total C12 D&amp;S revenue</t>
  </si>
  <si>
    <t>total_c12_ds_revenue</t>
  </si>
  <si>
    <t>7f</t>
  </si>
  <si>
    <t>Total LGH Bi&amp;F Service Revenue</t>
  </si>
  <si>
    <t>reimbursable by hotels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</si>
  <si>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</si>
  <si>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</si>
  <si>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</si>
  <si>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</si>
  <si>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</si>
  <si>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</si>
  <si>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</si>
  <si>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</si>
  <si>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</si>
  <si>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</si>
  <si>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</si>
  <si>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</si>
  <si>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</si>
  <si>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</si>
  <si>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</si>
  <si>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</si>
  <si>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</si>
  <si>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</si>
  <si>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</si>
  <si>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</si>
  <si>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</si>
  <si>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</si>
  <si>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base_salary</t>
  </si>
  <si>
    <t>sk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</si>
  <si>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</si>
  <si>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</si>
  <si>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</si>
  <si>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</si>
  <si>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</si>
  <si>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</si>
  <si>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</si>
  <si>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</si>
  <si>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</si>
  <si>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</si>
  <si>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Bonus</t>
  </si>
  <si>
    <t>bonus</t>
  </si>
  <si>
    <t>total_salary</t>
  </si>
  <si>
    <t>base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</si>
  <si>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</si>
  <si>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</si>
  <si>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</si>
  <si>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</si>
  <si>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</si>
  <si>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</si>
  <si>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</si>
  <si>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</si>
  <si>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</si>
  <si>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</si>
  <si>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</si>
  <si>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</si>
  <si>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Total Salaries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</si>
  <si>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</si>
  <si>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</si>
  <si>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</si>
  <si>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</si>
  <si>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</si>
  <si>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</si>
  <si>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</si>
  <si>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</si>
  <si>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</si>
  <si>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</si>
  <si>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</si>
  <si>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</si>
  <si>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</si>
  <si>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am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</si>
  <si>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</si>
  <si>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</si>
  <si>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</si>
  <si>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</si>
  <si>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</si>
  <si>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</si>
  <si>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</si>
  <si>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</si>
  <si>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Bi&amp;F</t>
  </si>
  <si>
    <t>HOBI (CW)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</si>
  <si>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</si>
  <si>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</si>
  <si>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</si>
  <si>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</si>
  <si>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</si>
  <si>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</si>
  <si>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</si>
  <si>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</si>
  <si>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</si>
  <si>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</si>
  <si>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</si>
  <si>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</si>
  <si>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</si>
  <si>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</si>
  <si>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</si>
  <si>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</si>
  <si>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</si>
  <si>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</si>
  <si>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</si>
  <si>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</si>
  <si>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</si>
  <si>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</si>
  <si>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</si>
  <si>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</si>
  <si>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</si>
  <si>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</si>
  <si>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</si>
  <si>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</si>
  <si>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</si>
  <si>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</si>
  <si>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</si>
  <si>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</si>
  <si>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</si>
  <si>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time_alloc</t>
  </si>
  <si>
    <t>hm_sk</t>
  </si>
  <si>
    <t>hm_lm</t>
  </si>
  <si>
    <t>hm_dd</t>
  </si>
  <si>
    <t>hm_cd</t>
  </si>
  <si>
    <t>hm_philanthropy</t>
  </si>
  <si>
    <t>hm_tm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</si>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</sst>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rgb="FF000000"/>
      <name val="Calibri"/>
    </font>
    <font>
      <sz val="11"/>
      <color rgb="FF000000"/>
      <name val="Calibri"/>
    </font>
    <font>
      <sz val="11"/>
      <color rgb="FF000000"/>
      <name val="Calibri Light"/>
    </font>
    <font>
      <sz val="11"/>
      <color rgb="FF000000"/>
      <name val="Calibri Light"/>
    </font>
    <font>
      <sz val="14"/>
      <color rgb="FF000000"/>
      <name val="Calibri Light"/>
    </font>
    <font>
      <sz val="11"/>
      <color rgb="FF000000"/>
      <name val="Aptos Narrow"/>
    </font>
    <font>
      <sz val="11"/>
      <color rgb="FF000000"/>
      <name val="Calibri"/>
    </font>
    <font>
      <sz val="14"/>
      <color rgb="FF000000"/>
      <name val="Calibri"/>
    </font>
    <font>
      <b/>
      <sz val="11"/>
      <color rgb="FF000000"/>
      <name val="Calibri Light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6"/>
    <xf numFmtId="43" fontId="1" fillId="0" borderId="6"/>
    <xf numFmtId="44" fontId="1" fillId="0" borderId="6"/>
    <xf numFmtId="9" fontId="1" fillId="0" borderId="6"/>
    <xf numFmtId="0" fontId="1" fillId="0" borderId="6"/>
    <xf numFmtId="181" fontId="1" fillId="0" borderId="6"/>
    <xf numFmtId="43" fontId="4" fillId="0" borderId="6"/>
    <xf numFmtId="43" fontId="1" fillId="0" borderId="6"/>
    <xf numFmtId="0" fontId="4" fillId="0" borderId="6"/>
    <xf numFmtId="37" fontId="6" fillId="0" borderId="6"/>
    <xf numFmtId="43" fontId="7" fillId="0" borderId="6"/>
    <xf numFmtId="9" fontId="7" fillId="0" borderId="6"/>
    <xf numFmtId="44" fontId="7" fillId="0" borderId="6"/>
    <xf numFmtId="0" fontId="5" fillId="0" borderId="6"/>
    <xf numFmtId="43" fontId="5" fillId="0" borderId="6"/>
    <xf numFmtId="0" fontId="4" fillId="0" borderId="6"/>
    <xf numFmtId="0" fontId="1" fillId="0" borderId="6"/>
    <xf numFmtId="0" fontId="12" fillId="0" borderId="6"/>
    <xf numFmtId="44" fontId="3" fillId="0" borderId="6"/>
    <xf numFmtId="0" fontId="16" fillId="0" borderId="6"/>
  </cellStyleXfs>
  <cellXfs count="637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1" fillId="0" borderId="0" xfId="0" applyFont="1" applyBorder="1"/>
    <xf numFmtId="0" fontId="21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2" fillId="9" borderId="2" xfId="0" applyFont="1" applyFill="1" applyBorder="1"/>
    <xf numFmtId="0" fontId="22" fillId="12" borderId="2" xfId="13" applyFont="1" applyFill="1" applyBorder="1" applyAlignment="1">
      <alignment vertical="center"/>
    </xf>
    <xf numFmtId="165" fontId="22" fillId="9" borderId="2" xfId="1" applyNumberFormat="1" applyFont="1" applyFill="1" applyBorder="1" applyAlignment="1">
      <alignment horizontal="center"/>
    </xf>
    <xf numFmtId="0" fontId="22" fillId="12" borderId="2" xfId="0" applyFont="1" applyFill="1" applyBorder="1"/>
    <xf numFmtId="164" fontId="22" fillId="13" borderId="2" xfId="1" applyNumberFormat="1" applyFont="1" applyFill="1" applyBorder="1" applyAlignment="1">
      <alignment horizontal="center"/>
    </xf>
    <xf numFmtId="10" fontId="22" fillId="13" borderId="2" xfId="3" applyNumberFormat="1" applyFont="1" applyFill="1" applyBorder="1" applyAlignment="1">
      <alignment horizontal="center"/>
    </xf>
    <xf numFmtId="0" fontId="22" fillId="9" borderId="2" xfId="13" applyFont="1" applyFill="1" applyBorder="1" applyAlignment="1">
      <alignment vertical="center"/>
    </xf>
    <xf numFmtId="164" fontId="22" fillId="9" borderId="2" xfId="1" applyNumberFormat="1" applyFont="1" applyFill="1" applyBorder="1"/>
    <xf numFmtId="164" fontId="22" fillId="9" borderId="2" xfId="1" applyNumberFormat="1" applyFont="1" applyFill="1" applyBorder="1" applyAlignment="1">
      <alignment horizontal="center"/>
    </xf>
    <xf numFmtId="10" fontId="22" fillId="9" borderId="2" xfId="3" applyNumberFormat="1" applyFont="1" applyFill="1" applyBorder="1" applyAlignment="1">
      <alignment horizontal="center"/>
    </xf>
    <xf numFmtId="10" fontId="22" fillId="9" borderId="2" xfId="3" applyNumberFormat="1" applyFont="1" applyFill="1" applyBorder="1"/>
    <xf numFmtId="9" fontId="22" fillId="9" borderId="2" xfId="3" applyFont="1" applyFill="1" applyBorder="1"/>
    <xf numFmtId="164" fontId="22" fillId="9" borderId="2" xfId="0" applyNumberFormat="1" applyFont="1" applyFill="1" applyBorder="1"/>
    <xf numFmtId="0" fontId="23" fillId="12" borderId="2" xfId="0" applyFont="1" applyFill="1" applyBorder="1"/>
    <xf numFmtId="0" fontId="22" fillId="9" borderId="2" xfId="0" quotePrefix="1" applyFont="1" applyFill="1" applyBorder="1" applyAlignment="1">
      <alignment horizontal="right"/>
    </xf>
    <xf numFmtId="3" fontId="22" fillId="5" borderId="2" xfId="0" applyNumberFormat="1" applyFont="1" applyFill="1" applyBorder="1"/>
    <xf numFmtId="3" fontId="22" fillId="9" borderId="2" xfId="0" applyNumberFormat="1" applyFont="1" applyFill="1" applyBorder="1"/>
    <xf numFmtId="9" fontId="22" fillId="12" borderId="2" xfId="3" applyFont="1" applyFill="1" applyBorder="1"/>
    <xf numFmtId="166" fontId="22" fillId="9" borderId="2" xfId="2" applyNumberFormat="1" applyFont="1" applyFill="1" applyBorder="1"/>
    <xf numFmtId="0" fontId="22" fillId="9" borderId="2" xfId="0" applyFont="1" applyFill="1" applyBorder="1" applyAlignment="1">
      <alignment horizontal="center"/>
    </xf>
    <xf numFmtId="0" fontId="22" fillId="12" borderId="2" xfId="13" applyFont="1" applyFill="1" applyBorder="1" applyAlignment="1">
      <alignment horizontal="left" indent="1"/>
    </xf>
    <xf numFmtId="4" fontId="22" fillId="9" borderId="2" xfId="0" applyNumberFormat="1" applyFont="1" applyFill="1" applyBorder="1"/>
    <xf numFmtId="167" fontId="22" fillId="9" borderId="2" xfId="13" applyNumberFormat="1" applyFont="1" applyFill="1" applyBorder="1" applyAlignment="1">
      <alignment vertical="center"/>
    </xf>
    <xf numFmtId="43" fontId="22" fillId="9" borderId="2" xfId="1" applyFont="1" applyFill="1" applyBorder="1"/>
    <xf numFmtId="164" fontId="22" fillId="12" borderId="2" xfId="1" applyNumberFormat="1" applyFont="1" applyFill="1" applyBorder="1"/>
    <xf numFmtId="164" fontId="22" fillId="5" borderId="2" xfId="1" applyNumberFormat="1" applyFont="1" applyFill="1" applyBorder="1"/>
    <xf numFmtId="9" fontId="22" fillId="9" borderId="2" xfId="0" applyNumberFormat="1" applyFont="1" applyFill="1" applyBorder="1" applyAlignment="1">
      <alignment horizontal="center"/>
    </xf>
    <xf numFmtId="10" fontId="22" fillId="9" borderId="2" xfId="0" applyNumberFormat="1" applyFont="1" applyFill="1" applyBorder="1" applyAlignment="1">
      <alignment horizontal="center"/>
    </xf>
    <xf numFmtId="44" fontId="22" fillId="9" borderId="2" xfId="0" applyNumberFormat="1" applyFont="1" applyFill="1" applyBorder="1"/>
    <xf numFmtId="0" fontId="22" fillId="9" borderId="2" xfId="0" applyFont="1" applyFill="1" applyBorder="1" applyAlignment="1">
      <alignment horizontal="right"/>
    </xf>
    <xf numFmtId="164" fontId="24" fillId="12" borderId="2" xfId="1" applyNumberFormat="1" applyFont="1" applyFill="1" applyBorder="1"/>
    <xf numFmtId="14" fontId="22" fillId="9" borderId="2" xfId="0" applyNumberFormat="1" applyFont="1" applyFill="1" applyBorder="1" applyAlignment="1">
      <alignment horizontal="center"/>
    </xf>
    <xf numFmtId="168" fontId="22" fillId="9" borderId="2" xfId="0" applyNumberFormat="1" applyFont="1" applyFill="1" applyBorder="1"/>
    <xf numFmtId="9" fontId="22" fillId="9" borderId="2" xfId="0" applyNumberFormat="1" applyFont="1" applyFill="1" applyBorder="1"/>
    <xf numFmtId="168" fontId="22" fillId="5" borderId="2" xfId="0" applyNumberFormat="1" applyFont="1" applyFill="1" applyBorder="1" applyAlignment="1">
      <alignment horizontal="center"/>
    </xf>
    <xf numFmtId="9" fontId="22" fillId="5" borderId="2" xfId="0" applyNumberFormat="1" applyFont="1" applyFill="1" applyBorder="1" applyAlignment="1">
      <alignment horizontal="center"/>
    </xf>
    <xf numFmtId="10" fontId="22" fillId="5" borderId="2" xfId="0" applyNumberFormat="1" applyFont="1" applyFill="1" applyBorder="1"/>
    <xf numFmtId="0" fontId="25" fillId="5" borderId="2" xfId="8" applyFont="1" applyFill="1" applyBorder="1"/>
    <xf numFmtId="0" fontId="22" fillId="12" borderId="2" xfId="0" applyFont="1" applyFill="1" applyBorder="1" applyAlignment="1">
      <alignment horizontal="centerContinuous"/>
    </xf>
    <xf numFmtId="0" fontId="22" fillId="9" borderId="2" xfId="0" applyFont="1" applyFill="1" applyBorder="1" applyAlignment="1">
      <alignment horizontal="centerContinuous"/>
    </xf>
    <xf numFmtId="0" fontId="22" fillId="12" borderId="2" xfId="0" applyFont="1" applyFill="1" applyBorder="1" applyAlignment="1">
      <alignment horizontal="left"/>
    </xf>
    <xf numFmtId="0" fontId="26" fillId="12" borderId="2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164" fontId="24" fillId="12" borderId="2" xfId="1" applyNumberFormat="1" applyFont="1" applyFill="1" applyBorder="1" applyAlignment="1">
      <alignment horizontal="right"/>
    </xf>
    <xf numFmtId="0" fontId="24" fillId="12" borderId="2" xfId="0" applyFont="1" applyFill="1" applyBorder="1" applyAlignment="1">
      <alignment horizontal="right"/>
    </xf>
    <xf numFmtId="164" fontId="24" fillId="11" borderId="2" xfId="1" applyNumberFormat="1" applyFont="1" applyFill="1" applyBorder="1" applyAlignment="1">
      <alignment horizontal="right"/>
    </xf>
    <xf numFmtId="169" fontId="22" fillId="10" borderId="2" xfId="1" applyNumberFormat="1" applyFont="1" applyFill="1" applyBorder="1"/>
    <xf numFmtId="169" fontId="22" fillId="5" borderId="2" xfId="1" applyNumberFormat="1" applyFont="1" applyFill="1" applyBorder="1"/>
    <xf numFmtId="43" fontId="22" fillId="10" borderId="2" xfId="1" applyFont="1" applyFill="1" applyBorder="1" applyAlignment="1">
      <alignment horizontal="center"/>
    </xf>
    <xf numFmtId="43" fontId="24" fillId="12" borderId="2" xfId="0" applyNumberFormat="1" applyFont="1" applyFill="1" applyBorder="1" applyAlignment="1">
      <alignment horizontal="right"/>
    </xf>
    <xf numFmtId="43" fontId="22" fillId="5" borderId="2" xfId="1" applyFont="1" applyFill="1" applyBorder="1" applyAlignment="1">
      <alignment horizontal="center"/>
    </xf>
    <xf numFmtId="168" fontId="24" fillId="12" borderId="2" xfId="0" applyNumberFormat="1" applyFont="1" applyFill="1" applyBorder="1" applyAlignment="1">
      <alignment horizontal="right"/>
    </xf>
    <xf numFmtId="0" fontId="22" fillId="12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168" fontId="22" fillId="12" borderId="2" xfId="3" applyNumberFormat="1" applyFont="1" applyFill="1" applyBorder="1" applyAlignment="1">
      <alignment horizontal="centerContinuous"/>
    </xf>
    <xf numFmtId="9" fontId="22" fillId="9" borderId="2" xfId="0" applyNumberFormat="1" applyFont="1" applyFill="1" applyBorder="1" applyAlignment="1">
      <alignment horizontal="centerContinuous"/>
    </xf>
    <xf numFmtId="170" fontId="22" fillId="10" borderId="2" xfId="2" applyNumberFormat="1" applyFont="1" applyFill="1" applyBorder="1"/>
    <xf numFmtId="170" fontId="22" fillId="5" borderId="2" xfId="2" applyNumberFormat="1" applyFont="1" applyFill="1" applyBorder="1"/>
    <xf numFmtId="0" fontId="22" fillId="12" borderId="2" xfId="0" applyFont="1" applyFill="1" applyBorder="1" applyAlignment="1">
      <alignment horizontal="right"/>
    </xf>
    <xf numFmtId="2" fontId="22" fillId="9" borderId="2" xfId="0" applyNumberFormat="1" applyFont="1" applyFill="1" applyBorder="1"/>
    <xf numFmtId="2" fontId="22" fillId="5" borderId="2" xfId="0" applyNumberFormat="1" applyFont="1" applyFill="1" applyBorder="1"/>
    <xf numFmtId="168" fontId="22" fillId="10" borderId="2" xfId="0" applyNumberFormat="1" applyFont="1" applyFill="1" applyBorder="1"/>
    <xf numFmtId="168" fontId="22" fillId="5" borderId="2" xfId="0" applyNumberFormat="1" applyFont="1" applyFill="1" applyBorder="1"/>
    <xf numFmtId="0" fontId="22" fillId="11" borderId="2" xfId="0" applyFont="1" applyFill="1" applyBorder="1" applyAlignment="1">
      <alignment horizontal="right"/>
    </xf>
    <xf numFmtId="164" fontId="22" fillId="9" borderId="2" xfId="1" applyNumberFormat="1" applyFont="1" applyFill="1" applyBorder="1" applyAlignment="1">
      <alignment horizontal="centerContinuous"/>
    </xf>
    <xf numFmtId="43" fontId="22" fillId="9" borderId="2" xfId="0" applyNumberFormat="1" applyFont="1" applyFill="1" applyBorder="1"/>
    <xf numFmtId="43" fontId="22" fillId="5" borderId="2" xfId="0" applyNumberFormat="1" applyFont="1" applyFill="1" applyBorder="1"/>
    <xf numFmtId="171" fontId="24" fillId="9" borderId="2" xfId="0" applyNumberFormat="1" applyFont="1" applyFill="1" applyBorder="1"/>
    <xf numFmtId="0" fontId="22" fillId="9" borderId="2" xfId="0" applyFont="1" applyFill="1" applyBorder="1" applyAlignment="1">
      <alignment horizontal="left"/>
    </xf>
    <xf numFmtId="165" fontId="22" fillId="11" borderId="2" xfId="0" applyNumberFormat="1" applyFont="1" applyFill="1" applyBorder="1" applyAlignment="1">
      <alignment horizontal="center"/>
    </xf>
    <xf numFmtId="165" fontId="22" fillId="9" borderId="2" xfId="0" applyNumberFormat="1" applyFont="1" applyFill="1" applyBorder="1" applyAlignment="1">
      <alignment horizontal="center"/>
    </xf>
    <xf numFmtId="44" fontId="22" fillId="11" borderId="2" xfId="2" applyFont="1" applyFill="1" applyBorder="1" applyAlignment="1">
      <alignment horizontal="center"/>
    </xf>
    <xf numFmtId="44" fontId="22" fillId="9" borderId="2" xfId="2" applyFont="1" applyFill="1" applyBorder="1" applyAlignment="1">
      <alignment horizontal="center"/>
    </xf>
    <xf numFmtId="164" fontId="22" fillId="9" borderId="2" xfId="0" applyNumberFormat="1" applyFont="1" applyFill="1" applyBorder="1" applyAlignment="1">
      <alignment horizontal="center"/>
    </xf>
    <xf numFmtId="0" fontId="22" fillId="13" borderId="2" xfId="0" applyFont="1" applyFill="1" applyBorder="1"/>
    <xf numFmtId="0" fontId="22" fillId="5" borderId="2" xfId="0" applyFont="1" applyFill="1" applyBorder="1" applyAlignment="1">
      <alignment horizontal="center"/>
    </xf>
    <xf numFmtId="164" fontId="22" fillId="5" borderId="2" xfId="0" applyNumberFormat="1" applyFont="1" applyFill="1" applyBorder="1"/>
    <xf numFmtId="0" fontId="22" fillId="5" borderId="2" xfId="0" applyFont="1" applyFill="1" applyBorder="1"/>
    <xf numFmtId="10" fontId="22" fillId="9" borderId="2" xfId="0" applyNumberFormat="1" applyFont="1" applyFill="1" applyBorder="1"/>
    <xf numFmtId="0" fontId="25" fillId="9" borderId="2" xfId="0" applyFont="1" applyFill="1" applyBorder="1"/>
    <xf numFmtId="0" fontId="24" fillId="9" borderId="2" xfId="0" applyFont="1" applyFill="1" applyBorder="1"/>
    <xf numFmtId="9" fontId="22" fillId="9" borderId="2" xfId="0" applyNumberFormat="1" applyFont="1" applyFill="1" applyBorder="1" applyAlignment="1">
      <alignment horizontal="right"/>
    </xf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wrapText="1"/>
    </xf>
    <xf numFmtId="9" fontId="24" fillId="9" borderId="2" xfId="0" applyNumberFormat="1" applyFont="1" applyFill="1" applyBorder="1" applyAlignment="1">
      <alignment horizontal="right" wrapText="1"/>
    </xf>
    <xf numFmtId="0" fontId="24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wrapText="1"/>
    </xf>
    <xf numFmtId="172" fontId="24" fillId="9" borderId="2" xfId="0" applyNumberFormat="1" applyFont="1" applyFill="1" applyBorder="1"/>
    <xf numFmtId="168" fontId="24" fillId="9" borderId="2" xfId="0" applyNumberFormat="1" applyFont="1" applyFill="1" applyBorder="1"/>
    <xf numFmtId="173" fontId="24" fillId="9" borderId="2" xfId="0" applyNumberFormat="1" applyFont="1" applyFill="1" applyBorder="1"/>
    <xf numFmtId="165" fontId="27" fillId="11" borderId="3" xfId="0" applyNumberFormat="1" applyFont="1" applyFill="1" applyBorder="1" applyAlignment="1">
      <alignment horizontal="center"/>
    </xf>
    <xf numFmtId="44" fontId="27" fillId="11" borderId="3" xfId="2" applyFont="1" applyFill="1" applyBorder="1" applyAlignment="1">
      <alignment horizontal="center"/>
    </xf>
    <xf numFmtId="164" fontId="22" fillId="14" borderId="2" xfId="1" applyNumberFormat="1" applyFont="1" applyFill="1" applyBorder="1"/>
    <xf numFmtId="164" fontId="22" fillId="10" borderId="2" xfId="1" applyNumberFormat="1" applyFont="1" applyFill="1" applyBorder="1"/>
    <xf numFmtId="10" fontId="22" fillId="14" borderId="2" xfId="0" applyNumberFormat="1" applyFont="1" applyFill="1" applyBorder="1"/>
    <xf numFmtId="44" fontId="22" fillId="13" borderId="2" xfId="2" applyFont="1" applyFill="1" applyBorder="1" applyAlignment="1">
      <alignment horizontal="center"/>
    </xf>
    <xf numFmtId="164" fontId="27" fillId="5" borderId="3" xfId="1" applyNumberFormat="1" applyFont="1" applyFill="1" applyBorder="1"/>
    <xf numFmtId="164" fontId="27" fillId="9" borderId="3" xfId="1" applyNumberFormat="1" applyFont="1" applyFill="1" applyBorder="1"/>
    <xf numFmtId="168" fontId="22" fillId="5" borderId="2" xfId="1" applyNumberFormat="1" applyFont="1" applyFill="1" applyBorder="1"/>
    <xf numFmtId="168" fontId="22" fillId="9" borderId="2" xfId="1" applyNumberFormat="1" applyFont="1" applyFill="1" applyBorder="1"/>
    <xf numFmtId="168" fontId="28" fillId="9" borderId="2" xfId="3" applyNumberFormat="1" applyFont="1" applyFill="1" applyBorder="1" applyAlignment="1">
      <alignment horizontal="left" vertical="center"/>
    </xf>
    <xf numFmtId="168" fontId="28" fillId="9" borderId="2" xfId="3" applyNumberFormat="1" applyFont="1" applyFill="1" applyBorder="1" applyAlignment="1">
      <alignment horizontal="center" vertical="center"/>
    </xf>
    <xf numFmtId="0" fontId="22" fillId="12" borderId="2" xfId="13" applyFont="1" applyFill="1" applyBorder="1" applyAlignment="1">
      <alignment horizontal="right" vertical="center"/>
    </xf>
    <xf numFmtId="165" fontId="22" fillId="11" borderId="2" xfId="13" applyNumberFormat="1" applyFont="1" applyFill="1" applyBorder="1" applyAlignment="1">
      <alignment horizontal="center" vertical="center"/>
    </xf>
    <xf numFmtId="165" fontId="22" fillId="9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Continuous"/>
    </xf>
    <xf numFmtId="44" fontId="22" fillId="11" borderId="2" xfId="13" applyNumberFormat="1" applyFont="1" applyFill="1" applyBorder="1" applyAlignment="1">
      <alignment horizontal="center" vertical="center"/>
    </xf>
    <xf numFmtId="44" fontId="22" fillId="13" borderId="2" xfId="13" applyNumberFormat="1" applyFont="1" applyFill="1" applyBorder="1" applyAlignment="1">
      <alignment horizontal="center" vertical="center"/>
    </xf>
    <xf numFmtId="174" fontId="22" fillId="13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" wrapText="1"/>
    </xf>
    <xf numFmtId="164" fontId="22" fillId="9" borderId="2" xfId="1" applyNumberFormat="1" applyFont="1" applyFill="1" applyBorder="1" applyAlignment="1">
      <alignment vertical="center"/>
    </xf>
    <xf numFmtId="167" fontId="24" fillId="9" borderId="2" xfId="13" applyNumberFormat="1" applyFont="1" applyFill="1" applyBorder="1" applyAlignment="1">
      <alignment vertical="center"/>
    </xf>
    <xf numFmtId="10" fontId="24" fillId="9" borderId="2" xfId="3" applyNumberFormat="1" applyFont="1" applyFill="1" applyBorder="1" applyAlignment="1">
      <alignment vertical="center"/>
    </xf>
    <xf numFmtId="10" fontId="24" fillId="9" borderId="2" xfId="0" applyNumberFormat="1" applyFont="1" applyFill="1" applyBorder="1"/>
    <xf numFmtId="43" fontId="24" fillId="9" borderId="2" xfId="1" applyFont="1" applyFill="1" applyBorder="1"/>
    <xf numFmtId="43" fontId="24" fillId="9" borderId="2" xfId="1" applyFont="1" applyFill="1" applyBorder="1" applyAlignment="1">
      <alignment horizontal="centerContinuous"/>
    </xf>
    <xf numFmtId="0" fontId="24" fillId="9" borderId="2" xfId="0" applyFont="1" applyFill="1" applyBorder="1" applyAlignment="1">
      <alignment horizontal="centerContinuous"/>
    </xf>
    <xf numFmtId="164" fontId="22" fillId="5" borderId="2" xfId="1" applyNumberFormat="1" applyFont="1" applyFill="1" applyBorder="1" applyAlignment="1">
      <alignment vertical="center"/>
    </xf>
    <xf numFmtId="164" fontId="22" fillId="14" borderId="2" xfId="1" applyNumberFormat="1" applyFont="1" applyFill="1" applyBorder="1" applyAlignment="1">
      <alignment vertical="center"/>
    </xf>
    <xf numFmtId="0" fontId="22" fillId="9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/>
    </xf>
    <xf numFmtId="4" fontId="24" fillId="9" borderId="2" xfId="0" applyNumberFormat="1" applyFont="1" applyFill="1" applyBorder="1"/>
    <xf numFmtId="0" fontId="22" fillId="9" borderId="2" xfId="13" applyFont="1" applyFill="1" applyBorder="1" applyAlignment="1">
      <alignment horizontal="right" vertical="center"/>
    </xf>
    <xf numFmtId="167" fontId="22" fillId="9" borderId="2" xfId="0" applyNumberFormat="1" applyFont="1" applyFill="1" applyBorder="1"/>
    <xf numFmtId="0" fontId="22" fillId="9" borderId="2" xfId="13" applyFont="1" applyFill="1" applyBorder="1" applyAlignment="1">
      <alignment horizontal="left" vertical="center"/>
    </xf>
    <xf numFmtId="0" fontId="24" fillId="12" borderId="2" xfId="13" applyFont="1" applyFill="1" applyBorder="1" applyAlignment="1">
      <alignment vertical="center"/>
    </xf>
    <xf numFmtId="10" fontId="24" fillId="14" borderId="2" xfId="3" applyNumberFormat="1" applyFont="1" applyFill="1" applyBorder="1" applyAlignment="1">
      <alignment vertical="center"/>
    </xf>
    <xf numFmtId="0" fontId="24" fillId="9" borderId="2" xfId="13" applyFont="1" applyFill="1" applyBorder="1" applyAlignment="1">
      <alignment vertical="center"/>
    </xf>
    <xf numFmtId="0" fontId="22" fillId="12" borderId="2" xfId="13" applyFont="1" applyFill="1" applyBorder="1" applyAlignment="1">
      <alignment horizontal="center" vertical="center"/>
    </xf>
    <xf numFmtId="0" fontId="22" fillId="9" borderId="2" xfId="13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right"/>
    </xf>
    <xf numFmtId="164" fontId="29" fillId="9" borderId="2" xfId="1" applyNumberFormat="1" applyFont="1" applyFill="1" applyBorder="1"/>
    <xf numFmtId="164" fontId="29" fillId="10" borderId="2" xfId="1" applyNumberFormat="1" applyFont="1" applyFill="1" applyBorder="1"/>
    <xf numFmtId="164" fontId="29" fillId="11" borderId="2" xfId="1" applyNumberFormat="1" applyFont="1" applyFill="1" applyBorder="1"/>
    <xf numFmtId="0" fontId="29" fillId="9" borderId="2" xfId="0" applyFont="1" applyFill="1" applyBorder="1"/>
    <xf numFmtId="164" fontId="29" fillId="9" borderId="2" xfId="0" applyNumberFormat="1" applyFont="1" applyFill="1" applyBorder="1"/>
    <xf numFmtId="0" fontId="29" fillId="9" borderId="2" xfId="0" quotePrefix="1" applyFont="1" applyFill="1" applyBorder="1"/>
    <xf numFmtId="0" fontId="29" fillId="9" borderId="2" xfId="0" quotePrefix="1" applyFont="1" applyFill="1" applyBorder="1" applyAlignment="1">
      <alignment wrapText="1"/>
    </xf>
    <xf numFmtId="0" fontId="22" fillId="11" borderId="2" xfId="13" applyFont="1" applyFill="1" applyBorder="1" applyAlignment="1">
      <alignment horizontal="center" vertical="center"/>
    </xf>
    <xf numFmtId="0" fontId="22" fillId="13" borderId="2" xfId="13" applyFont="1" applyFill="1" applyBorder="1" applyAlignment="1">
      <alignment horizontal="center" vertical="center"/>
    </xf>
    <xf numFmtId="3" fontId="22" fillId="10" borderId="2" xfId="0" applyNumberFormat="1" applyFont="1" applyFill="1" applyBorder="1"/>
    <xf numFmtId="3" fontId="27" fillId="5" borderId="3" xfId="0" applyNumberFormat="1" applyFont="1" applyFill="1" applyBorder="1"/>
    <xf numFmtId="3" fontId="27" fillId="10" borderId="3" xfId="0" applyNumberFormat="1" applyFont="1" applyFill="1" applyBorder="1"/>
    <xf numFmtId="3" fontId="27" fillId="9" borderId="3" xfId="0" applyNumberFormat="1" applyFont="1" applyFill="1" applyBorder="1"/>
    <xf numFmtId="0" fontId="27" fillId="9" borderId="3" xfId="0" applyFont="1" applyFill="1" applyBorder="1"/>
    <xf numFmtId="166" fontId="22" fillId="5" borderId="2" xfId="2" applyNumberFormat="1" applyFont="1" applyFill="1" applyBorder="1"/>
    <xf numFmtId="166" fontId="22" fillId="14" borderId="2" xfId="2" applyNumberFormat="1" applyFont="1" applyFill="1" applyBorder="1"/>
    <xf numFmtId="166" fontId="27" fillId="5" borderId="3" xfId="2" applyNumberFormat="1" applyFont="1" applyFill="1" applyBorder="1"/>
    <xf numFmtId="166" fontId="27" fillId="9" borderId="3" xfId="2" applyNumberFormat="1" applyFont="1" applyFill="1" applyBorder="1"/>
    <xf numFmtId="164" fontId="27" fillId="14" borderId="3" xfId="1" applyNumberFormat="1" applyFont="1" applyFill="1" applyBorder="1"/>
    <xf numFmtId="1" fontId="22" fillId="9" borderId="2" xfId="1" applyNumberFormat="1" applyFont="1" applyFill="1" applyBorder="1"/>
    <xf numFmtId="1" fontId="22" fillId="9" borderId="2" xfId="0" applyNumberFormat="1" applyFont="1" applyFill="1" applyBorder="1"/>
    <xf numFmtId="10" fontId="22" fillId="10" borderId="2" xfId="0" applyNumberFormat="1" applyFont="1" applyFill="1" applyBorder="1"/>
    <xf numFmtId="9" fontId="22" fillId="12" borderId="2" xfId="0" applyNumberFormat="1" applyFont="1" applyFill="1" applyBorder="1"/>
    <xf numFmtId="10" fontId="22" fillId="12" borderId="2" xfId="0" applyNumberFormat="1" applyFont="1" applyFill="1" applyBorder="1"/>
    <xf numFmtId="9" fontId="22" fillId="14" borderId="2" xfId="0" applyNumberFormat="1" applyFont="1" applyFill="1" applyBorder="1"/>
    <xf numFmtId="0" fontId="22" fillId="14" borderId="2" xfId="0" applyFont="1" applyFill="1" applyBorder="1"/>
    <xf numFmtId="175" fontId="22" fillId="5" borderId="2" xfId="0" applyNumberFormat="1" applyFont="1" applyFill="1" applyBorder="1"/>
    <xf numFmtId="175" fontId="22" fillId="9" borderId="2" xfId="0" applyNumberFormat="1" applyFont="1" applyFill="1" applyBorder="1"/>
    <xf numFmtId="43" fontId="22" fillId="9" borderId="2" xfId="6" applyFont="1" applyFill="1" applyBorder="1"/>
    <xf numFmtId="0" fontId="25" fillId="12" borderId="2" xfId="8" applyFont="1" applyFill="1" applyBorder="1"/>
    <xf numFmtId="0" fontId="25" fillId="9" borderId="2" xfId="8" applyFont="1" applyFill="1" applyBorder="1" applyAlignment="1">
      <alignment horizontal="centerContinuous"/>
    </xf>
    <xf numFmtId="165" fontId="25" fillId="11" borderId="2" xfId="8" applyNumberFormat="1" applyFont="1" applyFill="1" applyBorder="1" applyAlignment="1">
      <alignment horizontal="center"/>
    </xf>
    <xf numFmtId="0" fontId="25" fillId="12" borderId="2" xfId="8" applyFont="1" applyFill="1" applyBorder="1" applyAlignment="1">
      <alignment horizontal="center"/>
    </xf>
    <xf numFmtId="0" fontId="25" fillId="5" borderId="2" xfId="8" applyFont="1" applyFill="1" applyBorder="1" applyAlignment="1">
      <alignment horizontal="center"/>
    </xf>
    <xf numFmtId="164" fontId="22" fillId="9" borderId="2" xfId="6" applyNumberFormat="1" applyFont="1" applyFill="1" applyBorder="1"/>
    <xf numFmtId="9" fontId="25" fillId="5" borderId="2" xfId="8" applyNumberFormat="1" applyFont="1" applyFill="1" applyBorder="1"/>
    <xf numFmtId="168" fontId="25" fillId="5" borderId="2" xfId="8" applyNumberFormat="1" applyFont="1" applyFill="1" applyBorder="1"/>
    <xf numFmtId="14" fontId="25" fillId="11" borderId="2" xfId="8" applyNumberFormat="1" applyFont="1" applyFill="1" applyBorder="1"/>
    <xf numFmtId="164" fontId="25" fillId="9" borderId="2" xfId="1" applyNumberFormat="1" applyFont="1" applyFill="1" applyBorder="1"/>
    <xf numFmtId="14" fontId="25" fillId="9" borderId="2" xfId="8" applyNumberFormat="1" applyFont="1" applyFill="1" applyBorder="1"/>
    <xf numFmtId="164" fontId="22" fillId="10" borderId="2" xfId="6" applyNumberFormat="1" applyFont="1" applyFill="1" applyBorder="1"/>
    <xf numFmtId="164" fontId="22" fillId="5" borderId="2" xfId="6" applyNumberFormat="1" applyFont="1" applyFill="1" applyBorder="1"/>
    <xf numFmtId="3" fontId="25" fillId="9" borderId="2" xfId="1" applyNumberFormat="1" applyFont="1" applyFill="1" applyBorder="1"/>
    <xf numFmtId="9" fontId="25" fillId="9" borderId="2" xfId="8" applyNumberFormat="1" applyFont="1" applyFill="1" applyBorder="1"/>
    <xf numFmtId="3" fontId="25" fillId="5" borderId="2" xfId="1" applyNumberFormat="1" applyFont="1" applyFill="1" applyBorder="1"/>
    <xf numFmtId="164" fontId="25" fillId="5" borderId="2" xfId="1" applyNumberFormat="1" applyFont="1" applyFill="1" applyBorder="1"/>
    <xf numFmtId="0" fontId="25" fillId="12" borderId="2" xfId="0" applyFont="1" applyFill="1" applyBorder="1"/>
    <xf numFmtId="176" fontId="22" fillId="5" borderId="2" xfId="0" applyNumberFormat="1" applyFont="1" applyFill="1" applyBorder="1"/>
    <xf numFmtId="9" fontId="25" fillId="5" borderId="2" xfId="0" applyNumberFormat="1" applyFont="1" applyFill="1" applyBorder="1"/>
    <xf numFmtId="168" fontId="25" fillId="5" borderId="2" xfId="0" applyNumberFormat="1" applyFont="1" applyFill="1" applyBorder="1"/>
    <xf numFmtId="14" fontId="25" fillId="11" borderId="2" xfId="0" applyNumberFormat="1" applyFont="1" applyFill="1" applyBorder="1"/>
    <xf numFmtId="176" fontId="22" fillId="9" borderId="2" xfId="0" applyNumberFormat="1" applyFont="1" applyFill="1" applyBorder="1"/>
    <xf numFmtId="9" fontId="25" fillId="9" borderId="2" xfId="0" applyNumberFormat="1" applyFont="1" applyFill="1" applyBorder="1"/>
    <xf numFmtId="14" fontId="25" fillId="9" borderId="2" xfId="0" applyNumberFormat="1" applyFont="1" applyFill="1" applyBorder="1"/>
    <xf numFmtId="164" fontId="25" fillId="14" borderId="2" xfId="8" applyNumberFormat="1" applyFont="1" applyFill="1" applyBorder="1"/>
    <xf numFmtId="164" fontId="25" fillId="14" borderId="2" xfId="1" applyNumberFormat="1" applyFont="1" applyFill="1" applyBorder="1"/>
    <xf numFmtId="0" fontId="25" fillId="9" borderId="2" xfId="8" applyFont="1" applyFill="1" applyBorder="1"/>
    <xf numFmtId="10" fontId="25" fillId="9" borderId="2" xfId="8" applyNumberFormat="1" applyFont="1" applyFill="1" applyBorder="1"/>
    <xf numFmtId="164" fontId="25" fillId="9" borderId="2" xfId="8" applyNumberFormat="1" applyFont="1" applyFill="1" applyBorder="1"/>
    <xf numFmtId="0" fontId="25" fillId="12" borderId="2" xfId="8" applyFont="1" applyFill="1" applyBorder="1" applyAlignment="1">
      <alignment horizontal="right"/>
    </xf>
    <xf numFmtId="164" fontId="22" fillId="14" borderId="2" xfId="6" applyNumberFormat="1" applyFont="1" applyFill="1" applyBorder="1"/>
    <xf numFmtId="164" fontId="25" fillId="14" borderId="2" xfId="6" applyNumberFormat="1" applyFont="1" applyFill="1" applyBorder="1"/>
    <xf numFmtId="164" fontId="27" fillId="14" borderId="3" xfId="6" applyNumberFormat="1" applyFont="1" applyFill="1" applyBorder="1"/>
    <xf numFmtId="0" fontId="25" fillId="13" borderId="2" xfId="8" applyFont="1" applyFill="1" applyBorder="1"/>
    <xf numFmtId="168" fontId="25" fillId="9" borderId="2" xfId="8" applyNumberFormat="1" applyFont="1" applyFill="1" applyBorder="1"/>
    <xf numFmtId="43" fontId="25" fillId="9" borderId="2" xfId="8" applyNumberFormat="1" applyFont="1" applyFill="1" applyBorder="1"/>
    <xf numFmtId="164" fontId="27" fillId="9" borderId="3" xfId="6" applyNumberFormat="1" applyFont="1" applyFill="1" applyBorder="1"/>
    <xf numFmtId="14" fontId="25" fillId="13" borderId="2" xfId="8" applyNumberFormat="1" applyFont="1" applyFill="1" applyBorder="1"/>
    <xf numFmtId="0" fontId="25" fillId="12" borderId="2" xfId="8" applyFont="1" applyFill="1" applyBorder="1" applyAlignment="1">
      <alignment horizontal="center" wrapText="1"/>
    </xf>
    <xf numFmtId="175" fontId="25" fillId="9" borderId="2" xfId="8" applyNumberFormat="1" applyFont="1" applyFill="1" applyBorder="1"/>
    <xf numFmtId="175" fontId="25" fillId="10" borderId="2" xfId="8" applyNumberFormat="1" applyFont="1" applyFill="1" applyBorder="1"/>
    <xf numFmtId="4" fontId="25" fillId="9" borderId="2" xfId="8" applyNumberFormat="1" applyFont="1" applyFill="1" applyBorder="1"/>
    <xf numFmtId="10" fontId="25" fillId="5" borderId="2" xfId="8" applyNumberFormat="1" applyFont="1" applyFill="1" applyBorder="1"/>
    <xf numFmtId="10" fontId="25" fillId="14" borderId="2" xfId="8" applyNumberFormat="1" applyFont="1" applyFill="1" applyBorder="1"/>
    <xf numFmtId="0" fontId="25" fillId="11" borderId="2" xfId="8" applyFont="1" applyFill="1" applyBorder="1" applyAlignment="1">
      <alignment horizontal="center"/>
    </xf>
    <xf numFmtId="10" fontId="25" fillId="11" borderId="2" xfId="8" applyNumberFormat="1" applyFont="1" applyFill="1" applyBorder="1" applyAlignment="1">
      <alignment horizontal="center"/>
    </xf>
    <xf numFmtId="171" fontId="25" fillId="5" borderId="2" xfId="8" applyNumberFormat="1" applyFont="1" applyFill="1" applyBorder="1"/>
    <xf numFmtId="171" fontId="25" fillId="9" borderId="2" xfId="8" applyNumberFormat="1" applyFont="1" applyFill="1" applyBorder="1"/>
    <xf numFmtId="171" fontId="25" fillId="14" borderId="2" xfId="8" applyNumberFormat="1" applyFont="1" applyFill="1" applyBorder="1"/>
    <xf numFmtId="165" fontId="25" fillId="9" borderId="2" xfId="8" applyNumberFormat="1" applyFont="1" applyFill="1" applyBorder="1" applyAlignment="1">
      <alignment horizontal="center"/>
    </xf>
    <xf numFmtId="0" fontId="25" fillId="9" borderId="2" xfId="8" applyFont="1" applyFill="1" applyBorder="1" applyAlignment="1">
      <alignment horizontal="center"/>
    </xf>
    <xf numFmtId="164" fontId="22" fillId="11" borderId="2" xfId="6" applyNumberFormat="1" applyFont="1" applyFill="1" applyBorder="1"/>
    <xf numFmtId="164" fontId="25" fillId="5" borderId="2" xfId="8" applyNumberFormat="1" applyFont="1" applyFill="1" applyBorder="1"/>
    <xf numFmtId="164" fontId="30" fillId="5" borderId="3" xfId="6" applyNumberFormat="1" applyFont="1" applyFill="1" applyBorder="1"/>
    <xf numFmtId="164" fontId="30" fillId="14" borderId="3" xfId="6" applyNumberFormat="1" applyFont="1" applyFill="1" applyBorder="1"/>
    <xf numFmtId="164" fontId="30" fillId="11" borderId="3" xfId="6" applyNumberFormat="1" applyFont="1" applyFill="1" applyBorder="1"/>
    <xf numFmtId="0" fontId="25" fillId="11" borderId="2" xfId="8" applyFont="1" applyFill="1" applyBorder="1"/>
    <xf numFmtId="164" fontId="27" fillId="5" borderId="3" xfId="6" applyNumberFormat="1" applyFont="1" applyFill="1" applyBorder="1"/>
    <xf numFmtId="164" fontId="30" fillId="9" borderId="3" xfId="8" applyNumberFormat="1" applyFont="1" applyFill="1" applyBorder="1"/>
    <xf numFmtId="0" fontId="25" fillId="9" borderId="2" xfId="8" quotePrefix="1" applyFont="1" applyFill="1" applyBorder="1"/>
    <xf numFmtId="43" fontId="25" fillId="9" borderId="2" xfId="1" applyFont="1" applyFill="1" applyBorder="1"/>
    <xf numFmtId="11" fontId="25" fillId="12" borderId="2" xfId="8" applyNumberFormat="1" applyFont="1" applyFill="1" applyBorder="1"/>
    <xf numFmtId="164" fontId="25" fillId="10" borderId="2" xfId="1" applyNumberFormat="1" applyFont="1" applyFill="1" applyBorder="1"/>
    <xf numFmtId="164" fontId="30" fillId="5" borderId="3" xfId="8" applyNumberFormat="1" applyFont="1" applyFill="1" applyBorder="1"/>
    <xf numFmtId="0" fontId="25" fillId="12" borderId="2" xfId="8" quotePrefix="1" applyFont="1" applyFill="1" applyBorder="1"/>
    <xf numFmtId="165" fontId="22" fillId="13" borderId="2" xfId="13" applyNumberFormat="1" applyFont="1" applyFill="1" applyBorder="1" applyAlignment="1">
      <alignment horizontal="center" vertical="center"/>
    </xf>
    <xf numFmtId="164" fontId="22" fillId="13" borderId="2" xfId="1" applyNumberFormat="1" applyFont="1" applyFill="1" applyBorder="1"/>
    <xf numFmtId="167" fontId="22" fillId="11" borderId="2" xfId="0" applyNumberFormat="1" applyFont="1" applyFill="1" applyBorder="1" applyAlignment="1">
      <alignment horizontal="center"/>
    </xf>
    <xf numFmtId="167" fontId="22" fillId="13" borderId="2" xfId="0" applyNumberFormat="1" applyFont="1" applyFill="1" applyBorder="1" applyAlignment="1">
      <alignment horizontal="center"/>
    </xf>
    <xf numFmtId="167" fontId="22" fillId="9" borderId="2" xfId="2" applyNumberFormat="1" applyFont="1" applyFill="1" applyBorder="1"/>
    <xf numFmtId="3" fontId="29" fillId="9" borderId="2" xfId="0" applyNumberFormat="1" applyFont="1" applyFill="1" applyBorder="1"/>
    <xf numFmtId="0" fontId="28" fillId="12" borderId="2" xfId="0" applyFont="1" applyFill="1" applyBorder="1" applyAlignment="1">
      <alignment horizontal="left"/>
    </xf>
    <xf numFmtId="165" fontId="22" fillId="11" borderId="2" xfId="1" applyNumberFormat="1" applyFont="1" applyFill="1" applyBorder="1" applyAlignment="1">
      <alignment horizontal="center"/>
    </xf>
    <xf numFmtId="0" fontId="22" fillId="9" borderId="2" xfId="1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left"/>
    </xf>
    <xf numFmtId="0" fontId="28" fillId="12" borderId="2" xfId="0" applyFont="1" applyFill="1" applyBorder="1"/>
    <xf numFmtId="9" fontId="22" fillId="9" borderId="2" xfId="1" applyNumberFormat="1" applyFont="1" applyFill="1" applyBorder="1"/>
    <xf numFmtId="14" fontId="22" fillId="9" borderId="2" xfId="0" applyNumberFormat="1" applyFont="1" applyFill="1" applyBorder="1"/>
    <xf numFmtId="4" fontId="23" fillId="12" borderId="2" xfId="0" applyNumberFormat="1" applyFont="1" applyFill="1" applyBorder="1"/>
    <xf numFmtId="164" fontId="23" fillId="10" borderId="2" xfId="1" applyNumberFormat="1" applyFont="1" applyFill="1" applyBorder="1"/>
    <xf numFmtId="164" fontId="23" fillId="14" borderId="2" xfId="1" applyNumberFormat="1" applyFont="1" applyFill="1" applyBorder="1"/>
    <xf numFmtId="164" fontId="23" fillId="9" borderId="2" xfId="1" applyNumberFormat="1" applyFont="1" applyFill="1" applyBorder="1"/>
    <xf numFmtId="168" fontId="22" fillId="9" borderId="2" xfId="0" applyNumberFormat="1" applyFont="1" applyFill="1" applyBorder="1" applyAlignment="1">
      <alignment horizontal="center"/>
    </xf>
    <xf numFmtId="9" fontId="29" fillId="9" borderId="2" xfId="0" applyNumberFormat="1" applyFont="1" applyFill="1" applyBorder="1"/>
    <xf numFmtId="164" fontId="23" fillId="5" borderId="2" xfId="1" applyNumberFormat="1" applyFont="1" applyFill="1" applyBorder="1"/>
    <xf numFmtId="164" fontId="27" fillId="9" borderId="3" xfId="0" applyNumberFormat="1" applyFont="1" applyFill="1" applyBorder="1"/>
    <xf numFmtId="0" fontId="23" fillId="9" borderId="2" xfId="0" applyFont="1" applyFill="1" applyBorder="1"/>
    <xf numFmtId="168" fontId="22" fillId="10" borderId="2" xfId="1" applyNumberFormat="1" applyFont="1" applyFill="1" applyBorder="1"/>
    <xf numFmtId="0" fontId="23" fillId="12" borderId="2" xfId="0" applyFont="1" applyFill="1" applyBorder="1" applyAlignment="1">
      <alignment horizontal="right"/>
    </xf>
    <xf numFmtId="164" fontId="23" fillId="12" borderId="2" xfId="1" applyNumberFormat="1" applyFont="1" applyFill="1" applyBorder="1"/>
    <xf numFmtId="10" fontId="22" fillId="5" borderId="2" xfId="0" applyNumberFormat="1" applyFont="1" applyFill="1" applyBorder="1" applyAlignment="1">
      <alignment horizontal="center"/>
    </xf>
    <xf numFmtId="9" fontId="22" fillId="5" borderId="2" xfId="1" applyNumberFormat="1" applyFont="1" applyFill="1" applyBorder="1"/>
    <xf numFmtId="9" fontId="22" fillId="10" borderId="2" xfId="1" applyNumberFormat="1" applyFont="1" applyFill="1" applyBorder="1" applyAlignment="1">
      <alignment horizontal="center"/>
    </xf>
    <xf numFmtId="168" fontId="22" fillId="10" borderId="2" xfId="1" applyNumberFormat="1" applyFont="1" applyFill="1" applyBorder="1" applyAlignment="1">
      <alignment horizontal="center"/>
    </xf>
    <xf numFmtId="0" fontId="22" fillId="11" borderId="2" xfId="0" applyFont="1" applyFill="1" applyBorder="1"/>
    <xf numFmtId="9" fontId="22" fillId="9" borderId="2" xfId="1" applyNumberFormat="1" applyFont="1" applyFill="1" applyBorder="1" applyAlignment="1">
      <alignment horizontal="center"/>
    </xf>
    <xf numFmtId="168" fontId="22" fillId="9" borderId="2" xfId="1" applyNumberFormat="1" applyFont="1" applyFill="1" applyBorder="1" applyAlignment="1">
      <alignment horizontal="center"/>
    </xf>
    <xf numFmtId="3" fontId="25" fillId="9" borderId="2" xfId="8" applyNumberFormat="1" applyFont="1" applyFill="1" applyBorder="1"/>
    <xf numFmtId="0" fontId="22" fillId="9" borderId="2" xfId="19" applyFont="1" applyFill="1" applyBorder="1"/>
    <xf numFmtId="3" fontId="25" fillId="5" borderId="2" xfId="8" applyNumberFormat="1" applyFont="1" applyFill="1" applyBorder="1"/>
    <xf numFmtId="3" fontId="25" fillId="10" borderId="2" xfId="8" applyNumberFormat="1" applyFont="1" applyFill="1" applyBorder="1"/>
    <xf numFmtId="3" fontId="25" fillId="14" borderId="2" xfId="8" applyNumberFormat="1" applyFont="1" applyFill="1" applyBorder="1"/>
    <xf numFmtId="14" fontId="25" fillId="12" borderId="2" xfId="8" applyNumberFormat="1" applyFont="1" applyFill="1" applyBorder="1"/>
    <xf numFmtId="0" fontId="25" fillId="12" borderId="2" xfId="8" applyFont="1" applyFill="1" applyBorder="1" applyAlignment="1">
      <alignment horizontal="centerContinuous"/>
    </xf>
    <xf numFmtId="14" fontId="22" fillId="11" borderId="2" xfId="0" applyNumberFormat="1" applyFont="1" applyFill="1" applyBorder="1"/>
    <xf numFmtId="43" fontId="22" fillId="10" borderId="2" xfId="1" applyFont="1" applyFill="1" applyBorder="1"/>
    <xf numFmtId="14" fontId="22" fillId="11" borderId="2" xfId="1" applyNumberFormat="1" applyFont="1" applyFill="1" applyBorder="1"/>
    <xf numFmtId="177" fontId="25" fillId="5" borderId="2" xfId="8" applyNumberFormat="1" applyFont="1" applyFill="1" applyBorder="1"/>
    <xf numFmtId="4" fontId="25" fillId="10" borderId="2" xfId="8" applyNumberFormat="1" applyFont="1" applyFill="1" applyBorder="1"/>
    <xf numFmtId="14" fontId="22" fillId="9" borderId="2" xfId="1" applyNumberFormat="1" applyFont="1" applyFill="1" applyBorder="1"/>
    <xf numFmtId="0" fontId="25" fillId="5" borderId="2" xfId="8" applyFont="1" applyFill="1" applyBorder="1" applyAlignment="1">
      <alignment horizontal="left"/>
    </xf>
    <xf numFmtId="178" fontId="25" fillId="9" borderId="2" xfId="8" applyNumberFormat="1" applyFont="1" applyFill="1" applyBorder="1"/>
    <xf numFmtId="0" fontId="25" fillId="11" borderId="2" xfId="8" applyFont="1" applyFill="1" applyBorder="1" applyAlignment="1">
      <alignment horizontal="left"/>
    </xf>
    <xf numFmtId="178" fontId="25" fillId="5" borderId="2" xfId="8" applyNumberFormat="1" applyFont="1" applyFill="1" applyBorder="1"/>
    <xf numFmtId="164" fontId="22" fillId="5" borderId="2" xfId="1" applyNumberFormat="1" applyFont="1" applyFill="1" applyBorder="1" applyAlignment="1">
      <alignment horizontal="center"/>
    </xf>
    <xf numFmtId="3" fontId="22" fillId="9" borderId="2" xfId="1" applyNumberFormat="1" applyFont="1" applyFill="1" applyBorder="1"/>
    <xf numFmtId="164" fontId="22" fillId="14" borderId="2" xfId="1" applyNumberFormat="1" applyFont="1" applyFill="1" applyBorder="1" applyAlignment="1">
      <alignment horizontal="center"/>
    </xf>
    <xf numFmtId="166" fontId="22" fillId="9" borderId="2" xfId="0" applyNumberFormat="1" applyFont="1" applyFill="1" applyBorder="1"/>
    <xf numFmtId="179" fontId="22" fillId="9" borderId="2" xfId="0" applyNumberFormat="1" applyFont="1" applyFill="1" applyBorder="1"/>
    <xf numFmtId="4" fontId="23" fillId="9" borderId="2" xfId="0" applyNumberFormat="1" applyFont="1" applyFill="1" applyBorder="1"/>
    <xf numFmtId="164" fontId="31" fillId="14" borderId="3" xfId="1" applyNumberFormat="1" applyFont="1" applyFill="1" applyBorder="1"/>
    <xf numFmtId="43" fontId="22" fillId="9" borderId="2" xfId="1" applyFont="1" applyFill="1" applyBorder="1" applyAlignment="1">
      <alignment horizontal="center"/>
    </xf>
    <xf numFmtId="43" fontId="22" fillId="5" borderId="2" xfId="1" applyFont="1" applyFill="1" applyBorder="1"/>
    <xf numFmtId="4" fontId="22" fillId="10" borderId="2" xfId="1" applyNumberFormat="1" applyFont="1" applyFill="1" applyBorder="1"/>
    <xf numFmtId="4" fontId="23" fillId="12" borderId="2" xfId="0" applyNumberFormat="1" applyFont="1" applyFill="1" applyBorder="1" applyAlignment="1">
      <alignment horizontal="right"/>
    </xf>
    <xf numFmtId="9" fontId="22" fillId="5" borderId="2" xfId="2" applyNumberFormat="1" applyFont="1" applyFill="1" applyBorder="1"/>
    <xf numFmtId="9" fontId="22" fillId="9" borderId="2" xfId="2" applyNumberFormat="1" applyFont="1" applyFill="1" applyBorder="1"/>
    <xf numFmtId="165" fontId="25" fillId="11" borderId="2" xfId="0" quotePrefix="1" applyNumberFormat="1" applyFont="1" applyFill="1" applyBorder="1" applyAlignment="1">
      <alignment horizontal="center"/>
    </xf>
    <xf numFmtId="165" fontId="25" fillId="9" borderId="2" xfId="0" quotePrefix="1" applyNumberFormat="1" applyFont="1" applyFill="1" applyBorder="1" applyAlignment="1">
      <alignment horizontal="center"/>
    </xf>
    <xf numFmtId="165" fontId="25" fillId="13" borderId="2" xfId="0" quotePrefix="1" applyNumberFormat="1" applyFont="1" applyFill="1" applyBorder="1" applyAlignment="1">
      <alignment horizontal="center"/>
    </xf>
    <xf numFmtId="0" fontId="28" fillId="9" borderId="2" xfId="0" applyFont="1" applyFill="1" applyBorder="1" applyAlignment="1">
      <alignment horizontal="left"/>
    </xf>
    <xf numFmtId="0" fontId="25" fillId="9" borderId="2" xfId="0" applyFont="1" applyFill="1" applyBorder="1" applyAlignment="1">
      <alignment horizontal="left"/>
    </xf>
    <xf numFmtId="164" fontId="22" fillId="12" borderId="2" xfId="1" applyNumberFormat="1" applyFont="1" applyFill="1" applyBorder="1" applyAlignment="1">
      <alignment horizontal="right"/>
    </xf>
    <xf numFmtId="4" fontId="22" fillId="9" borderId="2" xfId="1" applyNumberFormat="1" applyFont="1" applyFill="1" applyBorder="1"/>
    <xf numFmtId="4" fontId="22" fillId="11" borderId="2" xfId="1" applyNumberFormat="1" applyFont="1" applyFill="1" applyBorder="1"/>
    <xf numFmtId="164" fontId="22" fillId="5" borderId="2" xfId="1" applyNumberFormat="1" applyFont="1" applyFill="1" applyBorder="1" applyAlignment="1">
      <alignment wrapText="1"/>
    </xf>
    <xf numFmtId="164" fontId="22" fillId="10" borderId="2" xfId="1" applyNumberFormat="1" applyFont="1" applyFill="1" applyBorder="1" applyAlignment="1">
      <alignment wrapText="1"/>
    </xf>
    <xf numFmtId="164" fontId="22" fillId="9" borderId="2" xfId="1" applyNumberFormat="1" applyFont="1" applyFill="1" applyBorder="1" applyAlignment="1">
      <alignment wrapText="1"/>
    </xf>
    <xf numFmtId="164" fontId="22" fillId="11" borderId="2" xfId="1" applyNumberFormat="1" applyFont="1" applyFill="1" applyBorder="1"/>
    <xf numFmtId="3" fontId="22" fillId="9" borderId="2" xfId="0" applyNumberFormat="1" applyFont="1" applyFill="1" applyBorder="1" applyAlignment="1">
      <alignment horizontal="center"/>
    </xf>
    <xf numFmtId="15" fontId="22" fillId="9" borderId="2" xfId="0" applyNumberFormat="1" applyFont="1" applyFill="1" applyBorder="1"/>
    <xf numFmtId="168" fontId="22" fillId="9" borderId="2" xfId="3" applyNumberFormat="1" applyFont="1" applyFill="1" applyBorder="1"/>
    <xf numFmtId="10" fontId="22" fillId="9" borderId="2" xfId="2" applyNumberFormat="1" applyFont="1" applyFill="1" applyBorder="1"/>
    <xf numFmtId="10" fontId="22" fillId="11" borderId="2" xfId="2" applyNumberFormat="1" applyFont="1" applyFill="1" applyBorder="1"/>
    <xf numFmtId="166" fontId="22" fillId="12" borderId="2" xfId="2" applyNumberFormat="1" applyFont="1" applyFill="1" applyBorder="1"/>
    <xf numFmtId="168" fontId="22" fillId="5" borderId="2" xfId="3" applyNumberFormat="1" applyFont="1" applyFill="1" applyBorder="1"/>
    <xf numFmtId="10" fontId="22" fillId="9" borderId="2" xfId="1" applyNumberFormat="1" applyFont="1" applyFill="1" applyBorder="1"/>
    <xf numFmtId="168" fontId="23" fillId="5" borderId="2" xfId="1" applyNumberFormat="1" applyFont="1" applyFill="1" applyBorder="1"/>
    <xf numFmtId="43" fontId="22" fillId="9" borderId="2" xfId="0" applyNumberFormat="1" applyFont="1" applyFill="1" applyBorder="1" applyAlignment="1">
      <alignment horizontal="left"/>
    </xf>
    <xf numFmtId="10" fontId="22" fillId="9" borderId="2" xfId="0" applyNumberFormat="1" applyFont="1" applyFill="1" applyBorder="1" applyAlignment="1">
      <alignment horizontal="right"/>
    </xf>
    <xf numFmtId="0" fontId="23" fillId="9" borderId="2" xfId="0" applyFont="1" applyFill="1" applyBorder="1" applyAlignment="1">
      <alignment horizontal="center"/>
    </xf>
    <xf numFmtId="164" fontId="23" fillId="9" borderId="2" xfId="1" applyNumberFormat="1" applyFont="1" applyFill="1" applyBorder="1" applyAlignment="1">
      <alignment horizontal="center"/>
    </xf>
    <xf numFmtId="168" fontId="23" fillId="9" borderId="2" xfId="3" applyNumberFormat="1" applyFont="1" applyFill="1" applyBorder="1"/>
    <xf numFmtId="164" fontId="23" fillId="9" borderId="2" xfId="0" applyNumberFormat="1" applyFont="1" applyFill="1" applyBorder="1"/>
    <xf numFmtId="164" fontId="27" fillId="10" borderId="3" xfId="1" applyNumberFormat="1" applyFont="1" applyFill="1" applyBorder="1"/>
    <xf numFmtId="9" fontId="22" fillId="5" borderId="2" xfId="3" applyFont="1" applyFill="1" applyBorder="1"/>
    <xf numFmtId="164" fontId="27" fillId="11" borderId="3" xfId="1" applyNumberFormat="1" applyFont="1" applyFill="1" applyBorder="1"/>
    <xf numFmtId="10" fontId="22" fillId="5" borderId="2" xfId="1" applyNumberFormat="1" applyFont="1" applyFill="1" applyBorder="1"/>
    <xf numFmtId="166" fontId="23" fillId="9" borderId="2" xfId="2" applyNumberFormat="1" applyFont="1" applyFill="1" applyBorder="1"/>
    <xf numFmtId="168" fontId="22" fillId="11" borderId="2" xfId="1" applyNumberFormat="1" applyFont="1" applyFill="1" applyBorder="1" applyAlignment="1">
      <alignment horizontal="center"/>
    </xf>
    <xf numFmtId="164" fontId="22" fillId="14" borderId="2" xfId="0" applyNumberFormat="1" applyFont="1" applyFill="1" applyBorder="1"/>
    <xf numFmtId="164" fontId="22" fillId="10" borderId="2" xfId="0" applyNumberFormat="1" applyFont="1" applyFill="1" applyBorder="1"/>
    <xf numFmtId="164" fontId="22" fillId="12" borderId="2" xfId="0" applyNumberFormat="1" applyFont="1" applyFill="1" applyBorder="1" applyAlignment="1">
      <alignment horizontal="left"/>
    </xf>
    <xf numFmtId="14" fontId="22" fillId="11" borderId="2" xfId="0" applyNumberFormat="1" applyFont="1" applyFill="1" applyBorder="1" applyAlignment="1">
      <alignment horizontal="center"/>
    </xf>
    <xf numFmtId="164" fontId="22" fillId="12" borderId="2" xfId="0" applyNumberFormat="1" applyFont="1" applyFill="1" applyBorder="1"/>
    <xf numFmtId="166" fontId="22" fillId="10" borderId="2" xfId="0" applyNumberFormat="1" applyFont="1" applyFill="1" applyBorder="1"/>
    <xf numFmtId="166" fontId="22" fillId="5" borderId="2" xfId="0" applyNumberFormat="1" applyFont="1" applyFill="1" applyBorder="1"/>
    <xf numFmtId="166" fontId="22" fillId="14" borderId="2" xfId="0" applyNumberFormat="1" applyFont="1" applyFill="1" applyBorder="1"/>
    <xf numFmtId="9" fontId="22" fillId="12" borderId="2" xfId="0" applyNumberFormat="1" applyFont="1" applyFill="1" applyBorder="1" applyAlignment="1">
      <alignment horizontal="right"/>
    </xf>
    <xf numFmtId="164" fontId="22" fillId="11" borderId="2" xfId="1" applyNumberFormat="1" applyFont="1" applyFill="1" applyBorder="1" applyAlignment="1">
      <alignment horizontal="center"/>
    </xf>
    <xf numFmtId="176" fontId="22" fillId="9" borderId="2" xfId="1" applyNumberFormat="1" applyFont="1" applyFill="1" applyBorder="1"/>
    <xf numFmtId="9" fontId="22" fillId="5" borderId="2" xfId="0" applyNumberFormat="1" applyFont="1" applyFill="1" applyBorder="1"/>
    <xf numFmtId="176" fontId="22" fillId="5" borderId="2" xfId="1" applyNumberFormat="1" applyFont="1" applyFill="1" applyBorder="1"/>
    <xf numFmtId="43" fontId="22" fillId="10" borderId="2" xfId="0" applyNumberFormat="1" applyFont="1" applyFill="1" applyBorder="1"/>
    <xf numFmtId="176" fontId="22" fillId="14" borderId="2" xfId="0" applyNumberFormat="1" applyFont="1" applyFill="1" applyBorder="1"/>
    <xf numFmtId="176" fontId="22" fillId="9" borderId="2" xfId="15" applyNumberFormat="1" applyFont="1" applyFill="1" applyBorder="1"/>
    <xf numFmtId="176" fontId="22" fillId="9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/>
    <xf numFmtId="176" fontId="22" fillId="10" borderId="2" xfId="15" applyNumberFormat="1" applyFont="1" applyFill="1" applyBorder="1"/>
    <xf numFmtId="176" fontId="22" fillId="14" borderId="2" xfId="15" applyNumberFormat="1" applyFont="1" applyFill="1" applyBorder="1"/>
    <xf numFmtId="176" fontId="27" fillId="5" borderId="3" xfId="15" applyNumberFormat="1" applyFont="1" applyFill="1" applyBorder="1"/>
    <xf numFmtId="176" fontId="27" fillId="14" borderId="3" xfId="15" applyNumberFormat="1" applyFont="1" applyFill="1" applyBorder="1"/>
    <xf numFmtId="4" fontId="23" fillId="12" borderId="2" xfId="0" applyNumberFormat="1" applyFont="1" applyFill="1" applyBorder="1" applyAlignment="1">
      <alignment horizontal="left"/>
    </xf>
    <xf numFmtId="164" fontId="22" fillId="9" borderId="2" xfId="15" applyNumberFormat="1" applyFont="1" applyFill="1" applyBorder="1"/>
    <xf numFmtId="168" fontId="22" fillId="9" borderId="2" xfId="15" applyNumberFormat="1" applyFont="1" applyFill="1" applyBorder="1"/>
    <xf numFmtId="9" fontId="22" fillId="9" borderId="2" xfId="17" applyNumberFormat="1" applyFont="1" applyFill="1" applyBorder="1"/>
    <xf numFmtId="9" fontId="22" fillId="5" borderId="2" xfId="17" applyNumberFormat="1" applyFont="1" applyFill="1" applyBorder="1"/>
    <xf numFmtId="4" fontId="22" fillId="12" borderId="2" xfId="0" applyNumberFormat="1" applyFont="1" applyFill="1" applyBorder="1"/>
    <xf numFmtId="4" fontId="22" fillId="9" borderId="2" xfId="17" applyNumberFormat="1" applyFont="1" applyFill="1" applyBorder="1"/>
    <xf numFmtId="4" fontId="22" fillId="10" borderId="2" xfId="17" applyNumberFormat="1" applyFont="1" applyFill="1" applyBorder="1"/>
    <xf numFmtId="4" fontId="22" fillId="12" borderId="2" xfId="0" applyNumberFormat="1" applyFont="1" applyFill="1" applyBorder="1" applyAlignment="1">
      <alignment horizontal="right"/>
    </xf>
    <xf numFmtId="4" fontId="22" fillId="5" borderId="2" xfId="17" applyNumberFormat="1" applyFont="1" applyFill="1" applyBorder="1"/>
    <xf numFmtId="3" fontId="22" fillId="10" borderId="2" xfId="17" applyNumberFormat="1" applyFont="1" applyFill="1" applyBorder="1"/>
    <xf numFmtId="14" fontId="22" fillId="11" borderId="2" xfId="15" applyNumberFormat="1" applyFont="1" applyFill="1" applyBorder="1" applyAlignment="1">
      <alignment horizontal="center"/>
    </xf>
    <xf numFmtId="4" fontId="22" fillId="9" borderId="2" xfId="0" applyNumberFormat="1" applyFont="1" applyFill="1" applyBorder="1" applyAlignment="1">
      <alignment horizontal="right"/>
    </xf>
    <xf numFmtId="176" fontId="23" fillId="9" borderId="2" xfId="15" applyNumberFormat="1" applyFont="1" applyFill="1" applyBorder="1"/>
    <xf numFmtId="176" fontId="23" fillId="5" borderId="2" xfId="15" applyNumberFormat="1" applyFont="1" applyFill="1" applyBorder="1"/>
    <xf numFmtId="176" fontId="23" fillId="10" borderId="2" xfId="15" applyNumberFormat="1" applyFont="1" applyFill="1" applyBorder="1"/>
    <xf numFmtId="9" fontId="22" fillId="10" borderId="2" xfId="0" applyNumberFormat="1" applyFont="1" applyFill="1" applyBorder="1" applyAlignment="1">
      <alignment horizontal="center"/>
    </xf>
    <xf numFmtId="176" fontId="22" fillId="12" borderId="2" xfId="15" applyNumberFormat="1" applyFont="1" applyFill="1" applyBorder="1"/>
    <xf numFmtId="0" fontId="27" fillId="5" borderId="3" xfId="0" applyFont="1" applyFill="1" applyBorder="1"/>
    <xf numFmtId="176" fontId="27" fillId="9" borderId="3" xfId="0" applyNumberFormat="1" applyFont="1" applyFill="1" applyBorder="1"/>
    <xf numFmtId="176" fontId="27" fillId="9" borderId="3" xfId="15" applyNumberFormat="1" applyFont="1" applyFill="1" applyBorder="1"/>
    <xf numFmtId="176" fontId="22" fillId="10" borderId="2" xfId="0" applyNumberFormat="1" applyFont="1" applyFill="1" applyBorder="1"/>
    <xf numFmtId="11" fontId="22" fillId="9" borderId="2" xfId="1" applyNumberFormat="1" applyFont="1" applyFill="1" applyBorder="1"/>
    <xf numFmtId="0" fontId="22" fillId="10" borderId="2" xfId="0" applyFont="1" applyFill="1" applyBorder="1"/>
    <xf numFmtId="3" fontId="27" fillId="14" borderId="3" xfId="0" applyNumberFormat="1" applyFont="1" applyFill="1" applyBorder="1"/>
    <xf numFmtId="180" fontId="22" fillId="5" borderId="2" xfId="0" applyNumberFormat="1" applyFont="1" applyFill="1" applyBorder="1"/>
    <xf numFmtId="0" fontId="23" fillId="9" borderId="2" xfId="0" applyFont="1" applyFill="1" applyBorder="1" applyAlignment="1">
      <alignment horizontal="right"/>
    </xf>
    <xf numFmtId="3" fontId="22" fillId="9" borderId="2" xfId="17" applyNumberFormat="1" applyFont="1" applyFill="1" applyBorder="1"/>
    <xf numFmtId="0" fontId="0" fillId="0" borderId="2" xfId="0" applyBorder="1"/>
    <xf numFmtId="0" fontId="10" fillId="0" borderId="2" xfId="0" applyFont="1" applyBorder="1"/>
    <xf numFmtId="0" fontId="12" fillId="0" borderId="2" xfId="0" applyFont="1" applyBorder="1"/>
    <xf numFmtId="164" fontId="27" fillId="5" borderId="2" xfId="1" applyNumberFormat="1" applyFont="1" applyFill="1" applyBorder="1" applyAlignment="1">
      <alignment vertical="center"/>
    </xf>
    <xf numFmtId="164" fontId="19" fillId="5" borderId="2" xfId="1" applyNumberFormat="1" applyFont="1" applyFill="1" applyBorder="1"/>
    <xf numFmtId="0" fontId="0" fillId="7" borderId="2" xfId="0" applyFill="1" applyBorder="1"/>
    <xf numFmtId="0" fontId="10" fillId="15" borderId="0" xfId="0" applyFont="1" applyFill="1" applyBorder="1"/>
    <xf numFmtId="0" fontId="10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33" fillId="9" borderId="5" xfId="0" applyFont="1" applyFill="1" applyBorder="1"/>
    <xf numFmtId="0" fontId="34" fillId="9" borderId="5" xfId="0" applyFont="1" applyFill="1" applyBorder="1" applyAlignment="1">
      <alignment horizontal="left"/>
    </xf>
    <xf numFmtId="0" fontId="34" fillId="9" borderId="5" xfId="0" applyFont="1" applyFill="1" applyBorder="1"/>
    <xf numFmtId="0" fontId="33" fillId="16" borderId="5" xfId="13" applyFont="1" applyFill="1" applyBorder="1" applyAlignment="1">
      <alignment vertical="center"/>
    </xf>
    <xf numFmtId="0" fontId="33" fillId="16" borderId="5" xfId="13" applyFont="1" applyFill="1" applyBorder="1" applyAlignment="1">
      <alignment horizontal="left" vertical="center"/>
    </xf>
    <xf numFmtId="165" fontId="33" fillId="16" borderId="5" xfId="13" applyNumberFormat="1" applyFont="1" applyFill="1" applyBorder="1" applyAlignment="1">
      <alignment horizontal="center" vertical="center"/>
    </xf>
    <xf numFmtId="0" fontId="33" fillId="16" borderId="5" xfId="0" applyFont="1" applyFill="1" applyBorder="1"/>
    <xf numFmtId="0" fontId="33" fillId="16" borderId="5" xfId="13" applyFont="1" applyFill="1" applyBorder="1" applyAlignment="1">
      <alignment horizontal="center" vertical="center"/>
    </xf>
    <xf numFmtId="168" fontId="32" fillId="12" borderId="5" xfId="3" applyNumberFormat="1" applyFont="1" applyFill="1" applyBorder="1" applyAlignment="1">
      <alignment horizontal="left" vertical="center"/>
    </xf>
    <xf numFmtId="168" fontId="32" fillId="12" borderId="5" xfId="3" applyNumberFormat="1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/>
    </xf>
    <xf numFmtId="0" fontId="33" fillId="9" borderId="5" xfId="13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 indent="1"/>
    </xf>
    <xf numFmtId="0" fontId="33" fillId="9" borderId="5" xfId="0" applyFont="1" applyFill="1" applyBorder="1" applyAlignment="1">
      <alignment horizontal="left"/>
    </xf>
    <xf numFmtId="164" fontId="33" fillId="9" borderId="5" xfId="1" applyNumberFormat="1" applyFont="1" applyFill="1" applyBorder="1"/>
    <xf numFmtId="164" fontId="33" fillId="12" borderId="5" xfId="1" applyNumberFormat="1" applyFont="1" applyFill="1" applyBorder="1"/>
    <xf numFmtId="164" fontId="33" fillId="12" borderId="5" xfId="1" applyNumberFormat="1" applyFont="1" applyFill="1" applyBorder="1" applyAlignment="1">
      <alignment horizontal="left" indent="2"/>
    </xf>
    <xf numFmtId="0" fontId="0" fillId="0" borderId="5" xfId="0" applyBorder="1"/>
    <xf numFmtId="0" fontId="0" fillId="0" borderId="6" xfId="0"/>
    <xf numFmtId="0" fontId="38" fillId="9" borderId="7" xfId="0" applyFont="1" applyFill="1" applyBorder="1"/>
    <xf numFmtId="0" fontId="35" fillId="9" borderId="7" xfId="0" applyFont="1" applyFill="1" applyBorder="1" applyAlignment="1">
      <alignment horizontal="left"/>
    </xf>
    <xf numFmtId="0" fontId="35" fillId="9" borderId="7" xfId="0" applyFont="1" applyFill="1" applyBorder="1"/>
    <xf numFmtId="0" fontId="38" fillId="16" borderId="7" xfId="13" applyFont="1" applyFill="1" applyBorder="1" applyAlignment="1">
      <alignment vertical="center"/>
    </xf>
    <xf numFmtId="0" fontId="38" fillId="16" borderId="7" xfId="13" applyFont="1" applyFill="1" applyBorder="1" applyAlignment="1">
      <alignment horizontal="left" vertical="center"/>
    </xf>
    <xf numFmtId="165" fontId="38" fillId="16" borderId="7" xfId="13" applyNumberFormat="1" applyFont="1" applyFill="1" applyBorder="1" applyAlignment="1">
      <alignment horizontal="right" vertical="center"/>
    </xf>
    <xf numFmtId="165" fontId="38" fillId="16" borderId="7" xfId="13" applyNumberFormat="1" applyFont="1" applyFill="1" applyBorder="1" applyAlignment="1">
      <alignment horizontal="center" vertical="center"/>
    </xf>
    <xf numFmtId="0" fontId="38" fillId="16" borderId="7" xfId="0" applyFont="1" applyFill="1" applyBorder="1"/>
    <xf numFmtId="0" fontId="38" fillId="16" borderId="7" xfId="13" applyFont="1" applyFill="1" applyBorder="1" applyAlignment="1">
      <alignment horizontal="right" vertical="center"/>
    </xf>
    <xf numFmtId="0" fontId="38" fillId="16" borderId="7" xfId="13" applyFont="1" applyFill="1" applyBorder="1" applyAlignment="1">
      <alignment horizontal="center" vertical="center"/>
    </xf>
    <xf numFmtId="168" fontId="39" fillId="12" borderId="7" xfId="3" applyNumberFormat="1" applyFont="1" applyFill="1" applyBorder="1" applyAlignment="1">
      <alignment horizontal="left" vertical="center"/>
    </xf>
    <xf numFmtId="168" fontId="39" fillId="12" borderId="7" xfId="3" applyNumberFormat="1" applyFont="1" applyFill="1" applyBorder="1" applyAlignment="1">
      <alignment vertical="center"/>
    </xf>
    <xf numFmtId="0" fontId="38" fillId="12" borderId="7" xfId="0" applyFont="1" applyFill="1" applyBorder="1"/>
    <xf numFmtId="0" fontId="38" fillId="12" borderId="7" xfId="13" applyFont="1" applyFill="1" applyBorder="1" applyAlignment="1">
      <alignment horizontal="left" vertical="center"/>
    </xf>
    <xf numFmtId="0" fontId="38" fillId="12" borderId="7" xfId="13" applyFont="1" applyFill="1" applyBorder="1" applyAlignment="1">
      <alignment vertical="center"/>
    </xf>
    <xf numFmtId="0" fontId="38" fillId="9" borderId="7" xfId="13" applyFont="1" applyFill="1" applyBorder="1" applyAlignment="1">
      <alignment horizontal="left" vertical="center"/>
    </xf>
    <xf numFmtId="9" fontId="38" fillId="11" borderId="7" xfId="3" applyFont="1" applyFill="1" applyBorder="1"/>
    <xf numFmtId="0" fontId="38" fillId="5" borderId="7" xfId="0" applyFont="1" applyFill="1" applyBorder="1"/>
    <xf numFmtId="0" fontId="38" fillId="9" borderId="7" xfId="13" applyFont="1" applyFill="1" applyBorder="1" applyAlignment="1">
      <alignment vertical="center"/>
    </xf>
    <xf numFmtId="0" fontId="38" fillId="9" borderId="7" xfId="13" applyFont="1" applyFill="1" applyBorder="1" applyAlignment="1">
      <alignment horizontal="left" vertical="center" indent="1"/>
    </xf>
    <xf numFmtId="168" fontId="38" fillId="11" borderId="7" xfId="0" applyNumberFormat="1" applyFont="1" applyFill="1" applyBorder="1"/>
    <xf numFmtId="9" fontId="38" fillId="11" borderId="7" xfId="0" applyNumberFormat="1" applyFont="1" applyFill="1" applyBorder="1"/>
    <xf numFmtId="0" fontId="38" fillId="9" borderId="7" xfId="0" applyFont="1" applyFill="1" applyBorder="1" applyAlignment="1">
      <alignment horizontal="left"/>
    </xf>
    <xf numFmtId="168" fontId="39" fillId="9" borderId="7" xfId="3" applyNumberFormat="1" applyFont="1" applyFill="1" applyBorder="1" applyAlignment="1">
      <alignment horizontal="left" vertical="center"/>
    </xf>
    <xf numFmtId="168" fontId="39" fillId="9" borderId="7" xfId="3" applyNumberFormat="1" applyFont="1" applyFill="1" applyBorder="1" applyAlignment="1">
      <alignment horizontal="center" vertical="center"/>
    </xf>
    <xf numFmtId="0" fontId="38" fillId="9" borderId="7" xfId="0" applyFont="1" applyFill="1" applyBorder="1" applyAlignment="1">
      <alignment horizontal="center"/>
    </xf>
    <xf numFmtId="0" fontId="38" fillId="9" borderId="7" xfId="13" applyFont="1" applyFill="1" applyBorder="1" applyAlignment="1">
      <alignment horizontal="center" vertical="center"/>
    </xf>
    <xf numFmtId="0" fontId="38" fillId="9" borderId="7" xfId="13" applyFont="1" applyFill="1" applyBorder="1" applyAlignment="1">
      <alignment horizontal="right" vertical="center"/>
    </xf>
    <xf numFmtId="174" fontId="38" fillId="9" borderId="7" xfId="13" applyNumberFormat="1" applyFont="1" applyFill="1" applyBorder="1" applyAlignment="1">
      <alignment horizontal="right" vertical="center"/>
    </xf>
    <xf numFmtId="0" fontId="38" fillId="12" borderId="7" xfId="13" applyFont="1" applyFill="1" applyBorder="1" applyAlignment="1">
      <alignment horizontal="left" vertical="center" indent="1"/>
    </xf>
    <xf numFmtId="164" fontId="38" fillId="9" borderId="7" xfId="1" applyNumberFormat="1" applyFont="1" applyFill="1" applyBorder="1" applyAlignment="1">
      <alignment vertical="center"/>
    </xf>
    <xf numFmtId="0" fontId="38" fillId="12" borderId="7" xfId="13" applyFont="1" applyFill="1" applyBorder="1" applyAlignment="1">
      <alignment horizontal="right" vertical="center"/>
    </xf>
    <xf numFmtId="164" fontId="41" fillId="11" borderId="8" xfId="1" applyNumberFormat="1" applyFont="1" applyFill="1" applyBorder="1" applyAlignment="1">
      <alignment vertical="center"/>
    </xf>
    <xf numFmtId="164" fontId="41" fillId="14" borderId="8" xfId="1" applyNumberFormat="1" applyFont="1" applyFill="1" applyBorder="1" applyAlignment="1">
      <alignment vertical="center"/>
    </xf>
    <xf numFmtId="164" fontId="41" fillId="9" borderId="8" xfId="1" applyNumberFormat="1" applyFont="1" applyFill="1" applyBorder="1" applyAlignment="1">
      <alignment vertical="center"/>
    </xf>
    <xf numFmtId="0" fontId="38" fillId="12" borderId="7" xfId="0" applyFont="1" applyFill="1" applyBorder="1" applyAlignment="1">
      <alignment horizontal="left"/>
    </xf>
    <xf numFmtId="164" fontId="38" fillId="9" borderId="7" xfId="1" applyNumberFormat="1" applyFont="1" applyFill="1" applyBorder="1" applyAlignment="1">
      <alignment horizontal="center"/>
    </xf>
    <xf numFmtId="0" fontId="38" fillId="5" borderId="7" xfId="0" applyFont="1" applyFill="1" applyBorder="1" applyAlignment="1">
      <alignment horizontal="center"/>
    </xf>
    <xf numFmtId="164" fontId="38" fillId="5" borderId="7" xfId="1" applyNumberFormat="1" applyFont="1" applyFill="1" applyBorder="1" applyAlignment="1">
      <alignment horizontal="center"/>
    </xf>
    <xf numFmtId="11" fontId="38" fillId="5" borderId="7" xfId="0" applyNumberFormat="1" applyFont="1" applyFill="1" applyBorder="1" applyAlignment="1">
      <alignment horizontal="center"/>
    </xf>
    <xf numFmtId="0" fontId="38" fillId="12" borderId="7" xfId="0" applyFont="1" applyFill="1" applyBorder="1" applyAlignment="1">
      <alignment horizontal="right"/>
    </xf>
    <xf numFmtId="164" fontId="38" fillId="14" borderId="7" xfId="1" applyNumberFormat="1" applyFont="1" applyFill="1" applyBorder="1" applyAlignment="1">
      <alignment horizontal="center"/>
    </xf>
    <xf numFmtId="0" fontId="38" fillId="9" borderId="7" xfId="13" applyFont="1" applyFill="1" applyBorder="1" applyAlignment="1">
      <alignment horizontal="right" indent="1"/>
    </xf>
    <xf numFmtId="0" fontId="38" fillId="9" borderId="7" xfId="13" applyFont="1" applyFill="1" applyBorder="1" applyAlignment="1">
      <alignment horizontal="left"/>
    </xf>
    <xf numFmtId="0" fontId="38" fillId="9" borderId="7" xfId="13" applyFont="1" applyFill="1" applyBorder="1" applyAlignment="1">
      <alignment horizontal="left" indent="1"/>
    </xf>
    <xf numFmtId="4" fontId="38" fillId="9" borderId="7" xfId="0" applyNumberFormat="1" applyFont="1" applyFill="1" applyBorder="1"/>
    <xf numFmtId="0" fontId="38" fillId="12" borderId="7" xfId="13" applyFont="1" applyFill="1" applyBorder="1" applyAlignment="1">
      <alignment horizontal="left" indent="1"/>
    </xf>
    <xf numFmtId="0" fontId="38" fillId="12" borderId="7" xfId="13" applyFont="1" applyFill="1" applyBorder="1" applyAlignment="1">
      <alignment horizontal="left"/>
    </xf>
    <xf numFmtId="164" fontId="38" fillId="5" borderId="7" xfId="1" applyNumberFormat="1" applyFont="1" applyFill="1" applyBorder="1" applyAlignment="1">
      <alignment vertical="center"/>
    </xf>
    <xf numFmtId="0" fontId="38" fillId="12" borderId="7" xfId="0" applyFont="1" applyFill="1" applyBorder="1" applyAlignment="1">
      <alignment horizontal="left" indent="1"/>
    </xf>
    <xf numFmtId="164" fontId="38" fillId="5" borderId="7" xfId="0" applyNumberFormat="1" applyFont="1" applyFill="1" applyBorder="1"/>
    <xf numFmtId="164" fontId="38" fillId="9" borderId="7" xfId="0" applyNumberFormat="1" applyFont="1" applyFill="1" applyBorder="1"/>
    <xf numFmtId="43" fontId="38" fillId="12" borderId="7" xfId="1" applyFont="1" applyFill="1" applyBorder="1"/>
    <xf numFmtId="43" fontId="38" fillId="12" borderId="7" xfId="1" applyFont="1" applyFill="1" applyBorder="1" applyAlignment="1">
      <alignment horizontal="left"/>
    </xf>
    <xf numFmtId="43" fontId="38" fillId="9" borderId="7" xfId="1" applyFont="1" applyFill="1" applyBorder="1" applyAlignment="1">
      <alignment horizontal="left"/>
    </xf>
    <xf numFmtId="43" fontId="38" fillId="9" borderId="7" xfId="1" applyFont="1" applyFill="1" applyBorder="1"/>
    <xf numFmtId="43" fontId="38" fillId="5" borderId="7" xfId="1" applyFont="1" applyFill="1" applyBorder="1"/>
    <xf numFmtId="164" fontId="38" fillId="14" borderId="7" xfId="1" applyNumberFormat="1" applyFont="1" applyFill="1" applyBorder="1" applyAlignment="1">
      <alignment vertical="center"/>
    </xf>
    <xf numFmtId="164" fontId="38" fillId="11" borderId="7" xfId="1" applyNumberFormat="1" applyFont="1" applyFill="1" applyBorder="1" applyAlignment="1">
      <alignment vertical="center"/>
    </xf>
    <xf numFmtId="164" fontId="38" fillId="9" borderId="7" xfId="1" applyNumberFormat="1" applyFont="1" applyFill="1" applyBorder="1"/>
    <xf numFmtId="164" fontId="38" fillId="11" borderId="7" xfId="1" applyNumberFormat="1" applyFont="1" applyFill="1" applyBorder="1" applyAlignment="1">
      <alignment horizontal="right" vertical="center"/>
    </xf>
    <xf numFmtId="164" fontId="38" fillId="14" borderId="7" xfId="1" applyNumberFormat="1" applyFont="1" applyFill="1" applyBorder="1" applyAlignment="1">
      <alignment horizontal="right" vertical="center"/>
    </xf>
    <xf numFmtId="164" fontId="38" fillId="9" borderId="7" xfId="1" applyNumberFormat="1" applyFont="1" applyFill="1" applyBorder="1" applyAlignment="1">
      <alignment horizontal="right" vertical="center"/>
    </xf>
    <xf numFmtId="4" fontId="38" fillId="9" borderId="7" xfId="1" applyNumberFormat="1" applyFont="1" applyFill="1" applyBorder="1" applyAlignment="1">
      <alignment horizontal="center"/>
    </xf>
    <xf numFmtId="9" fontId="38" fillId="9" borderId="7" xfId="3" applyFont="1" applyFill="1" applyBorder="1" applyAlignment="1">
      <alignment horizontal="center"/>
    </xf>
    <xf numFmtId="0" fontId="42" fillId="12" borderId="7" xfId="0" applyFont="1" applyFill="1" applyBorder="1"/>
    <xf numFmtId="0" fontId="42" fillId="12" borderId="7" xfId="0" applyFont="1" applyFill="1" applyBorder="1" applyAlignment="1">
      <alignment horizontal="left"/>
    </xf>
    <xf numFmtId="0" fontId="42" fillId="9" borderId="7" xfId="0" applyFont="1" applyFill="1" applyBorder="1" applyAlignment="1">
      <alignment horizontal="left"/>
    </xf>
    <xf numFmtId="9" fontId="42" fillId="14" borderId="7" xfId="3" applyFont="1" applyFill="1" applyBorder="1"/>
    <xf numFmtId="9" fontId="42" fillId="9" borderId="7" xfId="3" applyFont="1" applyFill="1" applyBorder="1"/>
    <xf numFmtId="9" fontId="42" fillId="9" borderId="7" xfId="3" applyFont="1" applyFill="1" applyBorder="1" applyAlignment="1">
      <alignment horizontal="center"/>
    </xf>
    <xf numFmtId="9" fontId="42" fillId="9" borderId="7" xfId="0" applyNumberFormat="1" applyFont="1" applyFill="1" applyBorder="1" applyAlignment="1">
      <alignment horizontal="center"/>
    </xf>
    <xf numFmtId="9" fontId="42" fillId="9" borderId="7" xfId="0" applyNumberFormat="1" applyFont="1" applyFill="1" applyBorder="1"/>
    <xf numFmtId="0" fontId="42" fillId="9" borderId="7" xfId="0" applyFont="1" applyFill="1" applyBorder="1"/>
    <xf numFmtId="10" fontId="42" fillId="9" borderId="7" xfId="1" applyNumberFormat="1" applyFont="1" applyFill="1" applyBorder="1"/>
    <xf numFmtId="4" fontId="42" fillId="9" borderId="7" xfId="3" applyNumberFormat="1" applyFont="1" applyFill="1" applyBorder="1"/>
    <xf numFmtId="164" fontId="38" fillId="12" borderId="7" xfId="1" applyNumberFormat="1" applyFont="1" applyFill="1" applyBorder="1" applyAlignment="1">
      <alignment horizontal="right"/>
    </xf>
    <xf numFmtId="164" fontId="38" fillId="12" borderId="7" xfId="1" applyNumberFormat="1" applyFont="1" applyFill="1" applyBorder="1"/>
    <xf numFmtId="164" fontId="38" fillId="5" borderId="7" xfId="1" applyNumberFormat="1" applyFont="1" applyFill="1" applyBorder="1"/>
    <xf numFmtId="0" fontId="42" fillId="9" borderId="7" xfId="0" applyFont="1" applyFill="1" applyBorder="1" applyAlignment="1">
      <alignment horizontal="right"/>
    </xf>
    <xf numFmtId="164" fontId="42" fillId="9" borderId="7" xfId="3" applyNumberFormat="1" applyFont="1" applyFill="1" applyBorder="1"/>
    <xf numFmtId="3" fontId="42" fillId="9" borderId="7" xfId="3" applyNumberFormat="1" applyFont="1" applyFill="1" applyBorder="1"/>
    <xf numFmtId="0" fontId="42" fillId="12" borderId="7" xfId="0" applyFont="1" applyFill="1" applyBorder="1" applyAlignment="1">
      <alignment horizontal="right"/>
    </xf>
    <xf numFmtId="164" fontId="42" fillId="11" borderId="7" xfId="1" applyNumberFormat="1" applyFont="1" applyFill="1" applyBorder="1"/>
    <xf numFmtId="164" fontId="42" fillId="14" borderId="7" xfId="1" applyNumberFormat="1" applyFont="1" applyFill="1" applyBorder="1"/>
    <xf numFmtId="164" fontId="42" fillId="9" borderId="7" xfId="1" applyNumberFormat="1" applyFont="1" applyFill="1" applyBorder="1"/>
    <xf numFmtId="164" fontId="43" fillId="9" borderId="8" xfId="3" applyNumberFormat="1" applyFont="1" applyFill="1" applyBorder="1"/>
    <xf numFmtId="164" fontId="43" fillId="14" borderId="8" xfId="3" applyNumberFormat="1" applyFont="1" applyFill="1" applyBorder="1"/>
    <xf numFmtId="9" fontId="38" fillId="9" borderId="7" xfId="3" applyFont="1" applyFill="1" applyBorder="1"/>
    <xf numFmtId="9" fontId="38" fillId="9" borderId="7" xfId="0" applyNumberFormat="1" applyFont="1" applyFill="1" applyBorder="1" applyAlignment="1">
      <alignment horizontal="center"/>
    </xf>
    <xf numFmtId="9" fontId="38" fillId="9" borderId="7" xfId="0" applyNumberFormat="1" applyFont="1" applyFill="1" applyBorder="1"/>
    <xf numFmtId="164" fontId="41" fillId="9" borderId="8" xfId="1" applyNumberFormat="1" applyFont="1" applyFill="1" applyBorder="1"/>
    <xf numFmtId="164" fontId="41" fillId="14" borderId="8" xfId="1" applyNumberFormat="1" applyFont="1" applyFill="1" applyBorder="1"/>
    <xf numFmtId="0" fontId="38" fillId="9" borderId="7" xfId="0" applyFont="1" applyFill="1" applyBorder="1" applyAlignment="1">
      <alignment horizontal="right"/>
    </xf>
    <xf numFmtId="3" fontId="38" fillId="9" borderId="7" xfId="0" applyNumberFormat="1" applyFont="1" applyFill="1" applyBorder="1"/>
    <xf numFmtId="164" fontId="41" fillId="9" borderId="8" xfId="0" applyNumberFormat="1" applyFont="1" applyFill="1" applyBorder="1"/>
    <xf numFmtId="164" fontId="41" fillId="14" borderId="8" xfId="0" applyNumberFormat="1" applyFont="1" applyFill="1" applyBorder="1"/>
    <xf numFmtId="164" fontId="38" fillId="9" borderId="7" xfId="1" applyNumberFormat="1" applyFont="1" applyFill="1" applyBorder="1" applyAlignment="1">
      <alignment horizontal="left"/>
    </xf>
    <xf numFmtId="3" fontId="35" fillId="9" borderId="7" xfId="0" applyNumberFormat="1" applyFont="1" applyFill="1" applyBorder="1"/>
    <xf numFmtId="0" fontId="37" fillId="9" borderId="7" xfId="0" applyFont="1" applyFill="1" applyBorder="1" applyAlignment="1">
      <alignment horizontal="center"/>
    </xf>
    <xf numFmtId="0" fontId="35" fillId="12" borderId="7" xfId="0" applyFont="1" applyFill="1" applyBorder="1"/>
    <xf numFmtId="164" fontId="38" fillId="11" borderId="7" xfId="1" applyNumberFormat="1" applyFont="1" applyFill="1" applyBorder="1"/>
    <xf numFmtId="0" fontId="35" fillId="12" borderId="7" xfId="0" applyFont="1" applyFill="1" applyBorder="1" applyAlignment="1">
      <alignment horizontal="left"/>
    </xf>
    <xf numFmtId="164" fontId="40" fillId="9" borderId="8" xfId="0" applyNumberFormat="1" applyFont="1" applyFill="1" applyBorder="1"/>
    <xf numFmtId="164" fontId="40" fillId="14" borderId="8" xfId="0" applyNumberFormat="1" applyFont="1" applyFill="1" applyBorder="1"/>
    <xf numFmtId="0" fontId="35" fillId="9" borderId="7" xfId="13" applyFont="1" applyFill="1" applyBorder="1" applyAlignment="1">
      <alignment vertical="center"/>
    </xf>
    <xf numFmtId="168" fontId="36" fillId="9" borderId="7" xfId="3" applyNumberFormat="1" applyFont="1" applyFill="1" applyBorder="1" applyAlignment="1">
      <alignment horizontal="center" vertical="center"/>
    </xf>
    <xf numFmtId="0" fontId="35" fillId="16" borderId="7" xfId="13" applyFont="1" applyFill="1" applyBorder="1" applyAlignment="1">
      <alignment vertical="center"/>
    </xf>
    <xf numFmtId="165" fontId="35" fillId="16" borderId="7" xfId="13" applyNumberFormat="1" applyFont="1" applyFill="1" applyBorder="1" applyAlignment="1">
      <alignment horizontal="center" vertical="center"/>
    </xf>
    <xf numFmtId="0" fontId="35" fillId="16" borderId="7" xfId="13" applyFont="1" applyFill="1" applyBorder="1" applyAlignment="1">
      <alignment horizontal="center" vertical="center"/>
    </xf>
    <xf numFmtId="174" fontId="35" fillId="16" borderId="7" xfId="13" applyNumberFormat="1" applyFont="1" applyFill="1" applyBorder="1" applyAlignment="1">
      <alignment horizontal="center" vertical="center"/>
    </xf>
    <xf numFmtId="174" fontId="35" fillId="16" borderId="7" xfId="13" applyNumberFormat="1" applyFont="1" applyFill="1" applyBorder="1" applyAlignment="1">
      <alignment horizontal="right" vertical="center"/>
    </xf>
    <xf numFmtId="0" fontId="35" fillId="9" borderId="7" xfId="13" applyFont="1" applyFill="1" applyBorder="1" applyAlignment="1">
      <alignment horizontal="center" vertical="center"/>
    </xf>
    <xf numFmtId="174" fontId="35" fillId="9" borderId="7" xfId="13" applyNumberFormat="1" applyFont="1" applyFill="1" applyBorder="1" applyAlignment="1">
      <alignment horizontal="center" vertical="center"/>
    </xf>
    <xf numFmtId="174" fontId="35" fillId="9" borderId="7" xfId="13" applyNumberFormat="1" applyFont="1" applyFill="1" applyBorder="1" applyAlignment="1">
      <alignment horizontal="right" vertical="center"/>
    </xf>
    <xf numFmtId="0" fontId="35" fillId="12" borderId="7" xfId="13" applyFont="1" applyFill="1" applyBorder="1" applyAlignment="1">
      <alignment vertical="center"/>
    </xf>
    <xf numFmtId="164" fontId="35" fillId="9" borderId="7" xfId="13" applyNumberFormat="1" applyFont="1" applyFill="1" applyBorder="1" applyAlignment="1">
      <alignment vertical="center"/>
    </xf>
    <xf numFmtId="164" fontId="35" fillId="11" borderId="7" xfId="1" applyNumberFormat="1" applyFont="1" applyFill="1" applyBorder="1" applyAlignment="1">
      <alignment vertical="center"/>
    </xf>
    <xf numFmtId="164" fontId="35" fillId="5" borderId="7" xfId="1" applyNumberFormat="1" applyFont="1" applyFill="1" applyBorder="1" applyAlignment="1">
      <alignment vertical="center"/>
    </xf>
    <xf numFmtId="164" fontId="35" fillId="9" borderId="7" xfId="1" applyNumberFormat="1" applyFont="1" applyFill="1" applyBorder="1" applyAlignment="1">
      <alignment vertical="center"/>
    </xf>
    <xf numFmtId="164" fontId="35" fillId="12" borderId="7" xfId="1" applyNumberFormat="1" applyFont="1" applyFill="1" applyBorder="1" applyAlignment="1">
      <alignment vertical="center"/>
    </xf>
    <xf numFmtId="168" fontId="38" fillId="9" borderId="7" xfId="0" applyNumberFormat="1" applyFont="1" applyFill="1" applyBorder="1" applyAlignment="1">
      <alignment horizontal="center"/>
    </xf>
    <xf numFmtId="9" fontId="35" fillId="9" borderId="7" xfId="0" applyNumberFormat="1" applyFont="1" applyFill="1" applyBorder="1"/>
    <xf numFmtId="10" fontId="35" fillId="9" borderId="7" xfId="0" applyNumberFormat="1" applyFont="1" applyFill="1" applyBorder="1"/>
    <xf numFmtId="43" fontId="35" fillId="9" borderId="7" xfId="1" applyFont="1" applyFill="1" applyBorder="1" applyAlignment="1">
      <alignment vertical="center"/>
    </xf>
    <xf numFmtId="168" fontId="35" fillId="9" borderId="7" xfId="0" applyNumberFormat="1" applyFont="1" applyFill="1" applyBorder="1"/>
    <xf numFmtId="0" fontId="35" fillId="12" borderId="7" xfId="13" applyFont="1" applyFill="1" applyBorder="1" applyAlignment="1">
      <alignment horizontal="right" vertical="center"/>
    </xf>
    <xf numFmtId="164" fontId="35" fillId="14" borderId="7" xfId="1" applyNumberFormat="1" applyFont="1" applyFill="1" applyBorder="1" applyAlignment="1">
      <alignment vertical="center"/>
    </xf>
    <xf numFmtId="4" fontId="37" fillId="9" borderId="7" xfId="0" applyNumberFormat="1" applyFont="1" applyFill="1" applyBorder="1" applyAlignment="1">
      <alignment horizontal="center"/>
    </xf>
    <xf numFmtId="0" fontId="35" fillId="5" borderId="7" xfId="0" applyFont="1" applyFill="1" applyBorder="1"/>
    <xf numFmtId="164" fontId="35" fillId="5" borderId="7" xfId="1" applyNumberFormat="1" applyFont="1" applyFill="1" applyBorder="1"/>
    <xf numFmtId="164" fontId="35" fillId="9" borderId="7" xfId="1" applyNumberFormat="1" applyFont="1" applyFill="1" applyBorder="1"/>
    <xf numFmtId="164" fontId="35" fillId="14" borderId="7" xfId="1" applyNumberFormat="1" applyFont="1" applyFill="1" applyBorder="1"/>
    <xf numFmtId="10" fontId="37" fillId="9" borderId="7" xfId="0" applyNumberFormat="1" applyFont="1" applyFill="1" applyBorder="1" applyAlignment="1">
      <alignment horizontal="center"/>
    </xf>
    <xf numFmtId="9" fontId="35" fillId="9" borderId="7" xfId="1" applyNumberFormat="1" applyFont="1" applyFill="1" applyBorder="1" applyAlignment="1">
      <alignment vertical="center"/>
    </xf>
    <xf numFmtId="0" fontId="38" fillId="9" borderId="7" xfId="0" applyFont="1" applyFill="1" applyBorder="1" applyAlignment="1">
      <alignment horizontal="centerContinuous"/>
    </xf>
    <xf numFmtId="164" fontId="35" fillId="14" borderId="7" xfId="0" applyNumberFormat="1" applyFont="1" applyFill="1" applyBorder="1"/>
    <xf numFmtId="43" fontId="35" fillId="9" borderId="7" xfId="0" applyNumberFormat="1" applyFont="1" applyFill="1" applyBorder="1"/>
    <xf numFmtId="43" fontId="35" fillId="14" borderId="7" xfId="0" applyNumberFormat="1" applyFont="1" applyFill="1" applyBorder="1"/>
    <xf numFmtId="164" fontId="38" fillId="14" borderId="7" xfId="1" applyNumberFormat="1" applyFont="1" applyFill="1" applyBorder="1"/>
    <xf numFmtId="164" fontId="40" fillId="9" borderId="8" xfId="1" applyNumberFormat="1" applyFont="1" applyFill="1" applyBorder="1" applyAlignment="1">
      <alignment vertical="center"/>
    </xf>
    <xf numFmtId="164" fontId="40" fillId="14" borderId="8" xfId="1" applyNumberFormat="1" applyFont="1" applyFill="1" applyBorder="1" applyAlignment="1">
      <alignment vertical="center"/>
    </xf>
    <xf numFmtId="0" fontId="35" fillId="9" borderId="7" xfId="13" applyFont="1" applyFill="1" applyBorder="1" applyAlignment="1">
      <alignment horizontal="right" vertical="center"/>
    </xf>
    <xf numFmtId="9" fontId="38" fillId="14" borderId="7" xfId="3" applyFont="1" applyFill="1" applyBorder="1"/>
    <xf numFmtId="9" fontId="38" fillId="5" borderId="7" xfId="3" applyFont="1" applyFill="1" applyBorder="1"/>
    <xf numFmtId="168" fontId="35" fillId="9" borderId="7" xfId="1" applyNumberFormat="1" applyFont="1" applyFill="1" applyBorder="1" applyAlignment="1">
      <alignment vertical="center"/>
    </xf>
    <xf numFmtId="168" fontId="35" fillId="14" borderId="7" xfId="1" applyNumberFormat="1" applyFont="1" applyFill="1" applyBorder="1" applyAlignment="1">
      <alignment vertical="center"/>
    </xf>
    <xf numFmtId="0" fontId="35" fillId="12" borderId="7" xfId="13" applyFont="1" applyFill="1" applyBorder="1" applyAlignment="1">
      <alignment horizontal="left" vertical="center" indent="1"/>
    </xf>
    <xf numFmtId="0" fontId="35" fillId="12" borderId="7" xfId="13" applyFont="1" applyFill="1" applyBorder="1" applyAlignment="1">
      <alignment horizontal="left" vertical="center"/>
    </xf>
    <xf numFmtId="4" fontId="38" fillId="9" borderId="7" xfId="1" applyNumberFormat="1" applyFont="1" applyFill="1" applyBorder="1" applyAlignment="1">
      <alignment horizontal="centerContinuous"/>
    </xf>
    <xf numFmtId="4" fontId="38" fillId="9" borderId="7" xfId="1" applyNumberFormat="1" applyFont="1" applyFill="1" applyBorder="1"/>
    <xf numFmtId="164" fontId="35" fillId="9" borderId="7" xfId="0" applyNumberFormat="1" applyFont="1" applyFill="1" applyBorder="1"/>
    <xf numFmtId="10" fontId="38" fillId="9" borderId="7" xfId="0" applyNumberFormat="1" applyFont="1" applyFill="1" applyBorder="1"/>
    <xf numFmtId="10" fontId="38" fillId="11" borderId="7" xfId="0" applyNumberFormat="1" applyFont="1" applyFill="1" applyBorder="1"/>
    <xf numFmtId="0" fontId="38" fillId="16" borderId="7" xfId="0" applyFont="1" applyFill="1" applyBorder="1" applyAlignment="1">
      <alignment horizontal="center"/>
    </xf>
    <xf numFmtId="4" fontId="38" fillId="16" borderId="7" xfId="0" applyNumberFormat="1" applyFont="1" applyFill="1" applyBorder="1"/>
    <xf numFmtId="174" fontId="38" fillId="16" borderId="7" xfId="13" applyNumberFormat="1" applyFont="1" applyFill="1" applyBorder="1" applyAlignment="1">
      <alignment horizontal="center" vertical="center"/>
    </xf>
    <xf numFmtId="174" fontId="38" fillId="16" borderId="7" xfId="13" applyNumberFormat="1" applyFont="1" applyFill="1" applyBorder="1" applyAlignment="1">
      <alignment horizontal="right" vertical="center"/>
    </xf>
    <xf numFmtId="174" fontId="38" fillId="9" borderId="7" xfId="13" applyNumberFormat="1" applyFont="1" applyFill="1" applyBorder="1" applyAlignment="1">
      <alignment horizontal="center" vertical="center"/>
    </xf>
    <xf numFmtId="4" fontId="38" fillId="12" borderId="7" xfId="0" applyNumberFormat="1" applyFont="1" applyFill="1" applyBorder="1"/>
    <xf numFmtId="0" fontId="38" fillId="12" borderId="7" xfId="0" applyFont="1" applyFill="1" applyBorder="1" applyAlignment="1">
      <alignment vertical="top" wrapText="1"/>
    </xf>
    <xf numFmtId="3" fontId="38" fillId="5" borderId="7" xfId="0" applyNumberFormat="1" applyFont="1" applyFill="1" applyBorder="1"/>
    <xf numFmtId="44" fontId="38" fillId="5" borderId="7" xfId="2" applyFont="1" applyFill="1" applyBorder="1" applyAlignment="1">
      <alignment horizontal="right" vertical="top" wrapText="1"/>
    </xf>
    <xf numFmtId="164" fontId="38" fillId="5" borderId="7" xfId="1" applyNumberFormat="1" applyFont="1" applyFill="1" applyBorder="1" applyAlignment="1">
      <alignment horizontal="right" vertical="top" wrapText="1"/>
    </xf>
    <xf numFmtId="3" fontId="38" fillId="14" borderId="7" xfId="0" applyNumberFormat="1" applyFont="1" applyFill="1" applyBorder="1"/>
    <xf numFmtId="0" fontId="37" fillId="16" borderId="7" xfId="0" applyFont="1" applyFill="1" applyBorder="1" applyAlignment="1">
      <alignment horizontal="center"/>
    </xf>
    <xf numFmtId="168" fontId="35" fillId="12" borderId="7" xfId="0" applyNumberFormat="1" applyFont="1" applyFill="1" applyBorder="1"/>
    <xf numFmtId="166" fontId="38" fillId="5" borderId="7" xfId="2" applyNumberFormat="1" applyFont="1" applyFill="1" applyBorder="1" applyAlignment="1">
      <alignment horizontal="right" vertical="top" wrapText="1"/>
    </xf>
    <xf numFmtId="1" fontId="38" fillId="9" borderId="7" xfId="0" applyNumberFormat="1" applyFont="1" applyFill="1" applyBorder="1"/>
    <xf numFmtId="0" fontId="35" fillId="12" borderId="7" xfId="0" applyFont="1" applyFill="1" applyBorder="1" applyAlignment="1">
      <alignment horizontal="right"/>
    </xf>
    <xf numFmtId="0" fontId="35" fillId="9" borderId="7" xfId="0" applyFont="1" applyFill="1" applyBorder="1" applyAlignment="1">
      <alignment horizontal="right"/>
    </xf>
    <xf numFmtId="3" fontId="35" fillId="14" borderId="7" xfId="0" applyNumberFormat="1" applyFont="1" applyFill="1" applyBorder="1"/>
    <xf numFmtId="3" fontId="38" fillId="5" borderId="7" xfId="1" applyNumberFormat="1" applyFont="1" applyFill="1" applyBorder="1"/>
    <xf numFmtId="0" fontId="35" fillId="9" borderId="7" xfId="0" applyFont="1" applyFill="1" applyBorder="1" applyAlignment="1">
      <alignment horizontal="centerContinuous"/>
    </xf>
    <xf numFmtId="3" fontId="38" fillId="9" borderId="7" xfId="1" applyNumberFormat="1" applyFont="1" applyFill="1" applyBorder="1"/>
    <xf numFmtId="0" fontId="35" fillId="9" borderId="7" xfId="13" applyFont="1" applyFill="1" applyBorder="1" applyAlignment="1">
      <alignment horizontal="left" vertical="center" indent="1"/>
    </xf>
    <xf numFmtId="3" fontId="38" fillId="9" borderId="7" xfId="0" applyNumberFormat="1" applyFont="1" applyFill="1" applyBorder="1" applyAlignment="1">
      <alignment horizontal="center"/>
    </xf>
    <xf numFmtId="164" fontId="38" fillId="9" borderId="7" xfId="0" applyNumberFormat="1" applyFont="1" applyFill="1" applyBorder="1" applyAlignment="1">
      <alignment horizontal="center"/>
    </xf>
    <xf numFmtId="44" fontId="38" fillId="9" borderId="7" xfId="2" applyFont="1" applyFill="1" applyBorder="1" applyAlignment="1">
      <alignment horizontal="right" vertical="top" wrapText="1"/>
    </xf>
    <xf numFmtId="166" fontId="38" fillId="9" borderId="7" xfId="2" applyNumberFormat="1" applyFont="1" applyFill="1" applyBorder="1" applyAlignment="1">
      <alignment horizontal="right" vertical="top" wrapText="1"/>
    </xf>
    <xf numFmtId="0" fontId="35" fillId="9" borderId="7" xfId="13" applyFont="1" applyFill="1" applyBorder="1" applyAlignment="1">
      <alignment horizontal="right" vertical="center" indent="1"/>
    </xf>
    <xf numFmtId="4" fontId="38" fillId="9" borderId="7" xfId="0" applyNumberFormat="1" applyFont="1" applyFill="1" applyBorder="1" applyAlignment="1">
      <alignment horizontal="centerContinuous"/>
    </xf>
    <xf numFmtId="4" fontId="38" fillId="12" borderId="7" xfId="1" applyNumberFormat="1" applyFont="1" applyFill="1" applyBorder="1" applyAlignment="1">
      <alignment horizontal="center"/>
    </xf>
    <xf numFmtId="9" fontId="38" fillId="12" borderId="7" xfId="3" applyFont="1" applyFill="1" applyBorder="1" applyAlignment="1">
      <alignment horizontal="center"/>
    </xf>
    <xf numFmtId="9" fontId="38" fillId="5" borderId="7" xfId="3" applyFont="1" applyFill="1" applyBorder="1" applyAlignment="1">
      <alignment horizontal="center"/>
    </xf>
    <xf numFmtId="9" fontId="38" fillId="5" borderId="7" xfId="1" applyNumberFormat="1" applyFont="1" applyFill="1" applyBorder="1" applyAlignment="1">
      <alignment horizontal="center"/>
    </xf>
    <xf numFmtId="9" fontId="38" fillId="5" borderId="7" xfId="0" applyNumberFormat="1" applyFont="1" applyFill="1" applyBorder="1" applyAlignment="1">
      <alignment horizontal="center"/>
    </xf>
    <xf numFmtId="9" fontId="38" fillId="9" borderId="7" xfId="1" applyNumberFormat="1" applyFont="1" applyFill="1" applyBorder="1" applyAlignment="1">
      <alignment horizontal="center"/>
    </xf>
    <xf numFmtId="0" fontId="38" fillId="9" borderId="7" xfId="0" applyFont="1" applyFill="1" applyBorder="1" applyAlignment="1">
      <alignment horizontal="center"/>
    </xf>
    <xf numFmtId="0" fontId="38" fillId="9" borderId="7" xfId="0" applyFont="1" applyFill="1" applyBorder="1"/>
    <xf numFmtId="0" fontId="0" fillId="0" borderId="7" xfId="0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0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109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110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111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112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110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111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113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114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115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112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116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117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110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111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113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110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111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113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110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111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113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118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119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120</v>
      </c>
      <c r="B46" s="50">
        <f>+'c12_hm'!E60</f>
        <v>0</v>
      </c>
      <c r="C46" s="51">
        <f>+'c12_hm'!J60</f>
        <v>721136.47368421056</v>
      </c>
      <c r="D46" s="51">
        <f>+'c12_hm'!K60</f>
        <v>721136.47368421056</v>
      </c>
      <c r="E46" s="51">
        <f>+'c12_hm'!L60</f>
        <v>721136.47368421056</v>
      </c>
      <c r="F46" s="51">
        <f>+'c12_hm'!M60</f>
        <v>833991.73684210517</v>
      </c>
      <c r="G46" s="50">
        <f>+'c12_hm'!N60</f>
        <v>310715.78947368416</v>
      </c>
      <c r="H46" s="50">
        <f>+'c12_hm'!O60</f>
        <v>902637.28947368416</v>
      </c>
      <c r="I46" s="50">
        <f>+'c12_hm'!P60</f>
        <v>948110.97368421056</v>
      </c>
      <c r="J46" s="50">
        <f>+'c12_hm'!Q60</f>
        <v>2385063.6052631577</v>
      </c>
      <c r="K46" s="50">
        <f>+'c12_hm'!R60</f>
        <v>4592895.5273684207</v>
      </c>
      <c r="L46" s="50">
        <f>+'c12_hm'!S60</f>
        <v>6222237.0247684205</v>
      </c>
      <c r="M46" s="50">
        <f>+'c12_hm'!T60</f>
        <v>8981799.0470904205</v>
      </c>
      <c r="N46" s="50">
        <f>+'c12_hm'!U60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121</v>
      </c>
      <c r="B47" s="50">
        <f>+'c12_hm'!E70</f>
        <v>0</v>
      </c>
      <c r="C47" s="51">
        <f>+'c12_hm'!J70</f>
        <v>567056.47368421056</v>
      </c>
      <c r="D47" s="51">
        <f>+'c12_hm'!K70</f>
        <v>567056.47368421056</v>
      </c>
      <c r="E47" s="51">
        <f>+'c12_hm'!L70</f>
        <v>567056.47368421056</v>
      </c>
      <c r="F47" s="51">
        <f>+'c12_hm'!M70</f>
        <v>466916.73684210528</v>
      </c>
      <c r="G47" s="50">
        <f>+'c12_hm'!N70</f>
        <v>63035.789473684214</v>
      </c>
      <c r="H47" s="50">
        <f>+'c12_hm'!O70</f>
        <v>398173.6519736842</v>
      </c>
      <c r="I47" s="50">
        <f>+'c12_hm'!P70</f>
        <v>400447.33618421049</v>
      </c>
      <c r="J47" s="50">
        <f>+'c12_hm'!Q70</f>
        <v>662529.63026315777</v>
      </c>
      <c r="K47" s="50">
        <f>+'c12_hm'!R70</f>
        <v>1158059.7503684212</v>
      </c>
      <c r="L47" s="50">
        <f>+'c12_hm'!S70</f>
        <v>1728329.2744584209</v>
      </c>
      <c r="M47" s="50">
        <f>+'c12_hm'!T70</f>
        <v>2694175.9822711209</v>
      </c>
      <c r="N47" s="50">
        <f>+'c12_hm'!U70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122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123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124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125</v>
      </c>
      <c r="B55" s="50">
        <f>'c12_d&amp;s'!E60</f>
        <v>0</v>
      </c>
      <c r="C55" s="50">
        <f>'c12_d&amp;s'!J60</f>
        <v>218167.0789473684</v>
      </c>
      <c r="D55" s="50">
        <f>'c12_d&amp;s'!K60</f>
        <v>218167.0789473684</v>
      </c>
      <c r="E55" s="50">
        <f>'c12_d&amp;s'!L60</f>
        <v>788567.07894736843</v>
      </c>
      <c r="F55" s="50">
        <f>'c12_d&amp;s'!M60</f>
        <v>1041680.2368421053</v>
      </c>
      <c r="G55" s="50">
        <f>'c12_d&amp;s'!N60</f>
        <v>1735259.1270175439</v>
      </c>
      <c r="H55" s="50">
        <f>'c12_d&amp;s'!O60</f>
        <v>2473819.8070175434</v>
      </c>
      <c r="I55" s="50">
        <f>'c12_d&amp;s'!P60</f>
        <v>2205638.8070175434</v>
      </c>
      <c r="J55" s="50">
        <f>'c12_d&amp;s'!Q60</f>
        <v>5828630.333333333</v>
      </c>
      <c r="K55" s="50">
        <f>'c12_d&amp;s'!R60</f>
        <v>10772271.074385963</v>
      </c>
      <c r="L55" s="50">
        <f>'c12_d&amp;s'!S60</f>
        <v>7224030.4869192978</v>
      </c>
      <c r="M55" s="50">
        <f>'c12_d&amp;s'!T60</f>
        <v>4401398.0988952974</v>
      </c>
      <c r="N55" s="50">
        <f>'c12_d&amp;s'!U60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126</v>
      </c>
      <c r="B56" s="50">
        <f>'c12_d&amp;s'!E70</f>
        <v>0</v>
      </c>
      <c r="C56" s="50">
        <f>'c12_d&amp;s'!J70</f>
        <v>68839.328947368427</v>
      </c>
      <c r="D56" s="50">
        <f>'c12_d&amp;s'!K70</f>
        <v>68839.328947368427</v>
      </c>
      <c r="E56" s="50">
        <f>'c12_d&amp;s'!L70</f>
        <v>354039.32894736843</v>
      </c>
      <c r="F56" s="50">
        <f>'c12_d&amp;s'!M70</f>
        <v>462139.98684210528</v>
      </c>
      <c r="G56" s="50">
        <f>'c12_d&amp;s'!N70</f>
        <v>806580.95035087725</v>
      </c>
      <c r="H56" s="50">
        <f>'c12_d&amp;s'!O70</f>
        <v>1015405.0903508773</v>
      </c>
      <c r="I56" s="50">
        <f>'c12_d&amp;s'!P70</f>
        <v>935314.59035087726</v>
      </c>
      <c r="J56" s="50">
        <f>'c12_d&amp;s'!Q70</f>
        <v>2208920.6166666662</v>
      </c>
      <c r="K56" s="50">
        <f>'c12_d&amp;s'!R70</f>
        <v>3652224.3497192976</v>
      </c>
      <c r="L56" s="50">
        <f>'c12_d&amp;s'!S70</f>
        <v>2410340.1441059648</v>
      </c>
      <c r="M56" s="50">
        <f>'c12_d&amp;s'!T70</f>
        <v>1422418.8082975647</v>
      </c>
      <c r="N56" s="50">
        <f>'c12_d&amp;s'!U70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127</v>
      </c>
      <c r="B58" s="50">
        <f>'c12_oc'!E10</f>
        <v>2452451</v>
      </c>
      <c r="C58" s="50">
        <f>'c12_oc'!J10</f>
        <v>638700.01315789483</v>
      </c>
      <c r="D58" s="50">
        <f>'c12_oc'!K10</f>
        <v>638700.01315789483</v>
      </c>
      <c r="E58" s="50">
        <f>'c12_oc'!L10</f>
        <v>927158.96052631584</v>
      </c>
      <c r="F58" s="50">
        <f>'c12_oc'!M10</f>
        <v>937170.53947368427</v>
      </c>
      <c r="G58" s="50">
        <f>'c12_oc'!N10</f>
        <v>886331.47666666668</v>
      </c>
      <c r="H58" s="50">
        <f>'c12_oc'!O10</f>
        <v>1430293.4791666667</v>
      </c>
      <c r="I58" s="50">
        <f>'c12_oc'!P10</f>
        <v>1358160.8739035088</v>
      </c>
      <c r="J58" s="50">
        <f>'c12_oc'!Q10</f>
        <v>2898497.3521929821</v>
      </c>
      <c r="K58" s="50">
        <f>'c12_oc'!R10</f>
        <v>4916121.7316666665</v>
      </c>
      <c r="L58" s="50">
        <f>'c12_oc'!S10</f>
        <v>4276007.0501433332</v>
      </c>
      <c r="M58" s="50">
        <f>'c12_oc'!T10</f>
        <v>4253932.4221476335</v>
      </c>
      <c r="N58" s="50">
        <f>'c12_oc'!U10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128</v>
      </c>
      <c r="B59" s="65">
        <f>'c12_oc'!E88</f>
        <v>0</v>
      </c>
      <c r="C59" s="65">
        <f>'c12_oc'!J88</f>
        <v>995387.76315789472</v>
      </c>
      <c r="D59" s="65">
        <f>'c12_oc'!K88</f>
        <v>995387.76315789472</v>
      </c>
      <c r="E59" s="65">
        <f>'c12_oc'!L88</f>
        <v>1630966.7105263157</v>
      </c>
      <c r="F59" s="65">
        <f>'c12_oc'!M88</f>
        <v>2037948.289473684</v>
      </c>
      <c r="G59" s="65">
        <f>'c12_oc'!N88</f>
        <v>2200269.6533333333</v>
      </c>
      <c r="H59" s="65">
        <f>'c12_oc'!O88</f>
        <v>3530751.8333333326</v>
      </c>
      <c r="I59" s="65">
        <f>'c12_oc'!P88</f>
        <v>3421728.7280701748</v>
      </c>
      <c r="J59" s="65">
        <f>'c12_oc'!Q88</f>
        <v>8574636.0438596494</v>
      </c>
      <c r="K59" s="65">
        <f>'c12_oc'!R88</f>
        <v>16581919.233333331</v>
      </c>
      <c r="L59" s="65">
        <f>'c12_oc'!S88</f>
        <v>14753020.143266667</v>
      </c>
      <c r="M59" s="65">
        <f>'c12_oc'!T88</f>
        <v>14689949.777564667</v>
      </c>
      <c r="N59" s="65">
        <f>'c12_oc'!U88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129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130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131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132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133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134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130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135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136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137</v>
      </c>
      <c r="B77" s="50">
        <f>+lgh_other_assets!B45</f>
        <v>3570254</v>
      </c>
      <c r="C77" s="50">
        <f>+lgh_other_assets!C45</f>
        <v>2711111.3593421052</v>
      </c>
      <c r="D77" s="50">
        <f>+lgh_other_assets!D45</f>
        <v>4443815.7186842104</v>
      </c>
      <c r="E77" s="50">
        <f>+lgh_other_assets!E45</f>
        <v>3209312.1306578945</v>
      </c>
      <c r="F77" s="50">
        <f>+lgh_other_assets!F45</f>
        <v>2498709.9636842106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138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139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140</v>
      </c>
      <c r="B82" s="50">
        <f>lgh_oc!B73</f>
        <v>251128</v>
      </c>
      <c r="C82" s="50">
        <f>lgh_oc!C73</f>
        <v>2638220.073653758</v>
      </c>
      <c r="D82" s="50">
        <f>lgh_oc!D73</f>
        <v>-865586.31068834569</v>
      </c>
      <c r="E82" s="50">
        <f>lgh_oc!E73</f>
        <v>-2780612.8651896324</v>
      </c>
      <c r="F82" s="50">
        <f>lgh_oc!F73</f>
        <v>423023.87929552794</v>
      </c>
      <c r="G82" s="50">
        <f>lgh_oc!G73</f>
        <v>3775129.1987411212</v>
      </c>
      <c r="H82" s="50">
        <f>lgh_oc!H73</f>
        <v>9043183.9218983445</v>
      </c>
      <c r="I82" s="50">
        <f>lgh_oc!I73</f>
        <v>5481021.3190847524</v>
      </c>
      <c r="J82" s="50">
        <f>lgh_oc!J73</f>
        <v>1228060.51330576</v>
      </c>
      <c r="K82" s="50">
        <f>lgh_oc!K73</f>
        <v>4237821.3106101584</v>
      </c>
      <c r="L82" s="50">
        <f>lgh_oc!L73</f>
        <v>11526882.3945818</v>
      </c>
      <c r="M82" s="50">
        <f>lgh_oc!M73</f>
        <v>21344225.0110933</v>
      </c>
      <c r="N82" s="50">
        <f>lgh_oc!N73</f>
        <v>25998034.488410067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141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142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3265706.7462850194</v>
      </c>
      <c r="F86" s="50">
        <f>+lgh_ci!F11</f>
        <v>557522.5124405399</v>
      </c>
      <c r="G86" s="50">
        <f>+lgh_ci!G11</f>
        <v>2340027.0858091875</v>
      </c>
      <c r="H86" s="50">
        <f>+lgh_ci!H11</f>
        <v>5228919.1933369599</v>
      </c>
      <c r="I86" s="50">
        <f>+lgh_ci!I11</f>
        <v>8440699.596091792</v>
      </c>
      <c r="J86" s="50">
        <f>+lgh_ci!J11</f>
        <v>14158169.263351083</v>
      </c>
      <c r="K86" s="50">
        <f>+lgh_ci!K11</f>
        <v>25923183.547866151</v>
      </c>
      <c r="L86" s="50">
        <f>+lgh_ci!L11</f>
        <v>42994069.34553811</v>
      </c>
      <c r="M86" s="50">
        <f>+lgh_ci!M11</f>
        <v>62959644.59998671</v>
      </c>
      <c r="N86" s="50">
        <f>+lgh_ci!N11</f>
        <v>82610346.125210553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143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3500000</v>
      </c>
      <c r="F87" s="50">
        <f>+lgh_ci!F15</f>
        <v>-557522.5124405399</v>
      </c>
      <c r="G87" s="50">
        <f>+lgh_ci!G15</f>
        <v>-25542.995056973305</v>
      </c>
      <c r="H87" s="50">
        <f>+lgh_ci!H15</f>
        <v>1190779.7135209162</v>
      </c>
      <c r="I87" s="50">
        <f>+lgh_ci!I15</f>
        <v>3568214.644280158</v>
      </c>
      <c r="J87" s="50">
        <f>+lgh_ci!J15</f>
        <v>4979389.1340277828</v>
      </c>
      <c r="K87" s="50">
        <f>+lgh_ci!K15</f>
        <v>9585559.606137298</v>
      </c>
      <c r="L87" s="50">
        <f>+lgh_ci!L15</f>
        <v>25237527.523959771</v>
      </c>
      <c r="M87" s="50">
        <f>+lgh_ci!M15</f>
        <v>38277952.123545177</v>
      </c>
      <c r="N87" s="50">
        <f>+lgh_ci!N15</f>
        <v>64005390.399476618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144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145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146</v>
      </c>
      <c r="B95" s="50">
        <f>+'c12_oc'!E40</f>
        <v>-5450569</v>
      </c>
      <c r="C95" s="50">
        <f>+'c12_oc'!J40</f>
        <v>-1262185</v>
      </c>
      <c r="D95" s="50">
        <f>+'c12_oc'!K40</f>
        <v>-1358476</v>
      </c>
      <c r="E95" s="50">
        <f>+'c12_oc'!L40</f>
        <v>-1319123</v>
      </c>
      <c r="F95" s="50">
        <f>+'c12_oc'!M40</f>
        <v>-2542272</v>
      </c>
      <c r="G95" s="50">
        <f>+'c12_oc'!N40</f>
        <v>-4047806</v>
      </c>
      <c r="H95" s="50">
        <f>+'c12_oc'!O40</f>
        <v>-4448476</v>
      </c>
      <c r="I95" s="50">
        <f>+'c12_oc'!P40</f>
        <v>-2825676</v>
      </c>
      <c r="J95" s="50">
        <f>+'c12_oc'!Q40</f>
        <v>-4921862.25</v>
      </c>
      <c r="K95" s="50">
        <f>+'c12_oc'!R40</f>
        <v>-11990350.510000002</v>
      </c>
      <c r="L95" s="50">
        <f>+'c12_oc'!S40</f>
        <v>-11692833.475299999</v>
      </c>
      <c r="M95" s="50">
        <f>+'c12_oc'!T40</f>
        <v>-12043618.479559001</v>
      </c>
      <c r="N95" s="50">
        <f>+'c12_oc'!U40</f>
        <v>-12404927.033945773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147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148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149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150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151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152</v>
      </c>
      <c r="B101" s="50">
        <f>+lgh_other_assets!B26</f>
        <v>-1540999</v>
      </c>
      <c r="C101" s="50">
        <f>+lgh_other_assets!C26</f>
        <v>-530378.98434210522</v>
      </c>
      <c r="D101" s="50">
        <f>+lgh_other_assets!D26</f>
        <v>835605.01565789478</v>
      </c>
      <c r="E101" s="50">
        <f>+lgh_other_assets!E26</f>
        <v>1194225.9630263159</v>
      </c>
      <c r="F101" s="50">
        <f>+lgh_other_assets!F26</f>
        <v>1094579.5419736844</v>
      </c>
      <c r="G101" s="50">
        <f>+lgh_other_assets!G26</f>
        <v>97800.463684210088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153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146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154</v>
      </c>
      <c r="B106" s="59">
        <f>-'c12_oc'!E63</f>
        <v>0</v>
      </c>
      <c r="C106" s="59">
        <f>-'c12_oc'!J63</f>
        <v>530378.98434210522</v>
      </c>
      <c r="D106" s="59">
        <f>-'c12_oc'!K63</f>
        <v>986605.96868421044</v>
      </c>
      <c r="E106" s="59">
        <f>-'c12_oc'!L63</f>
        <v>1192380.0056578945</v>
      </c>
      <c r="F106" s="59">
        <f>-'c12_oc'!M63</f>
        <v>97800.463684210088</v>
      </c>
      <c r="G106" s="59">
        <f>-'c12_oc'!N63</f>
        <v>0</v>
      </c>
      <c r="H106" s="59">
        <f>-'c12_oc'!O63</f>
        <v>0</v>
      </c>
      <c r="I106" s="59">
        <f>-'c12_oc'!P63</f>
        <v>0</v>
      </c>
      <c r="J106" s="59">
        <f>-'c12_oc'!Q63</f>
        <v>0</v>
      </c>
      <c r="K106" s="59">
        <f>-'c12_oc'!R63</f>
        <v>0</v>
      </c>
      <c r="L106" s="59">
        <f>-'c12_oc'!S63</f>
        <v>0</v>
      </c>
      <c r="M106" s="59">
        <f>-'c12_oc'!T63</f>
        <v>0</v>
      </c>
      <c r="N106" s="59">
        <f>-'c12_oc'!U63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155</v>
      </c>
      <c r="B107" s="50">
        <f>+'c12_oc'!E69</f>
        <v>0</v>
      </c>
      <c r="C107" s="50">
        <f>+'c12_oc'!J69</f>
        <v>416032.5</v>
      </c>
      <c r="D107" s="50">
        <f>+'c12_oc'!K69</f>
        <v>3082065</v>
      </c>
      <c r="E107" s="50">
        <f>+'c12_oc'!L69</f>
        <v>4373097.5</v>
      </c>
      <c r="F107" s="50">
        <f>+'c12_oc'!M69</f>
        <v>5365480</v>
      </c>
      <c r="G107" s="50">
        <f>+'c12_oc'!N69</f>
        <v>6120868.2725</v>
      </c>
      <c r="H107" s="50">
        <f>+'c12_oc'!O69</f>
        <v>5640774.3650000002</v>
      </c>
      <c r="I107" s="50">
        <f>+'c12_oc'!P69</f>
        <v>5378861.4574999996</v>
      </c>
      <c r="J107" s="50">
        <f>+'c12_oc'!Q69</f>
        <v>4945267.55</v>
      </c>
      <c r="K107" s="50">
        <f>+'c12_oc'!R69</f>
        <v>4796719.9710999997</v>
      </c>
      <c r="L107" s="50">
        <f>+'c12_oc'!S69</f>
        <v>3728148.465233</v>
      </c>
      <c r="M107" s="50">
        <f>+'c12_oc'!T69</f>
        <v>6110519.8141899901</v>
      </c>
      <c r="N107" s="50">
        <f>+'c12_oc'!U69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156</v>
      </c>
      <c r="B108" s="50">
        <f>-'c12_oc'!E75</f>
        <v>0</v>
      </c>
      <c r="C108" s="50">
        <f>-'c12_oc'!J75</f>
        <v>-264555.125</v>
      </c>
      <c r="D108" s="50">
        <f>-'c12_oc'!K75</f>
        <v>-1654110.25</v>
      </c>
      <c r="E108" s="50">
        <f>-'c12_oc'!L75</f>
        <v>-2356165.375</v>
      </c>
      <c r="F108" s="50">
        <f>-'c12_oc'!M75</f>
        <v>-2964570.5</v>
      </c>
      <c r="G108" s="50">
        <f>-'c12_oc'!N75</f>
        <v>-2970159.2973749996</v>
      </c>
      <c r="H108" s="50">
        <f>-'c12_oc'!O75</f>
        <v>-2465036.0922499998</v>
      </c>
      <c r="I108" s="50">
        <f>-'c12_oc'!P75</f>
        <v>-2022503.3871249997</v>
      </c>
      <c r="J108" s="50">
        <f>-'c12_oc'!Q75</f>
        <v>-1664945.5194999997</v>
      </c>
      <c r="K108" s="50">
        <f>-'c12_oc'!R75</f>
        <v>-1612953.8668849997</v>
      </c>
      <c r="L108" s="50">
        <f>-'c12_oc'!S75</f>
        <v>-1238953.8398315497</v>
      </c>
      <c r="M108" s="50">
        <f>-'c12_oc'!T75</f>
        <v>-2072783.8119664963</v>
      </c>
      <c r="N108" s="50">
        <f>-'c12_oc'!U75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157</v>
      </c>
      <c r="E2" s="62"/>
      <c r="F2" s="43"/>
      <c r="G2" s="43"/>
      <c r="H2" s="43"/>
      <c r="I2" s="43"/>
      <c r="J2" s="43"/>
      <c r="K2" s="87" t="s">
        <v>158</v>
      </c>
      <c r="L2" s="62"/>
      <c r="M2" s="43"/>
      <c r="N2" s="43"/>
      <c r="O2" s="43"/>
      <c r="P2" s="43"/>
      <c r="Q2" s="43"/>
      <c r="R2" s="87" t="s">
        <v>158</v>
      </c>
      <c r="S2" s="62"/>
      <c r="T2" s="43"/>
      <c r="U2" s="43"/>
    </row>
    <row r="3" spans="1:21">
      <c r="A3" s="43"/>
      <c r="B3" s="43"/>
      <c r="C3" s="43"/>
      <c r="D3" s="88" t="s">
        <v>159</v>
      </c>
      <c r="E3" s="89">
        <f>(lgh_bs!I51*E4)/1000000</f>
        <v>106.56892253474673</v>
      </c>
      <c r="F3" s="43"/>
      <c r="G3" s="43"/>
      <c r="H3" s="43"/>
      <c r="I3" s="43"/>
      <c r="J3" s="43"/>
      <c r="K3" s="88" t="s">
        <v>160</v>
      </c>
      <c r="L3" s="89">
        <f>(lgh_bs!I53*$L$4)/1000000</f>
        <v>154.2983275971113</v>
      </c>
      <c r="M3" s="43"/>
      <c r="N3" s="43"/>
      <c r="O3" s="43"/>
      <c r="P3" s="43"/>
      <c r="Q3" s="43"/>
      <c r="R3" s="88" t="s">
        <v>160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161</v>
      </c>
      <c r="E4" s="91">
        <f>1-E5</f>
        <v>1</v>
      </c>
      <c r="F4" s="43"/>
      <c r="G4" s="43"/>
      <c r="H4" s="43"/>
      <c r="I4" s="43"/>
      <c r="J4" s="43"/>
      <c r="K4" s="92" t="s">
        <v>161</v>
      </c>
      <c r="L4" s="91">
        <f>1-L5</f>
        <v>1</v>
      </c>
      <c r="M4" s="43"/>
      <c r="N4" s="43"/>
      <c r="O4" s="43"/>
      <c r="P4" s="43"/>
      <c r="Q4" s="43"/>
      <c r="R4" s="92" t="s">
        <v>161</v>
      </c>
      <c r="S4" s="93">
        <v>1</v>
      </c>
      <c r="T4" s="43"/>
      <c r="U4" s="43"/>
    </row>
    <row r="5" spans="1:21">
      <c r="A5" s="43"/>
      <c r="B5" s="43"/>
      <c r="C5" s="43"/>
      <c r="D5" s="86" t="s">
        <v>162</v>
      </c>
      <c r="E5" s="78">
        <v>0</v>
      </c>
      <c r="F5" s="43"/>
      <c r="G5" s="43"/>
      <c r="H5" s="43"/>
      <c r="I5" s="43"/>
      <c r="J5" s="43"/>
      <c r="K5" s="94" t="s">
        <v>162</v>
      </c>
      <c r="L5" s="78">
        <v>0</v>
      </c>
      <c r="M5" s="43"/>
      <c r="N5" s="43"/>
      <c r="O5" s="43"/>
      <c r="P5" s="43"/>
      <c r="Q5" s="43"/>
      <c r="R5" s="94" t="s">
        <v>162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163</v>
      </c>
      <c r="F8" s="43"/>
      <c r="G8" s="43"/>
      <c r="H8" s="43"/>
      <c r="I8" s="43"/>
      <c r="J8" s="43"/>
      <c r="K8" s="43"/>
      <c r="L8" s="95" t="s">
        <v>164</v>
      </c>
      <c r="M8" s="43"/>
      <c r="N8" s="43"/>
      <c r="O8" s="43"/>
      <c r="P8" s="43"/>
      <c r="Q8" s="43"/>
      <c r="R8" s="43"/>
      <c r="S8" s="95" t="s">
        <v>164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165</v>
      </c>
      <c r="D10" s="98"/>
      <c r="E10" s="98"/>
      <c r="F10" s="98"/>
      <c r="G10" s="98"/>
      <c r="H10" s="43"/>
      <c r="I10" s="43"/>
      <c r="J10" s="97" t="s">
        <v>166</v>
      </c>
      <c r="K10" s="98"/>
      <c r="L10" s="98"/>
      <c r="M10" s="98"/>
      <c r="N10" s="98"/>
      <c r="O10" s="43"/>
      <c r="P10" s="43"/>
      <c r="Q10" s="97" t="s">
        <v>166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112.01795342162855</v>
      </c>
      <c r="D11" s="99">
        <f>(+lgh_bs!M38)/1000000</f>
        <v>128.72520250461747</v>
      </c>
      <c r="E11" s="99">
        <f>(+lgh_bs!N38)/1000000</f>
        <v>154.87484791640901</v>
      </c>
      <c r="F11" s="99">
        <f>(+lgh_bs!O38)/1000000</f>
        <v>185.95607091950347</v>
      </c>
      <c r="G11" s="99">
        <f>(+lgh_bs!P38)/1000000</f>
        <v>215.97271222790999</v>
      </c>
      <c r="H11" s="43"/>
      <c r="I11" s="43"/>
      <c r="J11" s="99">
        <f>(lgh_bs!L39-lgh_bs!L35+lgh_bs!L41+lgh_bs!L40)/1000000</f>
        <v>168.39242805487424</v>
      </c>
      <c r="K11" s="99">
        <f>(lgh_bs!M39-lgh_bs!M35+lgh_bs!M41+lgh_bs!M40)/1000000</f>
        <v>194.19138868611512</v>
      </c>
      <c r="L11" s="99">
        <f>(lgh_bs!N39-lgh_bs!N35+lgh_bs!N41+lgh_bs!N40)/1000000</f>
        <v>228.87079697878673</v>
      </c>
      <c r="M11" s="99">
        <f>(lgh_bs!O39-lgh_bs!O35+lgh_bs!O41+lgh_bs!O40)/1000000</f>
        <v>266.15309544351601</v>
      </c>
      <c r="N11" s="99">
        <f>(lgh_bs!P39-lgh_bs!P35+lgh_bs!P41+lgh_bs!P40)/1000000</f>
        <v>303.41921423253393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167</v>
      </c>
      <c r="C12" s="102">
        <f>+C11/$E3</f>
        <v>1.0511315189951851</v>
      </c>
      <c r="D12" s="102">
        <f>+D11/$E3</f>
        <v>1.2079056393072445</v>
      </c>
      <c r="E12" s="102">
        <f>+E11/$E3</f>
        <v>1.4532834172731</v>
      </c>
      <c r="F12" s="102">
        <f>+F11/$E3</f>
        <v>1.7449371401767959</v>
      </c>
      <c r="G12" s="102">
        <f>+G11/$E3</f>
        <v>2.0266012557037181</v>
      </c>
      <c r="H12" s="43"/>
      <c r="I12" s="101" t="s">
        <v>167</v>
      </c>
      <c r="J12" s="102">
        <f>+J11/$L$3</f>
        <v>1.0913431835409395</v>
      </c>
      <c r="K12" s="102">
        <f>+K11/$L$3</f>
        <v>1.2585449998730296</v>
      </c>
      <c r="L12" s="102">
        <f>+L11/$L$3</f>
        <v>1.4833005680812807</v>
      </c>
      <c r="M12" s="102">
        <f>+M11/$L$3</f>
        <v>1.7249253416308499</v>
      </c>
      <c r="N12" s="102">
        <f>+N11/$L$3</f>
        <v>1.9664452554845087</v>
      </c>
      <c r="O12" s="43"/>
      <c r="P12" s="101" t="s">
        <v>167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168</v>
      </c>
      <c r="C13" s="104">
        <f>+C11/E3-1</f>
        <v>5.1131518995185088E-2</v>
      </c>
      <c r="D13" s="104">
        <f>+D11/C11-1</f>
        <v>0.14914795863216579</v>
      </c>
      <c r="E13" s="104">
        <f>+E11/D11-1</f>
        <v>0.20314316779461694</v>
      </c>
      <c r="F13" s="104">
        <f>+F11/E11-1</f>
        <v>0.20068605988152455</v>
      </c>
      <c r="G13" s="104">
        <f>+G11/F11-1</f>
        <v>0.1614179153172155</v>
      </c>
      <c r="H13" s="43"/>
      <c r="I13" s="101" t="s">
        <v>168</v>
      </c>
      <c r="J13" s="104">
        <f>+J11/L3-1</f>
        <v>9.134318354093951E-2</v>
      </c>
      <c r="K13" s="104">
        <f>+K11/J11-1</f>
        <v>0.15320736763076859</v>
      </c>
      <c r="L13" s="104">
        <f>+L11/K11-1</f>
        <v>0.17858365670748833</v>
      </c>
      <c r="M13" s="104">
        <f>+M11/L11-1</f>
        <v>0.16289670397829248</v>
      </c>
      <c r="N13" s="104">
        <f>+N11/M11-1</f>
        <v>0.14001760425486642</v>
      </c>
      <c r="O13" s="43"/>
      <c r="P13" s="101" t="s">
        <v>168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169</v>
      </c>
      <c r="C14" s="104">
        <f>(C11/$E3)^(1/((lgh_bs!L$2-lgh_bs!$I$2)/365))-1</f>
        <v>6.8426924299411107E-2</v>
      </c>
      <c r="D14" s="104">
        <f>(D11/$E3)^(1/((lgh_bs!M$2-lgh_bs!$I$2)/365))-1</f>
        <v>0.11374162259998877</v>
      </c>
      <c r="E14" s="104">
        <f>($E$11/$E$3)^(1/((lgh_bs!$N$2-lgh_bs!$I$2)/365))-1</f>
        <v>0.14526091475345448</v>
      </c>
      <c r="F14" s="104">
        <f>(F11/$E3)^(1/((lgh_bs!O$2-lgh_bs!$I$2)/365))-1</f>
        <v>0.15976179483800701</v>
      </c>
      <c r="G14" s="104">
        <f>($G$11/$E$3)^(1/((lgh_bs!$P$2-lgh_bs!$I$2)/365))-1</f>
        <v>0.16010980371654582</v>
      </c>
      <c r="H14" s="43"/>
      <c r="I14" s="106" t="s">
        <v>169</v>
      </c>
      <c r="J14" s="104">
        <f>+(J11/$L$3)^(1/((lgh_bs!L$2-lgh_bs!$I$2)/365))-1</f>
        <v>0.12301369267456153</v>
      </c>
      <c r="K14" s="104">
        <f>+(K11/$L$3)^(1/((lgh_bs!M$2-lgh_bs!$I$2)/365))-1</f>
        <v>0.14013530916593164</v>
      </c>
      <c r="L14" s="104">
        <f>+(L11/$L$3)^(1/((lgh_bs!N$2-lgh_bs!$I$2)/365))-1</f>
        <v>0.15378765841279241</v>
      </c>
      <c r="M14" s="104">
        <f>+(M11/$L$3)^(1/((lgh_bs!O$2-lgh_bs!$I$2)/365))-1</f>
        <v>0.15620575831033667</v>
      </c>
      <c r="N14" s="104">
        <f>+(N11/$L$3)^(1/((lgh_bs!P$2-lgh_bs!$I$2)/365))-1</f>
        <v>0.15278316680619408</v>
      </c>
      <c r="O14" s="43"/>
      <c r="P14" s="106" t="s">
        <v>169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170</v>
      </c>
      <c r="D16" s="98"/>
      <c r="E16" s="98"/>
      <c r="F16" s="98"/>
      <c r="G16" s="98"/>
      <c r="H16" s="43"/>
      <c r="I16" s="43"/>
      <c r="J16" s="97" t="s">
        <v>171</v>
      </c>
      <c r="K16" s="107"/>
      <c r="L16" s="107"/>
      <c r="M16" s="107"/>
      <c r="N16" s="107"/>
      <c r="O16" s="43"/>
      <c r="P16" s="43"/>
      <c r="Q16" s="97" t="s">
        <v>171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129.97288391897533</v>
      </c>
      <c r="D17" s="99">
        <f>D11+(SUM(lgh_bs!M40:M42)/1000000)*(1-lgh_inputs!$D$4)+(lgh_bs!M46/1000000)</f>
        <v>153.70831723728213</v>
      </c>
      <c r="E17" s="99">
        <f>E11+(SUM(lgh_bs!N40:N42)/1000000)*(1-lgh_inputs!$D$4)+(lgh_bs!N46/1000000)</f>
        <v>190.75400674629975</v>
      </c>
      <c r="F17" s="99">
        <f>F11+(SUM(lgh_bs!O40:O42)/1000000)*(1-lgh_inputs!$D$4)+(lgh_bs!O46/1000000)</f>
        <v>227.43544569671647</v>
      </c>
      <c r="G17" s="99">
        <f>G11+(SUM(lgh_bs!P40:P42)/1000000)*(1-lgh_inputs!$D$4)+(lgh_bs!P46/1000000)</f>
        <v>269.83986582693802</v>
      </c>
      <c r="H17" s="43"/>
      <c r="I17" s="43"/>
      <c r="J17" s="99">
        <f>J11+(lgh_bs!L42/1000000)*(1-lgh_inputs!$D$4)</f>
        <v>182.77571967887425</v>
      </c>
      <c r="K17" s="99">
        <f>K11+(lgh_bs!M42/1000000)*(1-lgh_inputs!$D$4)</f>
        <v>214.56172544860513</v>
      </c>
      <c r="L17" s="99">
        <f>L11+(lgh_bs!N42/1000000)*(1-lgh_inputs!$D$4)</f>
        <v>260.12445662561453</v>
      </c>
      <c r="M17" s="99">
        <f>M11+(lgh_bs!O42/1000000)*(1-lgh_inputs!$D$4)</f>
        <v>305.24249404465564</v>
      </c>
      <c r="N17" s="99">
        <f>N11+(lgh_bs!P42/1000000)*(1-lgh_inputs!$D$4)</f>
        <v>357.28636783156196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167</v>
      </c>
      <c r="C18" s="102">
        <f>+C17/$E$3</f>
        <v>1.219613380970402</v>
      </c>
      <c r="D18" s="102">
        <f>+D17/$E$3</f>
        <v>1.4423371615413079</v>
      </c>
      <c r="E18" s="102">
        <f>+E17/$E$3</f>
        <v>1.789959044430655</v>
      </c>
      <c r="F18" s="102">
        <f>+F17/$E$3</f>
        <v>2.1341629462619487</v>
      </c>
      <c r="G18" s="102">
        <f>+G17/$E$3</f>
        <v>2.5320690066933622</v>
      </c>
      <c r="H18" s="43"/>
      <c r="I18" s="101" t="s">
        <v>167</v>
      </c>
      <c r="J18" s="108">
        <f>+J17/$L$3</f>
        <v>1.1845606010463077</v>
      </c>
      <c r="K18" s="108">
        <f>+K17/$L$3</f>
        <v>1.3905641674150073</v>
      </c>
      <c r="L18" s="108">
        <f>+L17/$L$3</f>
        <v>1.6858540249692535</v>
      </c>
      <c r="M18" s="108">
        <f>+M17/$L$3</f>
        <v>1.9782618437814503</v>
      </c>
      <c r="N18" s="108">
        <f>+N17/$L$3</f>
        <v>2.3155556731922151</v>
      </c>
      <c r="O18" s="43"/>
      <c r="P18" s="101" t="s">
        <v>167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168</v>
      </c>
      <c r="C19" s="104">
        <f>+C17/E3-1</f>
        <v>0.21961338097040195</v>
      </c>
      <c r="D19" s="104">
        <f>+D17/C17-1</f>
        <v>0.1826183477863228</v>
      </c>
      <c r="E19" s="104">
        <f>+E17/D17-1</f>
        <v>0.24101291442693729</v>
      </c>
      <c r="F19" s="104">
        <f>+F17/E17-1</f>
        <v>0.19229708238423804</v>
      </c>
      <c r="G19" s="104">
        <f>+G17/F17-1</f>
        <v>0.18644596052440976</v>
      </c>
      <c r="H19" s="43"/>
      <c r="I19" s="101" t="s">
        <v>168</v>
      </c>
      <c r="J19" s="104">
        <f>+J17/L3-1</f>
        <v>0.18456060104630767</v>
      </c>
      <c r="K19" s="104">
        <f>+K17/J17-1</f>
        <v>0.1739071569548567</v>
      </c>
      <c r="L19" s="104">
        <f>+L17/K17-1</f>
        <v>0.2123525576695795</v>
      </c>
      <c r="M19" s="104">
        <f>+M17/L17-1</f>
        <v>0.17344788723183191</v>
      </c>
      <c r="N19" s="104">
        <f>+N17/M17-1</f>
        <v>0.17050009353970386</v>
      </c>
      <c r="O19" s="43"/>
      <c r="P19" s="101" t="s">
        <v>168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169</v>
      </c>
      <c r="C20" s="104">
        <f>(C17/$E$3)^(1/((lgh_bs!L$2-lgh_bs!$I$2)/365))-1</f>
        <v>0.30148854118476609</v>
      </c>
      <c r="D20" s="104">
        <f>(D17/$E$3)^(1/((lgh_bs!M$2-lgh_bs!$I$2)/365))-1</f>
        <v>0.23230377952270032</v>
      </c>
      <c r="E20" s="104">
        <f>(E17/$E$3)^(1/((lgh_bs!N$2-lgh_bs!$I$2)/365))-1</f>
        <v>0.23520006407478977</v>
      </c>
      <c r="F20" s="104">
        <f>(F17/$E$3)^(1/((lgh_bs!O$2-lgh_bs!$I$2)/365))-1</f>
        <v>0.22362949810080135</v>
      </c>
      <c r="G20" s="104">
        <f>(G17/$E$3)^(1/((lgh_bs!P$2-lgh_bs!$I$2)/365))-1</f>
        <v>0.21571598253794799</v>
      </c>
      <c r="H20" s="43"/>
      <c r="I20" s="106" t="s">
        <v>169</v>
      </c>
      <c r="J20" s="104">
        <f>(J17/$L3)^(1/((lgh_bs!L$2-lgh_bs!$I$2)/365))-1</f>
        <v>0.25207567018638577</v>
      </c>
      <c r="K20" s="104">
        <f>(K17/$L3)^(1/((lgh_bs!M$2-lgh_bs!$I$2)/365))-1</f>
        <v>0.20687873913746291</v>
      </c>
      <c r="L20" s="104">
        <f>(L17/$L3)^(1/((lgh_bs!N$2-lgh_bs!$I$2)/365))-1</f>
        <v>0.20863596959372877</v>
      </c>
      <c r="M20" s="104">
        <f>(M17/$L3)^(1/((lgh_bs!O$2-lgh_bs!$I$2)/365))-1</f>
        <v>0.19916609779715699</v>
      </c>
      <c r="N20" s="104">
        <f>(N17/$L3)^(1/((lgh_bs!P$2-lgh_bs!$I$2)/365))-1</f>
        <v>0.19308125357771466</v>
      </c>
      <c r="O20" s="43"/>
      <c r="P20" s="106" t="s">
        <v>169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172</v>
      </c>
      <c r="D22" s="98"/>
      <c r="E22" s="98"/>
      <c r="F22" s="98"/>
      <c r="G22" s="98"/>
      <c r="H22" s="43"/>
      <c r="I22" s="72"/>
      <c r="J22" s="97" t="s">
        <v>173</v>
      </c>
      <c r="K22" s="82"/>
      <c r="L22" s="82"/>
      <c r="M22" s="82"/>
      <c r="N22" s="82"/>
      <c r="O22" s="43"/>
      <c r="P22" s="72"/>
      <c r="Q22" s="97" t="s">
        <v>173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129.97288391897536</v>
      </c>
      <c r="D23" s="99">
        <f>(+lgh_bs!M51)/1000000</f>
        <v>153.70831723728213</v>
      </c>
      <c r="E23" s="99">
        <f>(+lgh_bs!N51)/1000000</f>
        <v>207.00400674629981</v>
      </c>
      <c r="F23" s="99">
        <f>(+lgh_bs!O51)/1000000</f>
        <v>259.9354456967165</v>
      </c>
      <c r="G23" s="99">
        <f>(+lgh_bs!P51)/1000000</f>
        <v>334.83986582693802</v>
      </c>
      <c r="H23" s="43"/>
      <c r="I23" s="72"/>
      <c r="J23" s="99">
        <f>+lgh_bs!L53/1000000</f>
        <v>185.5411798808465</v>
      </c>
      <c r="K23" s="99">
        <f>+lgh_bs!M53/1000000</f>
        <v>215.94480871457782</v>
      </c>
      <c r="L23" s="99">
        <f>+lgh_bs!N53/1000000</f>
        <v>276.71582275763899</v>
      </c>
      <c r="M23" s="99">
        <f>+lgh_bs!O53/1000000</f>
        <v>338.01267962941643</v>
      </c>
      <c r="N23" s="99">
        <f>+lgh_bs!P53/1000000</f>
        <v>422.2863678315619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167</v>
      </c>
      <c r="C24" s="102">
        <f>+C23/$E3</f>
        <v>1.2196133809704022</v>
      </c>
      <c r="D24" s="102">
        <f>+D23/$E3</f>
        <v>1.4423371615413079</v>
      </c>
      <c r="E24" s="102">
        <f>+E23/$E3</f>
        <v>1.9424425228546931</v>
      </c>
      <c r="F24" s="102">
        <f>+F23/$E3</f>
        <v>2.4391299031100244</v>
      </c>
      <c r="G24" s="102">
        <f>+G23/$E3</f>
        <v>3.1420029203895132</v>
      </c>
      <c r="H24" s="43"/>
      <c r="I24" s="101" t="s">
        <v>167</v>
      </c>
      <c r="J24" s="108">
        <f>+J23/$L3</f>
        <v>1.202483414890364</v>
      </c>
      <c r="K24" s="108">
        <f>+K23/$L3</f>
        <v>1.3995278631822361</v>
      </c>
      <c r="L24" s="108">
        <f>+L23/$L3</f>
        <v>1.793381866588809</v>
      </c>
      <c r="M24" s="108">
        <f>+M23/$L3</f>
        <v>2.1906438319409531</v>
      </c>
      <c r="N24" s="108">
        <f>+N23/$L3</f>
        <v>2.7368175300914133</v>
      </c>
      <c r="O24" s="43"/>
      <c r="P24" s="101" t="s">
        <v>167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168</v>
      </c>
      <c r="C25" s="104">
        <f>+C23/E3-1</f>
        <v>0.21961338097040217</v>
      </c>
      <c r="D25" s="104">
        <f>+D23/C23-1</f>
        <v>0.18261834778632258</v>
      </c>
      <c r="E25" s="104">
        <f>+E23/D23-1</f>
        <v>0.34673263273544408</v>
      </c>
      <c r="F25" s="104">
        <f>+F23/E23-1</f>
        <v>0.25570248509869886</v>
      </c>
      <c r="G25" s="104">
        <f>+G23/F23-1</f>
        <v>0.28816547096703915</v>
      </c>
      <c r="H25" s="43"/>
      <c r="I25" s="101" t="s">
        <v>168</v>
      </c>
      <c r="J25" s="104">
        <f>+J23/L3-1</f>
        <v>0.20248341489036403</v>
      </c>
      <c r="K25" s="104">
        <f>+K23/J23-1</f>
        <v>0.16386458711352581</v>
      </c>
      <c r="L25" s="104">
        <f>+L23/K23-1</f>
        <v>0.28141919412095917</v>
      </c>
      <c r="M25" s="104">
        <f>+M23/L23-1</f>
        <v>0.22151554710864563</v>
      </c>
      <c r="N25" s="104">
        <f>+N23/M23-1</f>
        <v>0.24932108551235355</v>
      </c>
      <c r="O25" s="43"/>
      <c r="P25" s="101" t="s">
        <v>168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169</v>
      </c>
      <c r="C26" s="104">
        <f>(C23/$E3)^(1/((lgh_bs!L$2-lgh_bs!$I$2)/365))-1</f>
        <v>0.30148854118476653</v>
      </c>
      <c r="D26" s="104">
        <f>(D23/$E3)^(1/((lgh_bs!M$2-lgh_bs!$I$2)/365))-1</f>
        <v>0.23230377952270032</v>
      </c>
      <c r="E26" s="104">
        <f>(E23/$E3)^(1/((lgh_bs!N$2-lgh_bs!$I$2)/365))-1</f>
        <v>0.27238742501948354</v>
      </c>
      <c r="F26" s="104">
        <f>(F23/$E3)^(1/((lgh_bs!O$2-lgh_bs!$I$2)/365))-1</f>
        <v>0.26792387567237519</v>
      </c>
      <c r="G26" s="104">
        <f>(G23/$E3)^(1/((lgh_bs!P$2-lgh_bs!$I$2)/365))-1</f>
        <v>0.27215316519957611</v>
      </c>
      <c r="H26" s="43"/>
      <c r="I26" s="106" t="s">
        <v>169</v>
      </c>
      <c r="J26" s="104">
        <f>(J23/$L3)^(1/((lgh_bs!L$2-lgh_bs!$I$2)/365))-1</f>
        <v>0.27728202069594321</v>
      </c>
      <c r="K26" s="104">
        <f>(K23/$L3)^(1/((lgh_bs!M$2-lgh_bs!$I$2)/365))-1</f>
        <v>0.21130944145205488</v>
      </c>
      <c r="L26" s="104">
        <f>(L23/$L3)^(1/((lgh_bs!N$2-lgh_bs!$I$2)/365))-1</f>
        <v>0.23605652794311571</v>
      </c>
      <c r="M26" s="104">
        <f>(M23/$L3)^(1/((lgh_bs!O$2-lgh_bs!$I$2)/365))-1</f>
        <v>0.23216847379916694</v>
      </c>
      <c r="N26" s="104">
        <f>(N23/$L3)^(1/((lgh_bs!P$2-lgh_bs!$I$2)/365))-1</f>
        <v>0.2357552087475987</v>
      </c>
      <c r="O26" s="43"/>
      <c r="P26" s="106" t="s">
        <v>169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174</v>
      </c>
      <c r="K27" s="75"/>
      <c r="L27" s="75"/>
      <c r="M27" s="75"/>
      <c r="N27" s="75"/>
      <c r="O27" s="43"/>
      <c r="P27" s="43"/>
      <c r="Q27" s="46" t="s">
        <v>174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175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176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177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178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179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180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181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182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183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O149"/>
  <sheetViews>
    <sheetView tabSelected="1" topLeftCell="K8" zoomScale="81" workbookViewId="0">
      <selection activeCell="D2" sqref="D2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8" width="11.7265625" style="636" customWidth="1"/>
    <col min="9" max="11" width="16.26953125" customWidth="1"/>
    <col min="12" max="12" width="16.26953125" bestFit="1" customWidth="1"/>
    <col min="13" max="13" width="17.26953125" customWidth="1"/>
    <col min="14" max="15" width="16.26953125" customWidth="1"/>
    <col min="16" max="20" width="16.26953125" bestFit="1" customWidth="1"/>
    <col min="22" max="30" width="13" style="18" customWidth="1"/>
    <col min="32" max="32" width="35" style="30" bestFit="1" customWidth="1"/>
    <col min="33" max="41" width="11.6328125" style="31" customWidth="1"/>
  </cols>
  <sheetData>
    <row r="1" spans="1:41" s="3" customFormat="1" ht="14.65" customHeight="1">
      <c r="A1" s="83" t="s">
        <v>184</v>
      </c>
      <c r="B1" s="83" t="s">
        <v>185</v>
      </c>
      <c r="C1" s="111" t="str">
        <f t="array" aca="1" ref="C1" ca="1">_xlfn.TEXTAFTER(CELL("filename",C1),"]")</f>
        <v>lgh_diags</v>
      </c>
      <c r="D1" s="111"/>
      <c r="E1" s="446"/>
      <c r="F1" s="446"/>
      <c r="G1" s="446"/>
      <c r="H1" s="446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43"/>
      <c r="V1" s="111"/>
      <c r="W1" s="111"/>
      <c r="X1" s="111"/>
      <c r="Y1" s="111"/>
      <c r="Z1" s="111"/>
      <c r="AA1" s="111"/>
      <c r="AB1" s="111"/>
      <c r="AC1" s="111"/>
      <c r="AD1" s="111"/>
      <c r="AE1" s="43"/>
      <c r="AF1" s="111" t="str">
        <f t="array" aca="1" ref="AF1" ca="1">_xlfn.TEXTAFTER(CELL("filename",AF1),"]")</f>
        <v>lgh_diags</v>
      </c>
      <c r="AG1" s="111"/>
      <c r="AH1" s="111"/>
      <c r="AI1" s="111"/>
      <c r="AJ1" s="111"/>
      <c r="AK1" s="111"/>
      <c r="AL1" s="111"/>
      <c r="AM1" s="111"/>
      <c r="AN1" s="111"/>
      <c r="AO1" s="111"/>
    </row>
    <row r="2" spans="1:41">
      <c r="A2" s="43"/>
      <c r="B2" s="43"/>
      <c r="C2" s="101" t="s">
        <v>0</v>
      </c>
      <c r="D2" s="112">
        <v>45657</v>
      </c>
      <c r="E2" s="554"/>
      <c r="F2" s="554"/>
      <c r="G2" s="554"/>
      <c r="H2" s="554"/>
      <c r="I2" s="112">
        <v>45747</v>
      </c>
      <c r="J2" s="112">
        <v>45838</v>
      </c>
      <c r="K2" s="112">
        <v>45930</v>
      </c>
      <c r="L2" s="112">
        <v>46022</v>
      </c>
      <c r="M2" s="112">
        <v>46112</v>
      </c>
      <c r="N2" s="112">
        <v>46203</v>
      </c>
      <c r="O2" s="112">
        <v>46295</v>
      </c>
      <c r="P2" s="112">
        <v>46387</v>
      </c>
      <c r="Q2" s="112">
        <v>46752</v>
      </c>
      <c r="R2" s="112">
        <v>47118</v>
      </c>
      <c r="S2" s="112">
        <v>47483</v>
      </c>
      <c r="T2" s="112">
        <v>47848</v>
      </c>
      <c r="U2" s="43"/>
      <c r="V2" s="112">
        <v>46022</v>
      </c>
      <c r="W2" s="112">
        <v>46112</v>
      </c>
      <c r="X2" s="112">
        <v>46203</v>
      </c>
      <c r="Y2" s="112">
        <v>46295</v>
      </c>
      <c r="Z2" s="112">
        <v>46387</v>
      </c>
      <c r="AA2" s="112">
        <v>46752</v>
      </c>
      <c r="AB2" s="112">
        <v>47118</v>
      </c>
      <c r="AC2" s="112">
        <v>47483</v>
      </c>
      <c r="AD2" s="112">
        <v>47848</v>
      </c>
      <c r="AE2" s="113"/>
      <c r="AF2" s="101" t="s">
        <v>0</v>
      </c>
      <c r="AG2" s="112">
        <v>46022</v>
      </c>
      <c r="AH2" s="112">
        <v>46112</v>
      </c>
      <c r="AI2" s="112">
        <v>46203</v>
      </c>
      <c r="AJ2" s="112">
        <v>46295</v>
      </c>
      <c r="AK2" s="112">
        <v>46387</v>
      </c>
      <c r="AL2" s="112">
        <v>46752</v>
      </c>
      <c r="AM2" s="112">
        <v>47118</v>
      </c>
      <c r="AN2" s="112">
        <v>47483</v>
      </c>
      <c r="AO2" s="112">
        <v>47848</v>
      </c>
    </row>
    <row r="3" spans="1:41">
      <c r="A3" s="43"/>
      <c r="B3" s="43"/>
      <c r="C3" s="101" t="s">
        <v>1</v>
      </c>
      <c r="D3" s="114" t="s">
        <v>2</v>
      </c>
      <c r="E3" s="555"/>
      <c r="F3" s="555"/>
      <c r="G3" s="555"/>
      <c r="H3" s="555"/>
      <c r="I3" s="114" t="s">
        <v>3</v>
      </c>
      <c r="J3" s="114" t="s">
        <v>4</v>
      </c>
      <c r="K3" s="114" t="s">
        <v>5</v>
      </c>
      <c r="L3" s="114" t="s">
        <v>2</v>
      </c>
      <c r="M3" s="114" t="s">
        <v>3</v>
      </c>
      <c r="N3" s="114" t="s">
        <v>4</v>
      </c>
      <c r="O3" s="114" t="s">
        <v>5</v>
      </c>
      <c r="P3" s="114" t="s">
        <v>2</v>
      </c>
      <c r="Q3" s="114" t="s">
        <v>2</v>
      </c>
      <c r="R3" s="114" t="s">
        <v>2</v>
      </c>
      <c r="S3" s="114" t="s">
        <v>2</v>
      </c>
      <c r="T3" s="114" t="s">
        <v>2</v>
      </c>
      <c r="U3" s="43"/>
      <c r="V3" s="114" t="s">
        <v>2</v>
      </c>
      <c r="W3" s="114" t="s">
        <v>3</v>
      </c>
      <c r="X3" s="114" t="s">
        <v>4</v>
      </c>
      <c r="Y3" s="114" t="s">
        <v>5</v>
      </c>
      <c r="Z3" s="114" t="s">
        <v>2</v>
      </c>
      <c r="AA3" s="114" t="s">
        <v>2</v>
      </c>
      <c r="AB3" s="114" t="s">
        <v>2</v>
      </c>
      <c r="AC3" s="114" t="s">
        <v>2</v>
      </c>
      <c r="AD3" s="114" t="s">
        <v>2</v>
      </c>
      <c r="AE3" s="115"/>
      <c r="AF3" s="101" t="s">
        <v>1</v>
      </c>
      <c r="AG3" s="114" t="s">
        <v>2</v>
      </c>
      <c r="AH3" s="114" t="s">
        <v>3</v>
      </c>
      <c r="AI3" s="114" t="s">
        <v>4</v>
      </c>
      <c r="AJ3" s="114" t="s">
        <v>5</v>
      </c>
      <c r="AK3" s="114" t="s">
        <v>2</v>
      </c>
      <c r="AL3" s="114" t="s">
        <v>2</v>
      </c>
      <c r="AM3" s="114" t="s">
        <v>2</v>
      </c>
      <c r="AN3" s="114" t="s">
        <v>2</v>
      </c>
      <c r="AO3" s="114" t="s">
        <v>2</v>
      </c>
    </row>
    <row r="4" spans="1:41" ht="15" customHeight="1" thickBot="1">
      <c r="A4" s="43"/>
      <c r="B4" s="43"/>
      <c r="C4" s="83" t="s">
        <v>186</v>
      </c>
      <c r="D4" s="61"/>
      <c r="E4" s="446"/>
      <c r="F4" s="446"/>
      <c r="G4" s="446"/>
      <c r="H4" s="446"/>
      <c r="I4" s="55"/>
      <c r="J4" s="55"/>
      <c r="K4" s="116"/>
      <c r="L4" s="116"/>
      <c r="M4" s="116"/>
      <c r="N4" s="61"/>
      <c r="O4" s="61"/>
      <c r="P4" s="61"/>
      <c r="Q4" s="61"/>
      <c r="R4" s="61"/>
      <c r="S4" s="61"/>
      <c r="T4" s="61"/>
      <c r="U4" s="43"/>
      <c r="V4" s="116"/>
      <c r="W4" s="116"/>
      <c r="X4" s="61"/>
      <c r="Y4" s="61"/>
      <c r="Z4" s="61"/>
      <c r="AA4" s="61"/>
      <c r="AB4" s="61"/>
      <c r="AC4" s="61"/>
      <c r="AD4" s="61"/>
      <c r="AE4" s="61"/>
      <c r="AF4" s="83" t="s">
        <v>186</v>
      </c>
      <c r="AG4" s="116"/>
      <c r="AH4" s="116"/>
      <c r="AI4" s="61"/>
      <c r="AJ4" s="61"/>
      <c r="AK4" s="61"/>
      <c r="AL4" s="61"/>
      <c r="AM4" s="61"/>
      <c r="AN4" s="61"/>
      <c r="AO4" s="61"/>
    </row>
    <row r="5" spans="1:41">
      <c r="A5" s="46" t="s">
        <v>187</v>
      </c>
      <c r="B5" s="46" t="s">
        <v>140</v>
      </c>
      <c r="C5" s="46" t="s">
        <v>188</v>
      </c>
      <c r="D5" s="50">
        <f>lgh_bs!D5</f>
        <v>251128</v>
      </c>
      <c r="E5" s="446"/>
      <c r="F5" s="446"/>
      <c r="G5" s="446"/>
      <c r="H5" s="446"/>
      <c r="I5" s="50">
        <f>lgh_bs!E5</f>
        <v>2638220.073653758</v>
      </c>
      <c r="J5" s="50">
        <f>lgh_bs!F5</f>
        <v>-865586.31068834569</v>
      </c>
      <c r="K5" s="50">
        <f>lgh_bs!G5</f>
        <v>-2780612.8651896324</v>
      </c>
      <c r="L5" s="50">
        <f>lgh_bs!H5</f>
        <v>423023.87929552794</v>
      </c>
      <c r="M5" s="50">
        <f>lgh_bs!I5</f>
        <v>3775129.1987411212</v>
      </c>
      <c r="N5" s="50">
        <f>lgh_bs!J5</f>
        <v>9043183.9218983445</v>
      </c>
      <c r="O5" s="50">
        <f>lgh_bs!K5</f>
        <v>5481021.3190847524</v>
      </c>
      <c r="P5" s="50">
        <f>lgh_bs!L5</f>
        <v>1228060.51330576</v>
      </c>
      <c r="Q5" s="50">
        <f>lgh_bs!M5</f>
        <v>4237821.3106101584</v>
      </c>
      <c r="R5" s="50">
        <f>lgh_bs!N5</f>
        <v>11526882.3945818</v>
      </c>
      <c r="S5" s="50">
        <f>lgh_bs!O5</f>
        <v>21344225.0110933</v>
      </c>
      <c r="T5" s="50">
        <f>lgh_bs!P5</f>
        <v>25998034.488410067</v>
      </c>
      <c r="U5" s="43"/>
      <c r="V5" s="421">
        <v>420309.59358124249</v>
      </c>
      <c r="W5" s="68">
        <v>5306064.9844554076</v>
      </c>
      <c r="X5" s="68">
        <v>10576671.726005491</v>
      </c>
      <c r="Y5" s="68">
        <v>7017080.2817227002</v>
      </c>
      <c r="Z5" s="68">
        <v>2766709.9181634919</v>
      </c>
      <c r="AA5" s="68">
        <v>5785838.5976136224</v>
      </c>
      <c r="AB5" s="68">
        <v>13083444.852195369</v>
      </c>
      <c r="AC5" s="68">
        <v>22908452.13399528</v>
      </c>
      <c r="AD5" s="68">
        <v>27568985.25030591</v>
      </c>
      <c r="AE5" s="50"/>
      <c r="AF5" s="46" t="s">
        <v>188</v>
      </c>
      <c r="AG5" s="50">
        <f t="shared" ref="AG5:AG36" si="0">L5-V5</f>
        <v>2714.2857142854482</v>
      </c>
      <c r="AH5" s="50">
        <f t="shared" ref="AH5:AH36" si="1">M5-W5</f>
        <v>-1530935.7857142864</v>
      </c>
      <c r="AI5" s="50">
        <f t="shared" ref="AI5:AI36" si="2">N5-X5</f>
        <v>-1533487.8041071463</v>
      </c>
      <c r="AJ5" s="50">
        <f t="shared" ref="AJ5:AJ36" si="3">O5-Y5</f>
        <v>-1536058.9626379479</v>
      </c>
      <c r="AK5" s="50">
        <f t="shared" ref="AK5:AK36" si="4">P5-Z5</f>
        <v>-1538649.4048577319</v>
      </c>
      <c r="AL5" s="50">
        <f t="shared" ref="AL5:AL36" si="5">Q5-AA5</f>
        <v>-1548017.2870034641</v>
      </c>
      <c r="AM5" s="50">
        <f t="shared" ref="AM5:AM36" si="6">R5-AB5</f>
        <v>-1556562.4576135688</v>
      </c>
      <c r="AN5" s="50">
        <f t="shared" ref="AN5:AN36" si="7">S5-AC5</f>
        <v>-1564227.1229019798</v>
      </c>
      <c r="AO5" s="50">
        <f t="shared" ref="AO5:AO36" si="8">T5-AD5</f>
        <v>-1570950.7618958429</v>
      </c>
    </row>
    <row r="6" spans="1:41">
      <c r="A6" s="43"/>
      <c r="B6" s="43"/>
      <c r="C6" s="46" t="s">
        <v>189</v>
      </c>
      <c r="D6" s="50">
        <f>lgh_bs!D6</f>
        <v>56391898.801753417</v>
      </c>
      <c r="E6" s="446"/>
      <c r="F6" s="446"/>
      <c r="G6" s="446"/>
      <c r="H6" s="446"/>
      <c r="I6" s="50">
        <f>lgh_bs!E6</f>
        <v>48342875.134681299</v>
      </c>
      <c r="J6" s="50">
        <f>lgh_bs!F6</f>
        <v>49230679.602836721</v>
      </c>
      <c r="K6" s="50">
        <f>lgh_bs!G6</f>
        <v>51936302.561434597</v>
      </c>
      <c r="L6" s="50">
        <f>lgh_bs!H6</f>
        <v>46803856.975500621</v>
      </c>
      <c r="M6" s="50">
        <f>lgh_bs!I6</f>
        <v>46688396.145441398</v>
      </c>
      <c r="N6" s="50">
        <f>lgh_bs!J6</f>
        <v>47318458.658028975</v>
      </c>
      <c r="O6" s="50">
        <f>lgh_bs!K6</f>
        <v>47193848.832517855</v>
      </c>
      <c r="P6" s="50">
        <f>lgh_bs!L6</f>
        <v>60232309.356816709</v>
      </c>
      <c r="Q6" s="50">
        <f>lgh_bs!M6</f>
        <v>68658852.64218013</v>
      </c>
      <c r="R6" s="50">
        <f>lgh_bs!N6</f>
        <v>78031616.129979655</v>
      </c>
      <c r="S6" s="50">
        <f>lgh_bs!O6</f>
        <v>73752764.644625396</v>
      </c>
      <c r="T6" s="50">
        <f>lgh_bs!P6</f>
        <v>85421359.86438784</v>
      </c>
      <c r="U6" s="43"/>
      <c r="V6" s="68">
        <v>46803856.975500621</v>
      </c>
      <c r="W6" s="68">
        <v>46688396.145441398</v>
      </c>
      <c r="X6" s="68">
        <v>47318458.658028983</v>
      </c>
      <c r="Y6" s="68">
        <v>47193848.832517847</v>
      </c>
      <c r="Z6" s="68">
        <v>60232309.356816709</v>
      </c>
      <c r="AA6" s="68">
        <v>68658852.64218013</v>
      </c>
      <c r="AB6" s="68">
        <v>78031616.129979655</v>
      </c>
      <c r="AC6" s="68">
        <v>73752764.644625396</v>
      </c>
      <c r="AD6" s="68">
        <v>85421359.86438784</v>
      </c>
      <c r="AE6" s="50"/>
      <c r="AF6" s="46" t="s">
        <v>189</v>
      </c>
      <c r="AG6" s="50">
        <f t="shared" si="0"/>
        <v>0</v>
      </c>
      <c r="AH6" s="50">
        <f t="shared" si="1"/>
        <v>0</v>
      </c>
      <c r="AI6" s="50">
        <f t="shared" si="2"/>
        <v>0</v>
      </c>
      <c r="AJ6" s="50">
        <f t="shared" si="3"/>
        <v>0</v>
      </c>
      <c r="AK6" s="50">
        <f t="shared" si="4"/>
        <v>0</v>
      </c>
      <c r="AL6" s="50">
        <f t="shared" si="5"/>
        <v>0</v>
      </c>
      <c r="AM6" s="50">
        <f t="shared" si="6"/>
        <v>0</v>
      </c>
      <c r="AN6" s="50">
        <f t="shared" si="7"/>
        <v>0</v>
      </c>
      <c r="AO6" s="50">
        <f t="shared" si="8"/>
        <v>0</v>
      </c>
    </row>
    <row r="7" spans="1:41">
      <c r="A7" s="46" t="s">
        <v>190</v>
      </c>
      <c r="B7" s="46" t="s">
        <v>191</v>
      </c>
      <c r="C7" s="46" t="s">
        <v>192</v>
      </c>
      <c r="D7" s="50">
        <f>lgh_bs!D7</f>
        <v>56391898.801753417</v>
      </c>
      <c r="E7" s="446"/>
      <c r="F7" s="446"/>
      <c r="G7" s="446"/>
      <c r="H7" s="446"/>
      <c r="I7" s="50">
        <f>lgh_bs!E7</f>
        <v>48342875.134681299</v>
      </c>
      <c r="J7" s="50">
        <f>lgh_bs!F7</f>
        <v>49230679.602836721</v>
      </c>
      <c r="K7" s="50">
        <f>lgh_bs!G7</f>
        <v>51936302.561434597</v>
      </c>
      <c r="L7" s="50">
        <f>lgh_bs!H7</f>
        <v>46803856.975500621</v>
      </c>
      <c r="M7" s="50">
        <f>lgh_bs!I7</f>
        <v>46688396.145441398</v>
      </c>
      <c r="N7" s="50">
        <f>lgh_bs!J7</f>
        <v>47318458.658028975</v>
      </c>
      <c r="O7" s="50">
        <f>lgh_bs!K7</f>
        <v>47193848.832517855</v>
      </c>
      <c r="P7" s="50">
        <f>lgh_bs!L7</f>
        <v>60232309.356816709</v>
      </c>
      <c r="Q7" s="50">
        <f>lgh_bs!M7</f>
        <v>68658852.64218013</v>
      </c>
      <c r="R7" s="50">
        <f>lgh_bs!N7</f>
        <v>78031616.129979655</v>
      </c>
      <c r="S7" s="50">
        <f>lgh_bs!O7</f>
        <v>73752764.644625396</v>
      </c>
      <c r="T7" s="50">
        <f>lgh_bs!P7</f>
        <v>85421359.86438784</v>
      </c>
      <c r="U7" s="43"/>
      <c r="V7" s="68">
        <v>46803856.975500621</v>
      </c>
      <c r="W7" s="68">
        <v>46688396.145441398</v>
      </c>
      <c r="X7" s="68">
        <v>47318458.658028983</v>
      </c>
      <c r="Y7" s="68">
        <v>47193848.832517847</v>
      </c>
      <c r="Z7" s="68">
        <v>60232309.356816709</v>
      </c>
      <c r="AA7" s="68">
        <v>68658852.64218013</v>
      </c>
      <c r="AB7" s="68">
        <v>78031616.129979655</v>
      </c>
      <c r="AC7" s="68">
        <v>73752764.644625396</v>
      </c>
      <c r="AD7" s="68">
        <v>85421359.86438784</v>
      </c>
      <c r="AE7" s="50"/>
      <c r="AF7" s="46" t="s">
        <v>192</v>
      </c>
      <c r="AG7" s="50">
        <f t="shared" si="0"/>
        <v>0</v>
      </c>
      <c r="AH7" s="50">
        <f t="shared" si="1"/>
        <v>0</v>
      </c>
      <c r="AI7" s="50">
        <f t="shared" si="2"/>
        <v>0</v>
      </c>
      <c r="AJ7" s="50">
        <f t="shared" si="3"/>
        <v>0</v>
      </c>
      <c r="AK7" s="50">
        <f t="shared" si="4"/>
        <v>0</v>
      </c>
      <c r="AL7" s="50">
        <f t="shared" si="5"/>
        <v>0</v>
      </c>
      <c r="AM7" s="50">
        <f t="shared" si="6"/>
        <v>0</v>
      </c>
      <c r="AN7" s="50">
        <f t="shared" si="7"/>
        <v>0</v>
      </c>
      <c r="AO7" s="50">
        <f t="shared" si="8"/>
        <v>0</v>
      </c>
    </row>
    <row r="8" spans="1:41">
      <c r="A8" s="43"/>
      <c r="B8" s="43"/>
      <c r="C8" s="46" t="s">
        <v>52</v>
      </c>
      <c r="D8" s="50">
        <f>lgh_bs!D8</f>
        <v>30156389.300751191</v>
      </c>
      <c r="E8" s="446"/>
      <c r="F8" s="446"/>
      <c r="G8" s="446"/>
      <c r="H8" s="446"/>
      <c r="I8" s="50">
        <f>lgh_bs!E8</f>
        <v>26787735.559039082</v>
      </c>
      <c r="J8" s="50">
        <f>lgh_bs!F8</f>
        <v>26482397.788023833</v>
      </c>
      <c r="K8" s="50">
        <f>lgh_bs!G8</f>
        <v>24312674.64973608</v>
      </c>
      <c r="L8" s="50">
        <f>lgh_bs!H8</f>
        <v>18560900.092840675</v>
      </c>
      <c r="M8" s="50">
        <f>lgh_bs!I8</f>
        <v>18168834.975128654</v>
      </c>
      <c r="N8" s="50">
        <f>lgh_bs!J8</f>
        <v>20455751.332310468</v>
      </c>
      <c r="O8" s="50">
        <f>lgh_bs!K8</f>
        <v>20019625.632090211</v>
      </c>
      <c r="P8" s="50">
        <f>lgh_bs!L8</f>
        <v>20380869.458477151</v>
      </c>
      <c r="Q8" s="50">
        <f>lgh_bs!M8</f>
        <v>20527641.94701767</v>
      </c>
      <c r="R8" s="50">
        <f>lgh_bs!N8</f>
        <v>17612726.142882496</v>
      </c>
      <c r="S8" s="50">
        <f>lgh_bs!O8</f>
        <v>39638789.311446816</v>
      </c>
      <c r="T8" s="50">
        <f>lgh_bs!P8</f>
        <v>47083185.362348847</v>
      </c>
      <c r="U8" s="43"/>
      <c r="V8" s="68">
        <v>18560900.092840679</v>
      </c>
      <c r="W8" s="68">
        <v>18168834.975128651</v>
      </c>
      <c r="X8" s="68">
        <v>20455751.332310472</v>
      </c>
      <c r="Y8" s="68">
        <v>20019625.632090211</v>
      </c>
      <c r="Z8" s="68">
        <v>20380869.458477151</v>
      </c>
      <c r="AA8" s="68">
        <v>20527641.94701767</v>
      </c>
      <c r="AB8" s="68">
        <v>17612726.1428825</v>
      </c>
      <c r="AC8" s="68">
        <v>39638789.311446823</v>
      </c>
      <c r="AD8" s="68">
        <v>47083185.362348847</v>
      </c>
      <c r="AE8" s="50"/>
      <c r="AF8" s="46" t="s">
        <v>52</v>
      </c>
      <c r="AG8" s="50">
        <f t="shared" si="0"/>
        <v>0</v>
      </c>
      <c r="AH8" s="50">
        <f t="shared" si="1"/>
        <v>0</v>
      </c>
      <c r="AI8" s="50">
        <f t="shared" si="2"/>
        <v>0</v>
      </c>
      <c r="AJ8" s="50">
        <f t="shared" si="3"/>
        <v>0</v>
      </c>
      <c r="AK8" s="50">
        <f t="shared" si="4"/>
        <v>0</v>
      </c>
      <c r="AL8" s="50">
        <f t="shared" si="5"/>
        <v>0</v>
      </c>
      <c r="AM8" s="50">
        <f t="shared" si="6"/>
        <v>0</v>
      </c>
      <c r="AN8" s="50">
        <f t="shared" si="7"/>
        <v>0</v>
      </c>
      <c r="AO8" s="50">
        <f t="shared" si="8"/>
        <v>0</v>
      </c>
    </row>
    <row r="9" spans="1:41">
      <c r="A9" s="46" t="s">
        <v>193</v>
      </c>
      <c r="B9" s="46" t="s">
        <v>113</v>
      </c>
      <c r="C9" s="46" t="s">
        <v>192</v>
      </c>
      <c r="D9" s="50">
        <f>lgh_bs!D9</f>
        <v>15926855.202205271</v>
      </c>
      <c r="E9" s="446"/>
      <c r="F9" s="446"/>
      <c r="G9" s="446"/>
      <c r="H9" s="446"/>
      <c r="I9" s="50">
        <f>lgh_bs!E9</f>
        <v>18088592.03096962</v>
      </c>
      <c r="J9" s="50">
        <f>lgh_bs!F9</f>
        <v>17359150.428619672</v>
      </c>
      <c r="K9" s="50">
        <f>lgh_bs!G9</f>
        <v>15109714.093862126</v>
      </c>
      <c r="L9" s="50">
        <f>lgh_bs!H9</f>
        <v>7753407.414941581</v>
      </c>
      <c r="M9" s="50">
        <f>lgh_bs!I9</f>
        <v>6038275.3593691019</v>
      </c>
      <c r="N9" s="50">
        <f>lgh_bs!J9</f>
        <v>4849926.1457863338</v>
      </c>
      <c r="O9" s="50">
        <f>lgh_bs!K9</f>
        <v>3974250.1732844282</v>
      </c>
      <c r="P9" s="50">
        <f>lgh_bs!L9</f>
        <v>3116853.7677923306</v>
      </c>
      <c r="Q9" s="50">
        <f>lgh_bs!M9</f>
        <v>0</v>
      </c>
      <c r="R9" s="50">
        <f>lgh_bs!N9</f>
        <v>0</v>
      </c>
      <c r="S9" s="50">
        <f>lgh_bs!O9</f>
        <v>0</v>
      </c>
      <c r="T9" s="50">
        <f>lgh_bs!P9</f>
        <v>0</v>
      </c>
      <c r="U9" s="43"/>
      <c r="V9" s="68">
        <v>7753407.414941581</v>
      </c>
      <c r="W9" s="68">
        <v>6038275.3593691019</v>
      </c>
      <c r="X9" s="68">
        <v>4849926.1457863338</v>
      </c>
      <c r="Y9" s="68">
        <v>3974250.1732844282</v>
      </c>
      <c r="Z9" s="68">
        <v>3116853.7677923311</v>
      </c>
      <c r="AA9" s="68">
        <v>0</v>
      </c>
      <c r="AB9" s="68">
        <v>0</v>
      </c>
      <c r="AC9" s="68">
        <v>0</v>
      </c>
      <c r="AD9" s="68">
        <v>0</v>
      </c>
      <c r="AE9" s="50"/>
      <c r="AF9" s="46" t="s">
        <v>192</v>
      </c>
      <c r="AG9" s="50">
        <f t="shared" si="0"/>
        <v>0</v>
      </c>
      <c r="AH9" s="50">
        <f t="shared" si="1"/>
        <v>0</v>
      </c>
      <c r="AI9" s="50">
        <f t="shared" si="2"/>
        <v>0</v>
      </c>
      <c r="AJ9" s="50">
        <f t="shared" si="3"/>
        <v>0</v>
      </c>
      <c r="AK9" s="50">
        <f t="shared" si="4"/>
        <v>0</v>
      </c>
      <c r="AL9" s="50">
        <f t="shared" si="5"/>
        <v>0</v>
      </c>
      <c r="AM9" s="50">
        <f t="shared" si="6"/>
        <v>0</v>
      </c>
      <c r="AN9" s="50">
        <f t="shared" si="7"/>
        <v>0</v>
      </c>
      <c r="AO9" s="50">
        <f t="shared" si="8"/>
        <v>0</v>
      </c>
    </row>
    <row r="10" spans="1:41">
      <c r="A10" s="46" t="s">
        <v>193</v>
      </c>
      <c r="B10" s="46" t="s">
        <v>115</v>
      </c>
      <c r="C10" s="46" t="s">
        <v>194</v>
      </c>
      <c r="D10" s="50">
        <f>lgh_bs!D10</f>
        <v>5608281.3808370735</v>
      </c>
      <c r="E10" s="540"/>
      <c r="F10" s="540"/>
      <c r="G10" s="540"/>
      <c r="H10" s="540"/>
      <c r="I10" s="50">
        <f>lgh_bs!E10</f>
        <v>5792434.4566366132</v>
      </c>
      <c r="J10" s="50">
        <f>lgh_bs!F10</f>
        <v>5984782.4088378381</v>
      </c>
      <c r="K10" s="50">
        <f>lgh_bs!G10</f>
        <v>6185737.7795300223</v>
      </c>
      <c r="L10" s="50">
        <f>lgh_bs!H10</f>
        <v>6393440.7741542654</v>
      </c>
      <c r="M10" s="50">
        <f>lgh_bs!I10</f>
        <v>6603375.2805657405</v>
      </c>
      <c r="N10" s="50">
        <f>lgh_bs!J10</f>
        <v>6822651.9460751358</v>
      </c>
      <c r="O10" s="50">
        <f>lgh_bs!K10</f>
        <v>7051741.0686642267</v>
      </c>
      <c r="P10" s="50">
        <f>lgh_bs!L10</f>
        <v>7288522.4825358614</v>
      </c>
      <c r="Q10" s="50">
        <f>lgh_bs!M10</f>
        <v>6806296.4560152246</v>
      </c>
      <c r="R10" s="50">
        <f>lgh_bs!N10</f>
        <v>4230778.4205505513</v>
      </c>
      <c r="S10" s="50">
        <f>lgh_bs!O10</f>
        <v>4951306.8763720598</v>
      </c>
      <c r="T10" s="50">
        <f>lgh_bs!P10</f>
        <v>4764456.7915576464</v>
      </c>
      <c r="U10" s="43"/>
      <c r="V10" s="68">
        <v>6393440.7741542654</v>
      </c>
      <c r="W10" s="68">
        <v>6603375.2805657405</v>
      </c>
      <c r="X10" s="68">
        <v>6822651.9460751358</v>
      </c>
      <c r="Y10" s="68">
        <v>7051741.0686642267</v>
      </c>
      <c r="Z10" s="68">
        <v>7288522.4825358614</v>
      </c>
      <c r="AA10" s="68">
        <v>6806296.4560152246</v>
      </c>
      <c r="AB10" s="68">
        <v>4230778.4205505513</v>
      </c>
      <c r="AC10" s="68">
        <v>4951306.8763720598</v>
      </c>
      <c r="AD10" s="68">
        <v>4764456.7915576464</v>
      </c>
      <c r="AE10" s="50"/>
      <c r="AF10" s="46" t="s">
        <v>194</v>
      </c>
      <c r="AG10" s="50">
        <f t="shared" si="0"/>
        <v>0</v>
      </c>
      <c r="AH10" s="50">
        <f t="shared" si="1"/>
        <v>0</v>
      </c>
      <c r="AI10" s="50">
        <f t="shared" si="2"/>
        <v>0</v>
      </c>
      <c r="AJ10" s="50">
        <f t="shared" si="3"/>
        <v>0</v>
      </c>
      <c r="AK10" s="50">
        <f t="shared" si="4"/>
        <v>0</v>
      </c>
      <c r="AL10" s="50">
        <f t="shared" si="5"/>
        <v>0</v>
      </c>
      <c r="AM10" s="50">
        <f t="shared" si="6"/>
        <v>0</v>
      </c>
      <c r="AN10" s="50">
        <f t="shared" si="7"/>
        <v>0</v>
      </c>
      <c r="AO10" s="50">
        <f t="shared" si="8"/>
        <v>0</v>
      </c>
    </row>
    <row r="11" spans="1:41">
      <c r="A11" s="46" t="s">
        <v>193</v>
      </c>
      <c r="B11" s="46" t="s">
        <v>114</v>
      </c>
      <c r="C11" s="46" t="s">
        <v>195</v>
      </c>
      <c r="D11" s="50">
        <f>lgh_bs!D11</f>
        <v>8621252.7177088577</v>
      </c>
      <c r="E11" s="446"/>
      <c r="F11" s="446"/>
      <c r="G11" s="446"/>
      <c r="H11" s="446"/>
      <c r="I11" s="50">
        <f>lgh_bs!E11</f>
        <v>2691709.0714328461</v>
      </c>
      <c r="J11" s="50">
        <f>lgh_bs!F11</f>
        <v>2849464.9505663249</v>
      </c>
      <c r="K11" s="50">
        <f>lgh_bs!G11</f>
        <v>3017222.776343931</v>
      </c>
      <c r="L11" s="50">
        <f>lgh_bs!H11</f>
        <v>4124556.903744827</v>
      </c>
      <c r="M11" s="50">
        <f>lgh_bs!I11</f>
        <v>4237689.3351938138</v>
      </c>
      <c r="N11" s="50">
        <f>lgh_bs!J11</f>
        <v>6873678.2404489974</v>
      </c>
      <c r="O11" s="50">
        <f>lgh_bs!K11</f>
        <v>7084139.3901415551</v>
      </c>
      <c r="P11" s="50">
        <f>lgh_bs!L11</f>
        <v>7315998.2081489582</v>
      </c>
      <c r="Q11" s="50">
        <f>lgh_bs!M11</f>
        <v>10662926.241002446</v>
      </c>
      <c r="R11" s="50">
        <f>lgh_bs!N11</f>
        <v>9864765.5848319475</v>
      </c>
      <c r="S11" s="50">
        <f>lgh_bs!O11</f>
        <v>34687482.435074754</v>
      </c>
      <c r="T11" s="50">
        <f>lgh_bs!P11</f>
        <v>42318728.5707912</v>
      </c>
      <c r="U11" s="43"/>
      <c r="V11" s="68">
        <v>4124556.903744827</v>
      </c>
      <c r="W11" s="68">
        <v>4237689.3351938138</v>
      </c>
      <c r="X11" s="68">
        <v>6873678.2404489974</v>
      </c>
      <c r="Y11" s="68">
        <v>7084139.3901415551</v>
      </c>
      <c r="Z11" s="68">
        <v>7315998.2081489582</v>
      </c>
      <c r="AA11" s="68">
        <v>10662926.24100245</v>
      </c>
      <c r="AB11" s="68">
        <v>9864765.5848319475</v>
      </c>
      <c r="AC11" s="68">
        <v>34687482.435074747</v>
      </c>
      <c r="AD11" s="68">
        <v>42318728.5707912</v>
      </c>
      <c r="AE11" s="50"/>
      <c r="AF11" s="46" t="s">
        <v>195</v>
      </c>
      <c r="AG11" s="50">
        <f t="shared" si="0"/>
        <v>0</v>
      </c>
      <c r="AH11" s="50">
        <f t="shared" si="1"/>
        <v>0</v>
      </c>
      <c r="AI11" s="50">
        <f t="shared" si="2"/>
        <v>0</v>
      </c>
      <c r="AJ11" s="50">
        <f t="shared" si="3"/>
        <v>0</v>
      </c>
      <c r="AK11" s="50">
        <f t="shared" si="4"/>
        <v>0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</row>
    <row r="12" spans="1:41">
      <c r="A12" s="43"/>
      <c r="B12" s="43"/>
      <c r="C12" s="46" t="s">
        <v>196</v>
      </c>
      <c r="D12" s="50">
        <f>lgh_bs!D12</f>
        <v>0</v>
      </c>
      <c r="E12" s="624"/>
      <c r="F12" s="624"/>
      <c r="G12" s="624"/>
      <c r="H12" s="624"/>
      <c r="I12" s="50">
        <f>lgh_bs!E12</f>
        <v>215000</v>
      </c>
      <c r="J12" s="50">
        <f>lgh_bs!F12</f>
        <v>289000</v>
      </c>
      <c r="K12" s="50">
        <f>lgh_bs!G12</f>
        <v>0</v>
      </c>
      <c r="L12" s="50">
        <f>lgh_bs!H12</f>
        <v>289495</v>
      </c>
      <c r="M12" s="50">
        <f>lgh_bs!I12</f>
        <v>1289495</v>
      </c>
      <c r="N12" s="50">
        <f>lgh_bs!J12</f>
        <v>1909495</v>
      </c>
      <c r="O12" s="50">
        <f>lgh_bs!K12</f>
        <v>1909495</v>
      </c>
      <c r="P12" s="50">
        <f>lgh_bs!L12</f>
        <v>2659495</v>
      </c>
      <c r="Q12" s="50">
        <f>lgh_bs!M12</f>
        <v>3058419.2499999995</v>
      </c>
      <c r="R12" s="50">
        <f>lgh_bs!N12</f>
        <v>3517182.1374999993</v>
      </c>
      <c r="S12" s="50">
        <f>lgh_bs!O12</f>
        <v>0</v>
      </c>
      <c r="T12" s="50">
        <f>lgh_bs!P12</f>
        <v>0</v>
      </c>
      <c r="U12" s="43"/>
      <c r="V12" s="68">
        <v>289495</v>
      </c>
      <c r="W12" s="68">
        <v>1289495</v>
      </c>
      <c r="X12" s="68">
        <v>1909495</v>
      </c>
      <c r="Y12" s="68">
        <v>1909495</v>
      </c>
      <c r="Z12" s="68">
        <v>2659495</v>
      </c>
      <c r="AA12" s="68">
        <v>3058419.25</v>
      </c>
      <c r="AB12" s="68">
        <v>3517182.1374999988</v>
      </c>
      <c r="AC12" s="68">
        <v>0</v>
      </c>
      <c r="AD12" s="68">
        <v>0</v>
      </c>
      <c r="AE12" s="50"/>
      <c r="AF12" s="46" t="s">
        <v>196</v>
      </c>
      <c r="AG12" s="50">
        <f t="shared" si="0"/>
        <v>0</v>
      </c>
      <c r="AH12" s="50">
        <f t="shared" si="1"/>
        <v>0</v>
      </c>
      <c r="AI12" s="50">
        <f t="shared" si="2"/>
        <v>0</v>
      </c>
      <c r="AJ12" s="50">
        <f t="shared" si="3"/>
        <v>0</v>
      </c>
      <c r="AK12" s="50">
        <f t="shared" si="4"/>
        <v>0</v>
      </c>
      <c r="AL12" s="50">
        <f t="shared" si="5"/>
        <v>0</v>
      </c>
      <c r="AM12" s="50">
        <f t="shared" si="6"/>
        <v>0</v>
      </c>
      <c r="AN12" s="50">
        <f t="shared" si="7"/>
        <v>0</v>
      </c>
      <c r="AO12" s="50">
        <f t="shared" si="8"/>
        <v>0</v>
      </c>
    </row>
    <row r="13" spans="1:41">
      <c r="A13" s="43"/>
      <c r="B13" s="43"/>
      <c r="C13" s="46" t="s">
        <v>53</v>
      </c>
      <c r="D13" s="50">
        <f>lgh_bs!D13</f>
        <v>30602658.149102628</v>
      </c>
      <c r="E13" s="624"/>
      <c r="F13" s="624"/>
      <c r="G13" s="624"/>
      <c r="H13" s="624"/>
      <c r="I13" s="50">
        <f>lgh_bs!E13</f>
        <v>35723216.42177093</v>
      </c>
      <c r="J13" s="50">
        <f>lgh_bs!F13</f>
        <v>38565928.424821809</v>
      </c>
      <c r="K13" s="50">
        <f>lgh_bs!G13</f>
        <v>40379580.576386034</v>
      </c>
      <c r="L13" s="50">
        <f>lgh_bs!H13</f>
        <v>40032700.798691444</v>
      </c>
      <c r="M13" s="50">
        <f>lgh_bs!I13</f>
        <v>36265000.089758396</v>
      </c>
      <c r="N13" s="50">
        <f>lgh_bs!J13</f>
        <v>38900747.169811323</v>
      </c>
      <c r="O13" s="50">
        <f>lgh_bs!K13</f>
        <v>41760245.297078438</v>
      </c>
      <c r="P13" s="50">
        <f>lgh_bs!L13</f>
        <v>50265874.093843371</v>
      </c>
      <c r="Q13" s="50">
        <f>lgh_bs!M13</f>
        <v>32637075</v>
      </c>
      <c r="R13" s="50">
        <f>lgh_bs!N13</f>
        <v>33952187.25</v>
      </c>
      <c r="S13" s="50">
        <f>lgh_bs!O13</f>
        <v>35273002.8675</v>
      </c>
      <c r="T13" s="50">
        <f>lgh_bs!P13</f>
        <v>37231192.953525007</v>
      </c>
      <c r="U13" s="43"/>
      <c r="V13" s="68">
        <v>40032700.798691437</v>
      </c>
      <c r="W13" s="68">
        <v>36265000.089758404</v>
      </c>
      <c r="X13" s="68">
        <v>38900747.169811323</v>
      </c>
      <c r="Y13" s="68">
        <v>41760245.297078438</v>
      </c>
      <c r="Z13" s="68">
        <v>50265874.093843371</v>
      </c>
      <c r="AA13" s="68">
        <v>32637075</v>
      </c>
      <c r="AB13" s="68">
        <v>33952187.25</v>
      </c>
      <c r="AC13" s="68">
        <v>35273002.8675</v>
      </c>
      <c r="AD13" s="68">
        <v>37231192.953525007</v>
      </c>
      <c r="AE13" s="50"/>
      <c r="AF13" s="46" t="s">
        <v>53</v>
      </c>
      <c r="AG13" s="50">
        <f t="shared" si="0"/>
        <v>0</v>
      </c>
      <c r="AH13" s="50">
        <f t="shared" si="1"/>
        <v>0</v>
      </c>
      <c r="AI13" s="50">
        <f t="shared" si="2"/>
        <v>0</v>
      </c>
      <c r="AJ13" s="50">
        <f t="shared" si="3"/>
        <v>0</v>
      </c>
      <c r="AK13" s="50">
        <f t="shared" si="4"/>
        <v>0</v>
      </c>
      <c r="AL13" s="50">
        <f t="shared" si="5"/>
        <v>0</v>
      </c>
      <c r="AM13" s="50">
        <f t="shared" si="6"/>
        <v>0</v>
      </c>
      <c r="AN13" s="50">
        <f t="shared" si="7"/>
        <v>0</v>
      </c>
      <c r="AO13" s="50">
        <f t="shared" si="8"/>
        <v>0</v>
      </c>
    </row>
    <row r="14" spans="1:41">
      <c r="A14" s="46" t="s">
        <v>197</v>
      </c>
      <c r="B14" s="46" t="s">
        <v>113</v>
      </c>
      <c r="C14" s="46" t="s">
        <v>192</v>
      </c>
      <c r="D14" s="50">
        <f>lgh_bs!D14</f>
        <v>30602658.149102628</v>
      </c>
      <c r="E14" s="446"/>
      <c r="F14" s="446"/>
      <c r="G14" s="446"/>
      <c r="H14" s="446"/>
      <c r="I14" s="50">
        <f>lgh_bs!E14</f>
        <v>35723216.42177093</v>
      </c>
      <c r="J14" s="50">
        <f>lgh_bs!F14</f>
        <v>38565928.424821809</v>
      </c>
      <c r="K14" s="50">
        <f>lgh_bs!G14</f>
        <v>40379580.576386034</v>
      </c>
      <c r="L14" s="50">
        <f>lgh_bs!H14</f>
        <v>40032700.798691444</v>
      </c>
      <c r="M14" s="50">
        <f>lgh_bs!I14</f>
        <v>36265000.089758396</v>
      </c>
      <c r="N14" s="50">
        <f>lgh_bs!J14</f>
        <v>38900747.169811323</v>
      </c>
      <c r="O14" s="50">
        <f>lgh_bs!K14</f>
        <v>41760245.297078438</v>
      </c>
      <c r="P14" s="50">
        <f>lgh_bs!L14</f>
        <v>50265874.093843371</v>
      </c>
      <c r="Q14" s="50">
        <f>lgh_bs!M14</f>
        <v>32637075</v>
      </c>
      <c r="R14" s="50">
        <f>lgh_bs!N14</f>
        <v>33952187.25</v>
      </c>
      <c r="S14" s="50">
        <f>lgh_bs!O14</f>
        <v>35273002.8675</v>
      </c>
      <c r="T14" s="50">
        <f>lgh_bs!P14</f>
        <v>37231192.953525007</v>
      </c>
      <c r="U14" s="43"/>
      <c r="V14" s="68">
        <v>40032700.798691437</v>
      </c>
      <c r="W14" s="68">
        <v>36265000.089758404</v>
      </c>
      <c r="X14" s="68">
        <v>38900747.169811323</v>
      </c>
      <c r="Y14" s="68">
        <v>41760245.297078438</v>
      </c>
      <c r="Z14" s="68">
        <v>50265874.093843371</v>
      </c>
      <c r="AA14" s="68">
        <v>32637075</v>
      </c>
      <c r="AB14" s="68">
        <v>33952187.25</v>
      </c>
      <c r="AC14" s="68">
        <v>35273002.8675</v>
      </c>
      <c r="AD14" s="68">
        <v>37231192.953525007</v>
      </c>
      <c r="AE14" s="50"/>
      <c r="AF14" s="46" t="s">
        <v>192</v>
      </c>
      <c r="AG14" s="50">
        <f t="shared" si="0"/>
        <v>0</v>
      </c>
      <c r="AH14" s="50">
        <f t="shared" si="1"/>
        <v>0</v>
      </c>
      <c r="AI14" s="50">
        <f t="shared" si="2"/>
        <v>0</v>
      </c>
      <c r="AJ14" s="50">
        <f t="shared" si="3"/>
        <v>0</v>
      </c>
      <c r="AK14" s="50">
        <f t="shared" si="4"/>
        <v>0</v>
      </c>
      <c r="AL14" s="50">
        <f t="shared" si="5"/>
        <v>0</v>
      </c>
      <c r="AM14" s="50">
        <f t="shared" si="6"/>
        <v>0</v>
      </c>
      <c r="AN14" s="50">
        <f t="shared" si="7"/>
        <v>0</v>
      </c>
      <c r="AO14" s="50">
        <f t="shared" si="8"/>
        <v>0</v>
      </c>
    </row>
    <row r="15" spans="1:41">
      <c r="A15" s="43"/>
      <c r="B15" s="43"/>
      <c r="C15" s="46" t="s">
        <v>28</v>
      </c>
      <c r="D15" s="50">
        <f>lgh_bs!D15</f>
        <v>5000000</v>
      </c>
      <c r="E15" s="446"/>
      <c r="F15" s="446"/>
      <c r="G15" s="446"/>
      <c r="H15" s="446"/>
      <c r="I15" s="50">
        <f>lgh_bs!E15</f>
        <v>17383391.370336019</v>
      </c>
      <c r="J15" s="50">
        <f>lgh_bs!F15</f>
        <v>19070671.377654947</v>
      </c>
      <c r="K15" s="50">
        <f>lgh_bs!G15</f>
        <v>20943032.234737165</v>
      </c>
      <c r="L15" s="50">
        <f>lgh_bs!H15</f>
        <v>22999221.710629381</v>
      </c>
      <c r="M15" s="50">
        <f>lgh_bs!I15</f>
        <v>28009536.136664666</v>
      </c>
      <c r="N15" s="50">
        <f>lgh_bs!J15</f>
        <v>30460556.806394603</v>
      </c>
      <c r="O15" s="50">
        <f>lgh_bs!K15</f>
        <v>33156609.146139551</v>
      </c>
      <c r="P15" s="50">
        <f>lgh_bs!L15</f>
        <v>36091288.056792036</v>
      </c>
      <c r="Q15" s="50">
        <f>lgh_bs!M15</f>
        <v>56628545.428496853</v>
      </c>
      <c r="R15" s="50">
        <f>lgh_bs!N15</f>
        <v>76968139.315230623</v>
      </c>
      <c r="S15" s="50">
        <f>lgh_bs!O15</f>
        <v>97729625</v>
      </c>
      <c r="T15" s="50">
        <f>lgh_bs!P15</f>
        <v>104879625</v>
      </c>
      <c r="U15" s="43"/>
      <c r="V15" s="68">
        <v>22999221.710629381</v>
      </c>
      <c r="W15" s="68">
        <v>28009536.13666467</v>
      </c>
      <c r="X15" s="68">
        <v>30460556.806394599</v>
      </c>
      <c r="Y15" s="68">
        <v>33156609.146139551</v>
      </c>
      <c r="Z15" s="68">
        <v>36091288.056792043</v>
      </c>
      <c r="AA15" s="68">
        <v>56628545.428496853</v>
      </c>
      <c r="AB15" s="68">
        <v>76968139.315230623</v>
      </c>
      <c r="AC15" s="68">
        <v>97729625</v>
      </c>
      <c r="AD15" s="68">
        <v>104879625</v>
      </c>
      <c r="AE15" s="50"/>
      <c r="AF15" s="46" t="s">
        <v>28</v>
      </c>
      <c r="AG15" s="50">
        <f t="shared" si="0"/>
        <v>0</v>
      </c>
      <c r="AH15" s="50">
        <f t="shared" si="1"/>
        <v>0</v>
      </c>
      <c r="AI15" s="50">
        <f t="shared" si="2"/>
        <v>0</v>
      </c>
      <c r="AJ15" s="50">
        <f t="shared" si="3"/>
        <v>0</v>
      </c>
      <c r="AK15" s="50">
        <f t="shared" si="4"/>
        <v>0</v>
      </c>
      <c r="AL15" s="50">
        <f t="shared" si="5"/>
        <v>0</v>
      </c>
      <c r="AM15" s="50">
        <f t="shared" si="6"/>
        <v>0</v>
      </c>
      <c r="AN15" s="50">
        <f t="shared" si="7"/>
        <v>0</v>
      </c>
      <c r="AO15" s="50">
        <f t="shared" si="8"/>
        <v>0</v>
      </c>
    </row>
    <row r="16" spans="1:41">
      <c r="A16" s="46" t="s">
        <v>198</v>
      </c>
      <c r="B16" s="46" t="s">
        <v>113</v>
      </c>
      <c r="C16" s="46" t="s">
        <v>199</v>
      </c>
      <c r="D16" s="50">
        <f>lgh_bs!D16</f>
        <v>5000000</v>
      </c>
      <c r="E16" s="446"/>
      <c r="F16" s="446"/>
      <c r="G16" s="446"/>
      <c r="H16" s="446"/>
      <c r="I16" s="50">
        <f>lgh_bs!E16</f>
        <v>17383391.370336019</v>
      </c>
      <c r="J16" s="50">
        <f>lgh_bs!F16</f>
        <v>19070671.377654947</v>
      </c>
      <c r="K16" s="50">
        <f>lgh_bs!G16</f>
        <v>20943032.234737165</v>
      </c>
      <c r="L16" s="50">
        <f>lgh_bs!H16</f>
        <v>22999221.710629381</v>
      </c>
      <c r="M16" s="50">
        <f>lgh_bs!I16</f>
        <v>28009536.136664666</v>
      </c>
      <c r="N16" s="50">
        <f>lgh_bs!J16</f>
        <v>30460556.806394603</v>
      </c>
      <c r="O16" s="50">
        <f>lgh_bs!K16</f>
        <v>33156609.146139551</v>
      </c>
      <c r="P16" s="50">
        <f>lgh_bs!L16</f>
        <v>36091288.056792036</v>
      </c>
      <c r="Q16" s="50">
        <f>lgh_bs!M16</f>
        <v>56628545.428496853</v>
      </c>
      <c r="R16" s="50">
        <f>lgh_bs!N16</f>
        <v>76968139.315230623</v>
      </c>
      <c r="S16" s="50">
        <f>lgh_bs!O16</f>
        <v>97729625</v>
      </c>
      <c r="T16" s="50">
        <f>lgh_bs!P16</f>
        <v>104879625</v>
      </c>
      <c r="U16" s="43"/>
      <c r="V16" s="68">
        <v>22999221.710629381</v>
      </c>
      <c r="W16" s="68">
        <v>28009536.13666467</v>
      </c>
      <c r="X16" s="68">
        <v>30460556.806394599</v>
      </c>
      <c r="Y16" s="68">
        <v>33156609.146139551</v>
      </c>
      <c r="Z16" s="68">
        <v>36091288.056792043</v>
      </c>
      <c r="AA16" s="68">
        <v>56628545.428496853</v>
      </c>
      <c r="AB16" s="68">
        <v>76968139.315230623</v>
      </c>
      <c r="AC16" s="68">
        <v>97729625</v>
      </c>
      <c r="AD16" s="68">
        <v>104879625</v>
      </c>
      <c r="AE16" s="50"/>
      <c r="AF16" s="46" t="s">
        <v>199</v>
      </c>
      <c r="AG16" s="50">
        <f t="shared" si="0"/>
        <v>0</v>
      </c>
      <c r="AH16" s="50">
        <f t="shared" si="1"/>
        <v>0</v>
      </c>
      <c r="AI16" s="50">
        <f t="shared" si="2"/>
        <v>0</v>
      </c>
      <c r="AJ16" s="50">
        <f t="shared" si="3"/>
        <v>0</v>
      </c>
      <c r="AK16" s="50">
        <f t="shared" si="4"/>
        <v>0</v>
      </c>
      <c r="AL16" s="50">
        <f t="shared" si="5"/>
        <v>0</v>
      </c>
      <c r="AM16" s="50">
        <f t="shared" si="6"/>
        <v>0</v>
      </c>
      <c r="AN16" s="50">
        <f t="shared" si="7"/>
        <v>0</v>
      </c>
      <c r="AO16" s="50">
        <f t="shared" si="8"/>
        <v>0</v>
      </c>
    </row>
    <row r="17" spans="1:41">
      <c r="A17" s="43"/>
      <c r="B17" s="43"/>
      <c r="C17" s="46" t="s">
        <v>200</v>
      </c>
      <c r="D17" s="50">
        <f>lgh_bs!D17</f>
        <v>0</v>
      </c>
      <c r="E17" s="614"/>
      <c r="F17" s="614"/>
      <c r="G17" s="614"/>
      <c r="H17" s="614"/>
      <c r="I17" s="50">
        <f>lgh_bs!E17</f>
        <v>11353679.54322795</v>
      </c>
      <c r="J17" s="50">
        <f>lgh_bs!F17</f>
        <v>13799239.652720192</v>
      </c>
      <c r="K17" s="50">
        <f>lgh_bs!G17</f>
        <v>15549102.824653054</v>
      </c>
      <c r="L17" s="50">
        <f>lgh_bs!H17</f>
        <v>15839974.24952361</v>
      </c>
      <c r="M17" s="50">
        <f>lgh_bs!I17</f>
        <v>15929659.409396553</v>
      </c>
      <c r="N17" s="50">
        <f>lgh_bs!J17</f>
        <v>15182357.230999554</v>
      </c>
      <c r="O17" s="50">
        <f>lgh_bs!K17</f>
        <v>17072719.878932104</v>
      </c>
      <c r="P17" s="50">
        <f>lgh_bs!L17</f>
        <v>0</v>
      </c>
      <c r="Q17" s="50">
        <f>lgh_bs!M17</f>
        <v>0</v>
      </c>
      <c r="R17" s="50">
        <f>lgh_bs!N17</f>
        <v>0</v>
      </c>
      <c r="S17" s="50">
        <f>lgh_bs!O17</f>
        <v>0</v>
      </c>
      <c r="T17" s="50">
        <f>lgh_bs!P17</f>
        <v>0</v>
      </c>
      <c r="U17" s="43"/>
      <c r="V17" s="68">
        <v>15839974.24952361</v>
      </c>
      <c r="W17" s="68">
        <v>15929659.40939655</v>
      </c>
      <c r="X17" s="68">
        <v>15182357.23099955</v>
      </c>
      <c r="Y17" s="68">
        <v>17072719.8789321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50"/>
      <c r="AF17" s="46" t="s">
        <v>200</v>
      </c>
      <c r="AG17" s="50">
        <f t="shared" si="0"/>
        <v>0</v>
      </c>
      <c r="AH17" s="50">
        <f t="shared" si="1"/>
        <v>0</v>
      </c>
      <c r="AI17" s="50">
        <f t="shared" si="2"/>
        <v>0</v>
      </c>
      <c r="AJ17" s="50">
        <f t="shared" si="3"/>
        <v>0</v>
      </c>
      <c r="AK17" s="50">
        <f t="shared" si="4"/>
        <v>0</v>
      </c>
      <c r="AL17" s="50">
        <f t="shared" si="5"/>
        <v>0</v>
      </c>
      <c r="AM17" s="50">
        <f t="shared" si="6"/>
        <v>0</v>
      </c>
      <c r="AN17" s="50">
        <f t="shared" si="7"/>
        <v>0</v>
      </c>
      <c r="AO17" s="50">
        <f t="shared" si="8"/>
        <v>0</v>
      </c>
    </row>
    <row r="18" spans="1:41">
      <c r="A18" s="46" t="s">
        <v>200</v>
      </c>
      <c r="B18" s="46" t="s">
        <v>113</v>
      </c>
      <c r="C18" s="46" t="s">
        <v>200</v>
      </c>
      <c r="D18" s="50">
        <f>lgh_bs!D18</f>
        <v>0</v>
      </c>
      <c r="E18" s="614"/>
      <c r="F18" s="614"/>
      <c r="G18" s="614"/>
      <c r="H18" s="614"/>
      <c r="I18" s="50">
        <f>lgh_bs!E18</f>
        <v>11353679.54322795</v>
      </c>
      <c r="J18" s="50">
        <f>lgh_bs!F18</f>
        <v>13799239.652720192</v>
      </c>
      <c r="K18" s="50">
        <f>lgh_bs!G18</f>
        <v>15549102.824653054</v>
      </c>
      <c r="L18" s="50">
        <f>lgh_bs!H18</f>
        <v>15839974.24952361</v>
      </c>
      <c r="M18" s="50">
        <f>lgh_bs!I18</f>
        <v>15929659.409396553</v>
      </c>
      <c r="N18" s="50">
        <f>lgh_bs!J18</f>
        <v>15182357.230999554</v>
      </c>
      <c r="O18" s="50">
        <f>lgh_bs!K18</f>
        <v>17072719.878932104</v>
      </c>
      <c r="P18" s="50">
        <f>lgh_bs!L18</f>
        <v>0</v>
      </c>
      <c r="Q18" s="50">
        <f>lgh_bs!M18</f>
        <v>0</v>
      </c>
      <c r="R18" s="50">
        <f>lgh_bs!N18</f>
        <v>0</v>
      </c>
      <c r="S18" s="50">
        <f>lgh_bs!O18</f>
        <v>0</v>
      </c>
      <c r="T18" s="50">
        <f>lgh_bs!P18</f>
        <v>0</v>
      </c>
      <c r="U18" s="43"/>
      <c r="V18" s="68">
        <v>15839974.24952361</v>
      </c>
      <c r="W18" s="68">
        <v>15929659.40939655</v>
      </c>
      <c r="X18" s="68">
        <v>15182357.23099955</v>
      </c>
      <c r="Y18" s="68">
        <v>17072719.8789321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50"/>
      <c r="AF18" s="46" t="s">
        <v>200</v>
      </c>
      <c r="AG18" s="50">
        <f t="shared" si="0"/>
        <v>0</v>
      </c>
      <c r="AH18" s="50">
        <f t="shared" si="1"/>
        <v>0</v>
      </c>
      <c r="AI18" s="50">
        <f t="shared" si="2"/>
        <v>0</v>
      </c>
      <c r="AJ18" s="50">
        <f t="shared" si="3"/>
        <v>0</v>
      </c>
      <c r="AK18" s="50">
        <f t="shared" si="4"/>
        <v>0</v>
      </c>
      <c r="AL18" s="50">
        <f t="shared" si="5"/>
        <v>0</v>
      </c>
      <c r="AM18" s="50">
        <f t="shared" si="6"/>
        <v>0</v>
      </c>
      <c r="AN18" s="50">
        <f t="shared" si="7"/>
        <v>0</v>
      </c>
      <c r="AO18" s="50">
        <f t="shared" si="8"/>
        <v>0</v>
      </c>
    </row>
    <row r="19" spans="1:41">
      <c r="A19" s="43"/>
      <c r="B19" s="43"/>
      <c r="C19" s="117" t="str">
        <f>+C20</f>
        <v>[LSAT]</v>
      </c>
      <c r="D19" s="50">
        <f>lgh_bs!D19</f>
        <v>0</v>
      </c>
      <c r="E19" s="540"/>
      <c r="F19" s="540"/>
      <c r="G19" s="540"/>
      <c r="H19" s="540"/>
      <c r="I19" s="50">
        <f>lgh_bs!E19</f>
        <v>0</v>
      </c>
      <c r="J19" s="50">
        <f>lgh_bs!F19</f>
        <v>0</v>
      </c>
      <c r="K19" s="50">
        <f>lgh_bs!G19</f>
        <v>0</v>
      </c>
      <c r="L19" s="50">
        <f>lgh_bs!H19</f>
        <v>0</v>
      </c>
      <c r="M19" s="50">
        <f>lgh_bs!I19</f>
        <v>0</v>
      </c>
      <c r="N19" s="50">
        <f>lgh_bs!J19</f>
        <v>0</v>
      </c>
      <c r="O19" s="50">
        <f>lgh_bs!K19</f>
        <v>0</v>
      </c>
      <c r="P19" s="50">
        <f>lgh_bs!L19</f>
        <v>16000000</v>
      </c>
      <c r="Q19" s="50">
        <f>lgh_bs!M19</f>
        <v>16000000</v>
      </c>
      <c r="R19" s="50">
        <f>lgh_bs!N19</f>
        <v>20333333.333333332</v>
      </c>
      <c r="S19" s="50">
        <f>lgh_bs!O19</f>
        <v>22077380.952380951</v>
      </c>
      <c r="T19" s="50">
        <f>lgh_bs!P19</f>
        <v>21709415.5844156</v>
      </c>
      <c r="U19" s="43"/>
      <c r="V19" s="68">
        <v>0</v>
      </c>
      <c r="W19" s="68">
        <v>0</v>
      </c>
      <c r="X19" s="68">
        <v>0</v>
      </c>
      <c r="Y19" s="68">
        <v>0</v>
      </c>
      <c r="Z19" s="68">
        <v>16000000</v>
      </c>
      <c r="AA19" s="68">
        <v>16000000</v>
      </c>
      <c r="AB19" s="68">
        <v>20333333.333333328</v>
      </c>
      <c r="AC19" s="68">
        <v>22077380.952380951</v>
      </c>
      <c r="AD19" s="68">
        <v>21709415.5844156</v>
      </c>
      <c r="AE19" s="50"/>
      <c r="AF19" s="117" t="str">
        <f>+AF20</f>
        <v>[LSAT]</v>
      </c>
      <c r="AG19" s="50">
        <f t="shared" si="0"/>
        <v>0</v>
      </c>
      <c r="AH19" s="50">
        <f t="shared" si="1"/>
        <v>0</v>
      </c>
      <c r="AI19" s="50">
        <f t="shared" si="2"/>
        <v>0</v>
      </c>
      <c r="AJ19" s="50">
        <f t="shared" si="3"/>
        <v>0</v>
      </c>
      <c r="AK19" s="50">
        <f t="shared" si="4"/>
        <v>0</v>
      </c>
      <c r="AL19" s="50">
        <f t="shared" si="5"/>
        <v>0</v>
      </c>
      <c r="AM19" s="50">
        <f t="shared" si="6"/>
        <v>0</v>
      </c>
      <c r="AN19" s="50">
        <f t="shared" si="7"/>
        <v>0</v>
      </c>
      <c r="AO19" s="50">
        <f t="shared" si="8"/>
        <v>0</v>
      </c>
    </row>
    <row r="20" spans="1:41">
      <c r="A20" s="46" t="s">
        <v>201</v>
      </c>
      <c r="B20" s="46" t="s">
        <v>138</v>
      </c>
      <c r="C20" s="46" t="s">
        <v>30</v>
      </c>
      <c r="D20" s="50">
        <f>lgh_bs!D20</f>
        <v>0</v>
      </c>
      <c r="E20" s="446"/>
      <c r="F20" s="446"/>
      <c r="G20" s="446"/>
      <c r="H20" s="446"/>
      <c r="I20" s="50">
        <f>lgh_bs!E20</f>
        <v>0</v>
      </c>
      <c r="J20" s="50">
        <f>lgh_bs!F20</f>
        <v>0</v>
      </c>
      <c r="K20" s="50">
        <f>lgh_bs!G20</f>
        <v>0</v>
      </c>
      <c r="L20" s="50">
        <f>lgh_bs!H20</f>
        <v>0</v>
      </c>
      <c r="M20" s="50">
        <f>lgh_bs!I20</f>
        <v>0</v>
      </c>
      <c r="N20" s="50">
        <f>lgh_bs!J20</f>
        <v>0</v>
      </c>
      <c r="O20" s="50">
        <f>lgh_bs!K20</f>
        <v>0</v>
      </c>
      <c r="P20" s="50">
        <f>lgh_bs!L20</f>
        <v>16000000</v>
      </c>
      <c r="Q20" s="50">
        <f>lgh_bs!M20</f>
        <v>16000000</v>
      </c>
      <c r="R20" s="50">
        <f>lgh_bs!N20</f>
        <v>20333333.333333332</v>
      </c>
      <c r="S20" s="50">
        <f>lgh_bs!O20</f>
        <v>22077380.952380951</v>
      </c>
      <c r="T20" s="50">
        <f>lgh_bs!P20</f>
        <v>21709415.5844156</v>
      </c>
      <c r="U20" s="43"/>
      <c r="V20" s="68">
        <v>0</v>
      </c>
      <c r="W20" s="68">
        <v>0</v>
      </c>
      <c r="X20" s="68">
        <v>0</v>
      </c>
      <c r="Y20" s="68">
        <v>0</v>
      </c>
      <c r="Z20" s="68">
        <v>16000000</v>
      </c>
      <c r="AA20" s="68">
        <v>16000000</v>
      </c>
      <c r="AB20" s="68">
        <v>20333333.333333328</v>
      </c>
      <c r="AC20" s="68">
        <v>22077380.952380951</v>
      </c>
      <c r="AD20" s="68">
        <v>21709415.5844156</v>
      </c>
      <c r="AE20" s="50"/>
      <c r="AF20" s="46" t="s">
        <v>30</v>
      </c>
      <c r="AG20" s="50">
        <f t="shared" si="0"/>
        <v>0</v>
      </c>
      <c r="AH20" s="50">
        <f t="shared" si="1"/>
        <v>0</v>
      </c>
      <c r="AI20" s="50">
        <f t="shared" si="2"/>
        <v>0</v>
      </c>
      <c r="AJ20" s="50">
        <f t="shared" si="3"/>
        <v>0</v>
      </c>
      <c r="AK20" s="50">
        <f t="shared" si="4"/>
        <v>0</v>
      </c>
      <c r="AL20" s="50">
        <f t="shared" si="5"/>
        <v>0</v>
      </c>
      <c r="AM20" s="50">
        <f t="shared" si="6"/>
        <v>0</v>
      </c>
      <c r="AN20" s="50">
        <f t="shared" si="7"/>
        <v>0</v>
      </c>
      <c r="AO20" s="50">
        <f t="shared" si="8"/>
        <v>0</v>
      </c>
    </row>
    <row r="21" spans="1:41">
      <c r="A21" s="43"/>
      <c r="B21" s="43"/>
      <c r="C21" s="117" t="str">
        <f>+C22</f>
        <v>[L4]</v>
      </c>
      <c r="D21" s="50">
        <f>lgh_bs!D21</f>
        <v>0</v>
      </c>
      <c r="E21" s="491"/>
      <c r="F21" s="491"/>
      <c r="G21" s="491"/>
      <c r="H21" s="491"/>
      <c r="I21" s="50">
        <f>lgh_bs!E21</f>
        <v>0</v>
      </c>
      <c r="J21" s="50">
        <f>lgh_bs!F21</f>
        <v>0</v>
      </c>
      <c r="K21" s="50">
        <f>lgh_bs!G21</f>
        <v>0</v>
      </c>
      <c r="L21" s="50">
        <f>lgh_bs!H21</f>
        <v>0</v>
      </c>
      <c r="M21" s="50">
        <f>lgh_bs!I21</f>
        <v>0</v>
      </c>
      <c r="N21" s="50">
        <f>lgh_bs!J21</f>
        <v>0</v>
      </c>
      <c r="O21" s="50">
        <f>lgh_bs!K21</f>
        <v>0</v>
      </c>
      <c r="P21" s="50">
        <f>lgh_bs!L21</f>
        <v>0</v>
      </c>
      <c r="Q21" s="50">
        <f>lgh_bs!M21</f>
        <v>12500000</v>
      </c>
      <c r="R21" s="50">
        <f>lgh_bs!N21</f>
        <v>18750000</v>
      </c>
      <c r="S21" s="50">
        <f>lgh_bs!O21</f>
        <v>25000000</v>
      </c>
      <c r="T21" s="50">
        <f>lgh_bs!P21</f>
        <v>45000000</v>
      </c>
      <c r="U21" s="43"/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68">
        <v>12500000</v>
      </c>
      <c r="AB21" s="68">
        <v>18750000</v>
      </c>
      <c r="AC21" s="68">
        <v>25000000</v>
      </c>
      <c r="AD21" s="68">
        <v>45000000</v>
      </c>
      <c r="AE21" s="50"/>
      <c r="AF21" s="117" t="str">
        <f>+AF22</f>
        <v>[L4]</v>
      </c>
      <c r="AG21" s="50">
        <f t="shared" si="0"/>
        <v>0</v>
      </c>
      <c r="AH21" s="50">
        <f t="shared" si="1"/>
        <v>0</v>
      </c>
      <c r="AI21" s="50">
        <f t="shared" si="2"/>
        <v>0</v>
      </c>
      <c r="AJ21" s="50">
        <f t="shared" si="3"/>
        <v>0</v>
      </c>
      <c r="AK21" s="50">
        <f t="shared" si="4"/>
        <v>0</v>
      </c>
      <c r="AL21" s="50">
        <f t="shared" si="5"/>
        <v>0</v>
      </c>
      <c r="AM21" s="50">
        <f t="shared" si="6"/>
        <v>0</v>
      </c>
      <c r="AN21" s="50">
        <f t="shared" si="7"/>
        <v>0</v>
      </c>
      <c r="AO21" s="50">
        <f t="shared" si="8"/>
        <v>0</v>
      </c>
    </row>
    <row r="22" spans="1:41">
      <c r="A22" s="46" t="s">
        <v>201</v>
      </c>
      <c r="B22" s="46" t="s">
        <v>139</v>
      </c>
      <c r="C22" s="46" t="s">
        <v>33</v>
      </c>
      <c r="D22" s="50">
        <f>lgh_bs!D22</f>
        <v>0</v>
      </c>
      <c r="E22" s="540"/>
      <c r="F22" s="540"/>
      <c r="G22" s="540"/>
      <c r="H22" s="540"/>
      <c r="I22" s="50">
        <f>lgh_bs!E22</f>
        <v>0</v>
      </c>
      <c r="J22" s="50">
        <f>lgh_bs!F22</f>
        <v>0</v>
      </c>
      <c r="K22" s="50">
        <f>lgh_bs!G22</f>
        <v>0</v>
      </c>
      <c r="L22" s="50">
        <f>lgh_bs!H22</f>
        <v>0</v>
      </c>
      <c r="M22" s="50">
        <f>lgh_bs!I22</f>
        <v>0</v>
      </c>
      <c r="N22" s="50">
        <f>lgh_bs!J22</f>
        <v>0</v>
      </c>
      <c r="O22" s="50">
        <f>lgh_bs!K22</f>
        <v>0</v>
      </c>
      <c r="P22" s="50">
        <f>lgh_bs!L22</f>
        <v>0</v>
      </c>
      <c r="Q22" s="50">
        <f>lgh_bs!M22</f>
        <v>12500000</v>
      </c>
      <c r="R22" s="50">
        <f>lgh_bs!N22</f>
        <v>18750000</v>
      </c>
      <c r="S22" s="50">
        <f>lgh_bs!O22</f>
        <v>25000000</v>
      </c>
      <c r="T22" s="50">
        <f>lgh_bs!P22</f>
        <v>45000000</v>
      </c>
      <c r="U22" s="43"/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12500000</v>
      </c>
      <c r="AB22" s="68">
        <v>18750000</v>
      </c>
      <c r="AC22" s="68">
        <v>25000000</v>
      </c>
      <c r="AD22" s="68">
        <v>45000000</v>
      </c>
      <c r="AE22" s="50"/>
      <c r="AF22" s="46" t="s">
        <v>33</v>
      </c>
      <c r="AG22" s="50">
        <f t="shared" si="0"/>
        <v>0</v>
      </c>
      <c r="AH22" s="50">
        <f t="shared" si="1"/>
        <v>0</v>
      </c>
      <c r="AI22" s="50">
        <f t="shared" si="2"/>
        <v>0</v>
      </c>
      <c r="AJ22" s="50">
        <f t="shared" si="3"/>
        <v>0</v>
      </c>
      <c r="AK22" s="50">
        <f t="shared" si="4"/>
        <v>0</v>
      </c>
      <c r="AL22" s="50">
        <f t="shared" si="5"/>
        <v>0</v>
      </c>
      <c r="AM22" s="50">
        <f t="shared" si="6"/>
        <v>0</v>
      </c>
      <c r="AN22" s="50">
        <f t="shared" si="7"/>
        <v>0</v>
      </c>
      <c r="AO22" s="50">
        <f t="shared" si="8"/>
        <v>0</v>
      </c>
    </row>
    <row r="23" spans="1:41">
      <c r="A23" s="43"/>
      <c r="B23" s="43"/>
      <c r="C23" s="117" t="str">
        <f>+C24</f>
        <v>PV Loren fees (Key money)</v>
      </c>
      <c r="D23" s="50">
        <f>lgh_bs!D23</f>
        <v>20000000</v>
      </c>
      <c r="E23" s="540"/>
      <c r="F23" s="540"/>
      <c r="G23" s="540"/>
      <c r="H23" s="540"/>
      <c r="I23" s="50">
        <f>lgh_bs!E23</f>
        <v>20000000</v>
      </c>
      <c r="J23" s="50">
        <f>lgh_bs!F23</f>
        <v>20000000</v>
      </c>
      <c r="K23" s="50">
        <f>lgh_bs!G23</f>
        <v>20000000</v>
      </c>
      <c r="L23" s="50">
        <f>lgh_bs!H23</f>
        <v>20000000</v>
      </c>
      <c r="M23" s="50">
        <f>lgh_bs!I23</f>
        <v>20600000</v>
      </c>
      <c r="N23" s="50">
        <f>lgh_bs!J23</f>
        <v>21218000</v>
      </c>
      <c r="O23" s="50">
        <f>lgh_bs!K23</f>
        <v>26854540</v>
      </c>
      <c r="P23" s="50">
        <f>lgh_bs!L23</f>
        <v>27660176.199999999</v>
      </c>
      <c r="Q23" s="50">
        <f>lgh_bs!M23</f>
        <v>28489981.486000001</v>
      </c>
      <c r="R23" s="50">
        <f>lgh_bs!N23</f>
        <v>34344680.930580005</v>
      </c>
      <c r="S23" s="50">
        <f>lgh_bs!O23</f>
        <v>35375021.358497404</v>
      </c>
      <c r="T23" s="50">
        <f>lgh_bs!P23</f>
        <v>41436271.999252327</v>
      </c>
      <c r="U23" s="43"/>
      <c r="V23" s="68">
        <v>20000000</v>
      </c>
      <c r="W23" s="68">
        <v>20600000</v>
      </c>
      <c r="X23" s="68">
        <v>21218000</v>
      </c>
      <c r="Y23" s="68">
        <v>26854540</v>
      </c>
      <c r="Z23" s="68">
        <v>27660176.199999999</v>
      </c>
      <c r="AA23" s="68">
        <v>28489981.486000001</v>
      </c>
      <c r="AB23" s="68">
        <v>34344680.930580013</v>
      </c>
      <c r="AC23" s="68">
        <v>35375021.358497404</v>
      </c>
      <c r="AD23" s="68">
        <v>41436271.999252327</v>
      </c>
      <c r="AE23" s="50"/>
      <c r="AF23" s="117" t="str">
        <f>+AF24</f>
        <v>PV Loren fees (Key money)</v>
      </c>
      <c r="AG23" s="50">
        <f t="shared" si="0"/>
        <v>0</v>
      </c>
      <c r="AH23" s="50">
        <f t="shared" si="1"/>
        <v>0</v>
      </c>
      <c r="AI23" s="50">
        <f t="shared" si="2"/>
        <v>0</v>
      </c>
      <c r="AJ23" s="50">
        <f t="shared" si="3"/>
        <v>0</v>
      </c>
      <c r="AK23" s="50">
        <f t="shared" si="4"/>
        <v>0</v>
      </c>
      <c r="AL23" s="50">
        <f t="shared" si="5"/>
        <v>0</v>
      </c>
      <c r="AM23" s="50">
        <f t="shared" si="6"/>
        <v>0</v>
      </c>
      <c r="AN23" s="50">
        <f t="shared" si="7"/>
        <v>0</v>
      </c>
      <c r="AO23" s="50">
        <f t="shared" si="8"/>
        <v>0</v>
      </c>
    </row>
    <row r="24" spans="1:41">
      <c r="A24" s="46" t="s">
        <v>202</v>
      </c>
      <c r="B24" s="46" t="s">
        <v>122</v>
      </c>
      <c r="C24" s="46" t="s">
        <v>122</v>
      </c>
      <c r="D24" s="50">
        <f>lgh_bs!D24</f>
        <v>20000000</v>
      </c>
      <c r="E24" s="540"/>
      <c r="F24" s="540"/>
      <c r="G24" s="540"/>
      <c r="H24" s="540"/>
      <c r="I24" s="50">
        <f>lgh_bs!E24</f>
        <v>20000000</v>
      </c>
      <c r="J24" s="50">
        <f>lgh_bs!F24</f>
        <v>20000000</v>
      </c>
      <c r="K24" s="50">
        <f>lgh_bs!G24</f>
        <v>20000000</v>
      </c>
      <c r="L24" s="50">
        <f>lgh_bs!H24</f>
        <v>20000000</v>
      </c>
      <c r="M24" s="50">
        <f>lgh_bs!I24</f>
        <v>20600000</v>
      </c>
      <c r="N24" s="50">
        <f>lgh_bs!J24</f>
        <v>21218000</v>
      </c>
      <c r="O24" s="50">
        <f>lgh_bs!K24</f>
        <v>26854540</v>
      </c>
      <c r="P24" s="50">
        <f>lgh_bs!L24</f>
        <v>27660176.199999999</v>
      </c>
      <c r="Q24" s="50">
        <f>lgh_bs!M24</f>
        <v>28489981.486000001</v>
      </c>
      <c r="R24" s="50">
        <f>lgh_bs!N24</f>
        <v>34344680.930580005</v>
      </c>
      <c r="S24" s="50">
        <f>lgh_bs!O24</f>
        <v>35375021.358497404</v>
      </c>
      <c r="T24" s="50">
        <f>lgh_bs!P24</f>
        <v>41436271.999252327</v>
      </c>
      <c r="U24" s="43"/>
      <c r="V24" s="68">
        <v>20000000</v>
      </c>
      <c r="W24" s="68">
        <v>20600000</v>
      </c>
      <c r="X24" s="68">
        <v>21218000</v>
      </c>
      <c r="Y24" s="68">
        <v>26854540</v>
      </c>
      <c r="Z24" s="68">
        <v>27660176.199999999</v>
      </c>
      <c r="AA24" s="68">
        <v>28489981.486000001</v>
      </c>
      <c r="AB24" s="68">
        <v>34344680.930580013</v>
      </c>
      <c r="AC24" s="68">
        <v>35375021.358497404</v>
      </c>
      <c r="AD24" s="68">
        <v>41436271.999252327</v>
      </c>
      <c r="AE24" s="50"/>
      <c r="AF24" s="46" t="s">
        <v>122</v>
      </c>
      <c r="AG24" s="50">
        <f t="shared" si="0"/>
        <v>0</v>
      </c>
      <c r="AH24" s="50">
        <f t="shared" si="1"/>
        <v>0</v>
      </c>
      <c r="AI24" s="50">
        <f t="shared" si="2"/>
        <v>0</v>
      </c>
      <c r="AJ24" s="50">
        <f t="shared" si="3"/>
        <v>0</v>
      </c>
      <c r="AK24" s="50">
        <f t="shared" si="4"/>
        <v>0</v>
      </c>
      <c r="AL24" s="50">
        <f t="shared" si="5"/>
        <v>0</v>
      </c>
      <c r="AM24" s="50">
        <f t="shared" si="6"/>
        <v>0</v>
      </c>
      <c r="AN24" s="50">
        <f t="shared" si="7"/>
        <v>0</v>
      </c>
      <c r="AO24" s="50">
        <f t="shared" si="8"/>
        <v>0</v>
      </c>
    </row>
    <row r="25" spans="1:41">
      <c r="A25" s="43"/>
      <c r="B25" s="43"/>
      <c r="C25" s="46" t="s">
        <v>203</v>
      </c>
      <c r="D25" s="50">
        <f>lgh_bs!D25</f>
        <v>3570254</v>
      </c>
      <c r="E25" s="540"/>
      <c r="F25" s="540"/>
      <c r="G25" s="540"/>
      <c r="H25" s="540"/>
      <c r="I25" s="50">
        <f>lgh_bs!E25</f>
        <v>2711111.3593421052</v>
      </c>
      <c r="J25" s="50">
        <f>lgh_bs!F25</f>
        <v>4443815.7186842104</v>
      </c>
      <c r="K25" s="50">
        <f>lgh_bs!G25</f>
        <v>3209312.1306578945</v>
      </c>
      <c r="L25" s="50">
        <f>lgh_bs!H25</f>
        <v>2498709.9636842106</v>
      </c>
      <c r="M25" s="50">
        <f>lgh_bs!I25</f>
        <v>3150708.9751250003</v>
      </c>
      <c r="N25" s="50">
        <f>lgh_bs!J25</f>
        <v>3175738.2727500005</v>
      </c>
      <c r="O25" s="50">
        <f>lgh_bs!K25</f>
        <v>3356358.0703750001</v>
      </c>
      <c r="P25" s="50">
        <f>lgh_bs!L25</f>
        <v>3280322.0305000003</v>
      </c>
      <c r="Q25" s="50">
        <f>lgh_bs!M25</f>
        <v>3183766.1042149998</v>
      </c>
      <c r="R25" s="50">
        <f>lgh_bs!N25</f>
        <v>2489194.6254014503</v>
      </c>
      <c r="S25" s="50">
        <f>lgh_bs!O25</f>
        <v>4037736.0022234935</v>
      </c>
      <c r="T25" s="50">
        <f>lgh_bs!P25</f>
        <v>5265898.3396666665</v>
      </c>
      <c r="U25" s="43"/>
      <c r="V25" s="68">
        <v>4042423.249398496</v>
      </c>
      <c r="W25" s="68">
        <v>3150708.9751249999</v>
      </c>
      <c r="X25" s="68">
        <v>3175738.27275</v>
      </c>
      <c r="Y25" s="68">
        <v>3356358.0703750001</v>
      </c>
      <c r="Z25" s="68">
        <v>3280322.0304999999</v>
      </c>
      <c r="AA25" s="68">
        <v>3183766.1042149998</v>
      </c>
      <c r="AB25" s="68">
        <v>2489194.6254014499</v>
      </c>
      <c r="AC25" s="68">
        <v>4037736.002223494</v>
      </c>
      <c r="AD25" s="68">
        <v>5265898.3396666665</v>
      </c>
      <c r="AE25" s="50"/>
      <c r="AF25" s="46" t="s">
        <v>203</v>
      </c>
      <c r="AG25" s="50">
        <f t="shared" si="0"/>
        <v>-1543713.2857142854</v>
      </c>
      <c r="AH25" s="50">
        <f t="shared" si="1"/>
        <v>0</v>
      </c>
      <c r="AI25" s="50">
        <f t="shared" si="2"/>
        <v>0</v>
      </c>
      <c r="AJ25" s="50">
        <f t="shared" si="3"/>
        <v>0</v>
      </c>
      <c r="AK25" s="50">
        <f t="shared" si="4"/>
        <v>0</v>
      </c>
      <c r="AL25" s="50">
        <f t="shared" si="5"/>
        <v>0</v>
      </c>
      <c r="AM25" s="50">
        <f t="shared" si="6"/>
        <v>0</v>
      </c>
      <c r="AN25" s="50">
        <f t="shared" si="7"/>
        <v>0</v>
      </c>
      <c r="AO25" s="50">
        <f t="shared" si="8"/>
        <v>0</v>
      </c>
    </row>
    <row r="26" spans="1:41">
      <c r="A26" s="46" t="s">
        <v>201</v>
      </c>
      <c r="B26" s="46" t="s">
        <v>137</v>
      </c>
      <c r="C26" s="46" t="s">
        <v>204</v>
      </c>
      <c r="D26" s="50">
        <f>lgh_bs!D26</f>
        <v>3570254</v>
      </c>
      <c r="E26" s="540"/>
      <c r="F26" s="540"/>
      <c r="G26" s="540"/>
      <c r="H26" s="540"/>
      <c r="I26" s="50">
        <f>lgh_bs!E26</f>
        <v>2711111.3593421052</v>
      </c>
      <c r="J26" s="50">
        <f>lgh_bs!F26</f>
        <v>4443815.7186842104</v>
      </c>
      <c r="K26" s="50">
        <f>lgh_bs!G26</f>
        <v>3209312.1306578945</v>
      </c>
      <c r="L26" s="50">
        <f>lgh_bs!H26</f>
        <v>2498709.9636842106</v>
      </c>
      <c r="M26" s="50">
        <f>lgh_bs!I26</f>
        <v>3150708.9751250003</v>
      </c>
      <c r="N26" s="50">
        <f>lgh_bs!J26</f>
        <v>3175738.2727500005</v>
      </c>
      <c r="O26" s="50">
        <f>lgh_bs!K26</f>
        <v>3356358.0703750001</v>
      </c>
      <c r="P26" s="50">
        <f>lgh_bs!L26</f>
        <v>3280322.0305000003</v>
      </c>
      <c r="Q26" s="50">
        <f>lgh_bs!M26</f>
        <v>3183766.1042149998</v>
      </c>
      <c r="R26" s="50">
        <f>lgh_bs!N26</f>
        <v>2489194.6254014503</v>
      </c>
      <c r="S26" s="50">
        <f>lgh_bs!O26</f>
        <v>4037736.0022234935</v>
      </c>
      <c r="T26" s="50">
        <f>lgh_bs!P26</f>
        <v>5265898.3396666665</v>
      </c>
      <c r="U26" s="43"/>
      <c r="V26" s="68">
        <v>4042423.249398496</v>
      </c>
      <c r="W26" s="68">
        <v>3150708.9751249999</v>
      </c>
      <c r="X26" s="68">
        <v>3175738.27275</v>
      </c>
      <c r="Y26" s="68">
        <v>3356358.0703750001</v>
      </c>
      <c r="Z26" s="68">
        <v>3280322.0304999999</v>
      </c>
      <c r="AA26" s="68">
        <v>3183766.1042149998</v>
      </c>
      <c r="AB26" s="68">
        <v>2489194.6254014499</v>
      </c>
      <c r="AC26" s="68">
        <v>4037736.002223494</v>
      </c>
      <c r="AD26" s="68">
        <v>5265898.3396666665</v>
      </c>
      <c r="AE26" s="50"/>
      <c r="AF26" s="46" t="s">
        <v>204</v>
      </c>
      <c r="AG26" s="50">
        <f t="shared" si="0"/>
        <v>-1543713.2857142854</v>
      </c>
      <c r="AH26" s="50">
        <f t="shared" si="1"/>
        <v>0</v>
      </c>
      <c r="AI26" s="50">
        <f t="shared" si="2"/>
        <v>0</v>
      </c>
      <c r="AJ26" s="50">
        <f t="shared" si="3"/>
        <v>0</v>
      </c>
      <c r="AK26" s="50">
        <f t="shared" si="4"/>
        <v>0</v>
      </c>
      <c r="AL26" s="50">
        <f t="shared" si="5"/>
        <v>0</v>
      </c>
      <c r="AM26" s="50">
        <f t="shared" si="6"/>
        <v>0</v>
      </c>
      <c r="AN26" s="50">
        <f t="shared" si="7"/>
        <v>0</v>
      </c>
      <c r="AO26" s="50">
        <f t="shared" si="8"/>
        <v>0</v>
      </c>
    </row>
    <row r="27" spans="1:41" s="2" customFormat="1">
      <c r="A27" s="43"/>
      <c r="B27" s="43"/>
      <c r="C27" s="46" t="s">
        <v>205</v>
      </c>
      <c r="D27" s="50">
        <f>lgh_bs!D27</f>
        <v>145972328.25160721</v>
      </c>
      <c r="E27" s="540"/>
      <c r="F27" s="540"/>
      <c r="G27" s="540"/>
      <c r="H27" s="540"/>
      <c r="I27" s="50">
        <f>lgh_bs!E27</f>
        <v>164940229.46205112</v>
      </c>
      <c r="J27" s="50">
        <f>lgh_bs!F27</f>
        <v>170727146.25405335</v>
      </c>
      <c r="K27" s="50">
        <f>lgh_bs!G27</f>
        <v>173549392.11241519</v>
      </c>
      <c r="L27" s="50">
        <f>lgh_bs!H27</f>
        <v>167158387.67016545</v>
      </c>
      <c r="M27" s="50">
        <f>lgh_bs!I27</f>
        <v>172587264.9302558</v>
      </c>
      <c r="N27" s="50">
        <f>lgh_bs!J27</f>
        <v>185754793.39219326</v>
      </c>
      <c r="O27" s="50">
        <f>lgh_bs!K27</f>
        <v>194894968.17621794</v>
      </c>
      <c r="P27" s="50">
        <f>lgh_bs!L27</f>
        <v>215138899.70973501</v>
      </c>
      <c r="Q27" s="50">
        <f>lgh_bs!M27</f>
        <v>242863683.91851982</v>
      </c>
      <c r="R27" s="50">
        <f>lgh_bs!N27</f>
        <v>294008760.12198931</v>
      </c>
      <c r="S27" s="50">
        <f>lgh_bs!O27</f>
        <v>354228545.14776736</v>
      </c>
      <c r="T27" s="50">
        <f>lgh_bs!P27</f>
        <v>414024983.59200633</v>
      </c>
      <c r="U27" s="43"/>
      <c r="V27" s="68">
        <v>168699386.67016551</v>
      </c>
      <c r="W27" s="68">
        <v>174118200.7159701</v>
      </c>
      <c r="X27" s="68">
        <v>187288281.19630039</v>
      </c>
      <c r="Y27" s="68">
        <v>196431027.13885579</v>
      </c>
      <c r="Z27" s="68">
        <v>216677549.1145927</v>
      </c>
      <c r="AA27" s="68">
        <v>244411701.20552331</v>
      </c>
      <c r="AB27" s="68">
        <v>295565322.5796029</v>
      </c>
      <c r="AC27" s="68">
        <v>355792772.27066928</v>
      </c>
      <c r="AD27" s="68">
        <v>415595934.35390222</v>
      </c>
      <c r="AE27" s="50"/>
      <c r="AF27" s="46" t="s">
        <v>205</v>
      </c>
      <c r="AG27" s="50">
        <f t="shared" si="0"/>
        <v>-1540999.0000000596</v>
      </c>
      <c r="AH27" s="50">
        <f t="shared" si="1"/>
        <v>-1530935.7857142985</v>
      </c>
      <c r="AI27" s="50">
        <f t="shared" si="2"/>
        <v>-1533487.8041071296</v>
      </c>
      <c r="AJ27" s="50">
        <f t="shared" si="3"/>
        <v>-1536058.9626378417</v>
      </c>
      <c r="AK27" s="50">
        <f t="shared" si="4"/>
        <v>-1538649.4048576951</v>
      </c>
      <c r="AL27" s="50">
        <f t="shared" si="5"/>
        <v>-1548017.2870034873</v>
      </c>
      <c r="AM27" s="50">
        <f t="shared" si="6"/>
        <v>-1556562.4576135874</v>
      </c>
      <c r="AN27" s="50">
        <f t="shared" si="7"/>
        <v>-1564227.1229019165</v>
      </c>
      <c r="AO27" s="50">
        <f t="shared" si="8"/>
        <v>-1570950.761895895</v>
      </c>
    </row>
    <row r="28" spans="1:41">
      <c r="A28" s="43"/>
      <c r="B28" s="43"/>
      <c r="C28" s="83" t="s">
        <v>206</v>
      </c>
      <c r="D28" s="62">
        <f>lgh_bs!D28</f>
        <v>0</v>
      </c>
      <c r="E28" s="540"/>
      <c r="F28" s="540"/>
      <c r="G28" s="540"/>
      <c r="H28" s="540"/>
      <c r="I28" s="62">
        <f>lgh_bs!E28</f>
        <v>0</v>
      </c>
      <c r="J28" s="62">
        <f>lgh_bs!F28</f>
        <v>0</v>
      </c>
      <c r="K28" s="62">
        <f>lgh_bs!G28</f>
        <v>0</v>
      </c>
      <c r="L28" s="62">
        <f>lgh_bs!H28</f>
        <v>0</v>
      </c>
      <c r="M28" s="62">
        <f>lgh_bs!I28</f>
        <v>0</v>
      </c>
      <c r="N28" s="62">
        <f>lgh_bs!J28</f>
        <v>0</v>
      </c>
      <c r="O28" s="62">
        <f>lgh_bs!K28</f>
        <v>0</v>
      </c>
      <c r="P28" s="62">
        <f>lgh_bs!L28</f>
        <v>0</v>
      </c>
      <c r="Q28" s="62">
        <f>lgh_bs!M28</f>
        <v>0</v>
      </c>
      <c r="R28" s="62">
        <f>lgh_bs!N28</f>
        <v>0</v>
      </c>
      <c r="S28" s="62">
        <f>lgh_bs!O28</f>
        <v>0</v>
      </c>
      <c r="T28" s="62">
        <f>lgh_bs!P28</f>
        <v>0</v>
      </c>
      <c r="U28" s="43"/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118">
        <v>0</v>
      </c>
      <c r="AC28" s="118">
        <v>0</v>
      </c>
      <c r="AD28" s="118">
        <v>0</v>
      </c>
      <c r="AE28" s="62"/>
      <c r="AF28" s="83" t="s">
        <v>206</v>
      </c>
      <c r="AG28" s="50">
        <f t="shared" si="0"/>
        <v>0</v>
      </c>
      <c r="AH28" s="50">
        <f t="shared" si="1"/>
        <v>0</v>
      </c>
      <c r="AI28" s="50">
        <f t="shared" si="2"/>
        <v>0</v>
      </c>
      <c r="AJ28" s="50">
        <f t="shared" si="3"/>
        <v>0</v>
      </c>
      <c r="AK28" s="50">
        <f t="shared" si="4"/>
        <v>0</v>
      </c>
      <c r="AL28" s="50">
        <f t="shared" si="5"/>
        <v>0</v>
      </c>
      <c r="AM28" s="50">
        <f t="shared" si="6"/>
        <v>0</v>
      </c>
      <c r="AN28" s="50">
        <f t="shared" si="7"/>
        <v>0</v>
      </c>
      <c r="AO28" s="50">
        <f t="shared" si="8"/>
        <v>0</v>
      </c>
    </row>
    <row r="29" spans="1:41">
      <c r="A29" s="46" t="s">
        <v>207</v>
      </c>
      <c r="B29" s="46" t="s">
        <v>132</v>
      </c>
      <c r="C29" s="46" t="s">
        <v>208</v>
      </c>
      <c r="D29" s="50">
        <f>lgh_bs!D29</f>
        <v>25387076.966665421</v>
      </c>
      <c r="E29" s="540"/>
      <c r="F29" s="540"/>
      <c r="G29" s="540"/>
      <c r="H29" s="540"/>
      <c r="I29" s="50">
        <f>lgh_bs!E29</f>
        <v>29007182.318074383</v>
      </c>
      <c r="J29" s="50">
        <f>lgh_bs!F29</f>
        <v>30149897.034891989</v>
      </c>
      <c r="K29" s="50">
        <f>lgh_bs!G29</f>
        <v>9136912.2028022707</v>
      </c>
      <c r="L29" s="50">
        <f>lgh_bs!H29</f>
        <v>8575632.538205862</v>
      </c>
      <c r="M29" s="50">
        <f>lgh_bs!I29</f>
        <v>7900128.8430335149</v>
      </c>
      <c r="N29" s="50">
        <f>lgh_bs!J29</f>
        <v>12239223.025316527</v>
      </c>
      <c r="O29" s="50">
        <f>lgh_bs!K29</f>
        <v>12195991.877848445</v>
      </c>
      <c r="P29" s="50">
        <f>lgh_bs!L29</f>
        <v>7400513.4327920657</v>
      </c>
      <c r="Q29" s="50">
        <f>lgh_bs!M29</f>
        <v>0</v>
      </c>
      <c r="R29" s="50">
        <f>lgh_bs!N29</f>
        <v>0</v>
      </c>
      <c r="S29" s="50">
        <f>lgh_bs!O29</f>
        <v>0</v>
      </c>
      <c r="T29" s="50">
        <f>lgh_bs!P29</f>
        <v>0</v>
      </c>
      <c r="U29" s="43"/>
      <c r="V29" s="68">
        <v>8575632.538205862</v>
      </c>
      <c r="W29" s="68">
        <v>7900128.8430335149</v>
      </c>
      <c r="X29" s="68">
        <v>12239223.025316531</v>
      </c>
      <c r="Y29" s="68">
        <v>12195991.877848441</v>
      </c>
      <c r="Z29" s="68">
        <v>7400513.4327920657</v>
      </c>
      <c r="AA29" s="68">
        <v>0</v>
      </c>
      <c r="AB29" s="68">
        <v>0</v>
      </c>
      <c r="AC29" s="68">
        <v>0</v>
      </c>
      <c r="AD29" s="68">
        <v>0</v>
      </c>
      <c r="AE29" s="50"/>
      <c r="AF29" s="46" t="s">
        <v>208</v>
      </c>
      <c r="AG29" s="50">
        <f t="shared" si="0"/>
        <v>0</v>
      </c>
      <c r="AH29" s="50">
        <f t="shared" si="1"/>
        <v>0</v>
      </c>
      <c r="AI29" s="50">
        <f t="shared" si="2"/>
        <v>0</v>
      </c>
      <c r="AJ29" s="50">
        <f t="shared" si="3"/>
        <v>0</v>
      </c>
      <c r="AK29" s="50">
        <f t="shared" si="4"/>
        <v>0</v>
      </c>
      <c r="AL29" s="50">
        <f t="shared" si="5"/>
        <v>0</v>
      </c>
      <c r="AM29" s="50">
        <f t="shared" si="6"/>
        <v>0</v>
      </c>
      <c r="AN29" s="50">
        <f t="shared" si="7"/>
        <v>0</v>
      </c>
      <c r="AO29" s="50">
        <f t="shared" si="8"/>
        <v>0</v>
      </c>
    </row>
    <row r="30" spans="1:41">
      <c r="A30" s="46" t="s">
        <v>201</v>
      </c>
      <c r="B30" s="46" t="s">
        <v>144</v>
      </c>
      <c r="C30" s="46" t="s">
        <v>209</v>
      </c>
      <c r="D30" s="50">
        <f>lgh_bs!D30</f>
        <v>0</v>
      </c>
      <c r="E30" s="540"/>
      <c r="F30" s="540"/>
      <c r="G30" s="540"/>
      <c r="H30" s="540"/>
      <c r="I30" s="50">
        <f>lgh_bs!E30</f>
        <v>0</v>
      </c>
      <c r="J30" s="50">
        <f>lgh_bs!F30</f>
        <v>0</v>
      </c>
      <c r="K30" s="50">
        <f>lgh_bs!G30</f>
        <v>0</v>
      </c>
      <c r="L30" s="50">
        <f>lgh_bs!H30</f>
        <v>0</v>
      </c>
      <c r="M30" s="50">
        <f>lgh_bs!I30</f>
        <v>0</v>
      </c>
      <c r="N30" s="50">
        <f>lgh_bs!J30</f>
        <v>0</v>
      </c>
      <c r="O30" s="50">
        <f>lgh_bs!K30</f>
        <v>0</v>
      </c>
      <c r="P30" s="50">
        <f>lgh_bs!L30</f>
        <v>0</v>
      </c>
      <c r="Q30" s="50">
        <f>lgh_bs!M30</f>
        <v>0</v>
      </c>
      <c r="R30" s="50">
        <f>lgh_bs!N30</f>
        <v>0</v>
      </c>
      <c r="S30" s="50">
        <f>lgh_bs!O30</f>
        <v>0</v>
      </c>
      <c r="T30" s="50">
        <f>lgh_bs!P30</f>
        <v>0</v>
      </c>
      <c r="U30" s="43"/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50"/>
      <c r="AF30" s="46" t="s">
        <v>209</v>
      </c>
      <c r="AG30" s="50">
        <f t="shared" si="0"/>
        <v>0</v>
      </c>
      <c r="AH30" s="50">
        <f t="shared" si="1"/>
        <v>0</v>
      </c>
      <c r="AI30" s="50">
        <f t="shared" si="2"/>
        <v>0</v>
      </c>
      <c r="AJ30" s="50">
        <f t="shared" si="3"/>
        <v>0</v>
      </c>
      <c r="AK30" s="50">
        <f t="shared" si="4"/>
        <v>0</v>
      </c>
      <c r="AL30" s="50">
        <f t="shared" si="5"/>
        <v>0</v>
      </c>
      <c r="AM30" s="50">
        <f t="shared" si="6"/>
        <v>0</v>
      </c>
      <c r="AN30" s="50">
        <f t="shared" si="7"/>
        <v>0</v>
      </c>
      <c r="AO30" s="50">
        <f t="shared" si="8"/>
        <v>0</v>
      </c>
    </row>
    <row r="31" spans="1:41">
      <c r="A31" s="46" t="s">
        <v>210</v>
      </c>
      <c r="B31" s="46" t="s">
        <v>130</v>
      </c>
      <c r="C31" s="46" t="s">
        <v>211</v>
      </c>
      <c r="D31" s="50">
        <f>lgh_bs!D31</f>
        <v>812241.1</v>
      </c>
      <c r="E31" s="540"/>
      <c r="F31" s="540"/>
      <c r="G31" s="540"/>
      <c r="H31" s="540"/>
      <c r="I31" s="50">
        <f>lgh_bs!E31</f>
        <v>3383115.7765908856</v>
      </c>
      <c r="J31" s="50">
        <f>lgh_bs!F31</f>
        <v>5020671.3604204301</v>
      </c>
      <c r="K31" s="50">
        <f>lgh_bs!G31</f>
        <v>5081889.2059414517</v>
      </c>
      <c r="L31" s="50">
        <f>lgh_bs!H31</f>
        <v>6989833.6678437497</v>
      </c>
      <c r="M31" s="50">
        <f>lgh_bs!I31</f>
        <v>8001344.413481757</v>
      </c>
      <c r="N31" s="50">
        <f>lgh_bs!J31</f>
        <v>8575801.243056858</v>
      </c>
      <c r="O31" s="50">
        <f>lgh_bs!K31</f>
        <v>8582691.7381072436</v>
      </c>
      <c r="P31" s="50">
        <f>lgh_bs!L31</f>
        <v>17286474.095939837</v>
      </c>
      <c r="Q31" s="50">
        <f>lgh_bs!M31</f>
        <v>18797445.210330814</v>
      </c>
      <c r="R31" s="50">
        <f>lgh_bs!N31</f>
        <v>21168561.991880435</v>
      </c>
      <c r="S31" s="50">
        <f>lgh_bs!O31</f>
        <v>24343846.290662497</v>
      </c>
      <c r="T31" s="50">
        <f>lgh_bs!P31</f>
        <v>27995423.23426187</v>
      </c>
      <c r="U31" s="43"/>
      <c r="V31" s="68">
        <v>6989833.6678437497</v>
      </c>
      <c r="W31" s="68">
        <v>8001344.413481757</v>
      </c>
      <c r="X31" s="68">
        <v>8575801.243056858</v>
      </c>
      <c r="Y31" s="68">
        <v>8582691.7381072436</v>
      </c>
      <c r="Z31" s="68">
        <v>17286474.095939841</v>
      </c>
      <c r="AA31" s="68">
        <v>18797445.21033081</v>
      </c>
      <c r="AB31" s="68">
        <v>21168561.991880439</v>
      </c>
      <c r="AC31" s="68">
        <v>24343846.290662501</v>
      </c>
      <c r="AD31" s="68">
        <v>27995423.23426187</v>
      </c>
      <c r="AE31" s="50"/>
      <c r="AF31" s="46" t="s">
        <v>211</v>
      </c>
      <c r="AG31" s="50">
        <f t="shared" si="0"/>
        <v>0</v>
      </c>
      <c r="AH31" s="50">
        <f t="shared" si="1"/>
        <v>0</v>
      </c>
      <c r="AI31" s="50">
        <f t="shared" si="2"/>
        <v>0</v>
      </c>
      <c r="AJ31" s="50">
        <f t="shared" si="3"/>
        <v>0</v>
      </c>
      <c r="AK31" s="50">
        <f t="shared" si="4"/>
        <v>0</v>
      </c>
      <c r="AL31" s="50">
        <f t="shared" si="5"/>
        <v>0</v>
      </c>
      <c r="AM31" s="50">
        <f t="shared" si="6"/>
        <v>0</v>
      </c>
      <c r="AN31" s="50">
        <f t="shared" si="7"/>
        <v>0</v>
      </c>
      <c r="AO31" s="50">
        <f t="shared" si="8"/>
        <v>0</v>
      </c>
    </row>
    <row r="32" spans="1:41">
      <c r="A32" s="43"/>
      <c r="B32" s="43"/>
      <c r="C32" s="46" t="s">
        <v>212</v>
      </c>
      <c r="D32" s="50">
        <f>lgh_bs!D32</f>
        <v>26199318.066665418</v>
      </c>
      <c r="E32" s="540"/>
      <c r="F32" s="540"/>
      <c r="G32" s="540"/>
      <c r="H32" s="540"/>
      <c r="I32" s="50">
        <f>lgh_bs!E32</f>
        <v>32390298.094665267</v>
      </c>
      <c r="J32" s="50">
        <f>lgh_bs!F32</f>
        <v>35170568.395312421</v>
      </c>
      <c r="K32" s="50">
        <f>lgh_bs!G32</f>
        <v>14218801.408743722</v>
      </c>
      <c r="L32" s="50">
        <f>lgh_bs!H32</f>
        <v>15565466.206049612</v>
      </c>
      <c r="M32" s="50">
        <f>lgh_bs!I32</f>
        <v>15901473.256515272</v>
      </c>
      <c r="N32" s="50">
        <f>lgh_bs!J32</f>
        <v>20815024.268373385</v>
      </c>
      <c r="O32" s="50">
        <f>lgh_bs!K32</f>
        <v>20778683.615955688</v>
      </c>
      <c r="P32" s="50">
        <f>lgh_bs!L32</f>
        <v>24686987.528731905</v>
      </c>
      <c r="Q32" s="50">
        <f>lgh_bs!M32</f>
        <v>18797445.210330814</v>
      </c>
      <c r="R32" s="50">
        <f>lgh_bs!N32</f>
        <v>21168561.991880435</v>
      </c>
      <c r="S32" s="50">
        <f>lgh_bs!O32</f>
        <v>24343846.290662497</v>
      </c>
      <c r="T32" s="50">
        <f>lgh_bs!P32</f>
        <v>27995423.23426187</v>
      </c>
      <c r="U32" s="43"/>
      <c r="V32" s="68">
        <v>15565466.20604961</v>
      </c>
      <c r="W32" s="68">
        <v>15901473.25651527</v>
      </c>
      <c r="X32" s="68">
        <v>20815024.268373389</v>
      </c>
      <c r="Y32" s="68">
        <v>20778683.615955692</v>
      </c>
      <c r="Z32" s="68">
        <v>24686987.528731901</v>
      </c>
      <c r="AA32" s="68">
        <v>18797445.21033081</v>
      </c>
      <c r="AB32" s="68">
        <v>21168561.991880439</v>
      </c>
      <c r="AC32" s="68">
        <v>24343846.290662501</v>
      </c>
      <c r="AD32" s="68">
        <v>27995423.23426187</v>
      </c>
      <c r="AE32" s="50"/>
      <c r="AF32" s="46" t="s">
        <v>212</v>
      </c>
      <c r="AG32" s="50">
        <f t="shared" si="0"/>
        <v>0</v>
      </c>
      <c r="AH32" s="50">
        <f t="shared" si="1"/>
        <v>0</v>
      </c>
      <c r="AI32" s="50">
        <f t="shared" si="2"/>
        <v>0</v>
      </c>
      <c r="AJ32" s="50">
        <f t="shared" si="3"/>
        <v>0</v>
      </c>
      <c r="AK32" s="50">
        <f t="shared" si="4"/>
        <v>0</v>
      </c>
      <c r="AL32" s="50">
        <f t="shared" si="5"/>
        <v>0</v>
      </c>
      <c r="AM32" s="50">
        <f t="shared" si="6"/>
        <v>0</v>
      </c>
      <c r="AN32" s="50">
        <f t="shared" si="7"/>
        <v>0</v>
      </c>
      <c r="AO32" s="50">
        <f t="shared" si="8"/>
        <v>0</v>
      </c>
    </row>
    <row r="33" spans="1:41">
      <c r="A33" s="43"/>
      <c r="B33" s="43"/>
      <c r="C33" s="46" t="s">
        <v>112</v>
      </c>
      <c r="D33" s="50">
        <f>lgh_bs!D33</f>
        <v>119773010.1849418</v>
      </c>
      <c r="E33" s="614"/>
      <c r="F33" s="614"/>
      <c r="G33" s="614"/>
      <c r="H33" s="614"/>
      <c r="I33" s="50">
        <f>lgh_bs!E33</f>
        <v>132549931.36738586</v>
      </c>
      <c r="J33" s="50">
        <f>lgh_bs!F33</f>
        <v>135556577.85874093</v>
      </c>
      <c r="K33" s="50">
        <f>lgh_bs!G33</f>
        <v>159330590.70367149</v>
      </c>
      <c r="L33" s="50">
        <f>lgh_bs!H33</f>
        <v>151592921.46411583</v>
      </c>
      <c r="M33" s="50">
        <f>lgh_bs!I33</f>
        <v>156685791.67374054</v>
      </c>
      <c r="N33" s="50">
        <f>lgh_bs!J33</f>
        <v>164939769.12381989</v>
      </c>
      <c r="O33" s="50">
        <f>lgh_bs!K33</f>
        <v>174116284.56026226</v>
      </c>
      <c r="P33" s="50">
        <f>lgh_bs!L33</f>
        <v>190451912.18100309</v>
      </c>
      <c r="Q33" s="50">
        <f>lgh_bs!M33</f>
        <v>224066238.70818901</v>
      </c>
      <c r="R33" s="50">
        <f>lgh_bs!N33</f>
        <v>272840198.13010889</v>
      </c>
      <c r="S33" s="50">
        <f>lgh_bs!O33</f>
        <v>329884698.8571049</v>
      </c>
      <c r="T33" s="50">
        <f>lgh_bs!P33</f>
        <v>386029560.35774446</v>
      </c>
      <c r="U33" s="43"/>
      <c r="V33" s="68">
        <v>153133920.46411589</v>
      </c>
      <c r="W33" s="68">
        <v>158216727.4594548</v>
      </c>
      <c r="X33" s="68">
        <v>166473256.92792699</v>
      </c>
      <c r="Y33" s="68">
        <v>175652343.52290019</v>
      </c>
      <c r="Z33" s="68">
        <v>191990561.58586079</v>
      </c>
      <c r="AA33" s="68">
        <v>225614255.9951925</v>
      </c>
      <c r="AB33" s="68">
        <v>274396760.58772248</v>
      </c>
      <c r="AC33" s="68">
        <v>331448925.98000681</v>
      </c>
      <c r="AD33" s="68">
        <v>387600511.11964041</v>
      </c>
      <c r="AE33" s="50"/>
      <c r="AF33" s="46" t="s">
        <v>112</v>
      </c>
      <c r="AG33" s="50">
        <f t="shared" si="0"/>
        <v>-1540999.0000000596</v>
      </c>
      <c r="AH33" s="50">
        <f t="shared" si="1"/>
        <v>-1530935.7857142687</v>
      </c>
      <c r="AI33" s="50">
        <f t="shared" si="2"/>
        <v>-1533487.8041070998</v>
      </c>
      <c r="AJ33" s="50">
        <f t="shared" si="3"/>
        <v>-1536058.9626379311</v>
      </c>
      <c r="AK33" s="50">
        <f t="shared" si="4"/>
        <v>-1538649.4048576951</v>
      </c>
      <c r="AL33" s="50">
        <f t="shared" si="5"/>
        <v>-1548017.2870034873</v>
      </c>
      <c r="AM33" s="50">
        <f t="shared" si="6"/>
        <v>-1556562.4576135874</v>
      </c>
      <c r="AN33" s="50">
        <f t="shared" si="7"/>
        <v>-1564227.1229019165</v>
      </c>
      <c r="AO33" s="50">
        <f t="shared" si="8"/>
        <v>-1570950.7618959546</v>
      </c>
    </row>
    <row r="34" spans="1:41">
      <c r="A34" s="43"/>
      <c r="B34" s="43"/>
      <c r="C34" s="83" t="s">
        <v>213</v>
      </c>
      <c r="D34" s="50">
        <f>lgh_bs!D34</f>
        <v>0</v>
      </c>
      <c r="E34" s="540"/>
      <c r="F34" s="540"/>
      <c r="G34" s="540"/>
      <c r="H34" s="540"/>
      <c r="I34" s="50">
        <f>lgh_bs!E34</f>
        <v>0</v>
      </c>
      <c r="J34" s="50">
        <f>lgh_bs!F34</f>
        <v>0</v>
      </c>
      <c r="K34" s="50">
        <f>lgh_bs!G34</f>
        <v>0</v>
      </c>
      <c r="L34" s="50">
        <f>lgh_bs!H34</f>
        <v>0</v>
      </c>
      <c r="M34" s="50">
        <f>lgh_bs!I34</f>
        <v>0</v>
      </c>
      <c r="N34" s="50">
        <f>lgh_bs!J34</f>
        <v>0</v>
      </c>
      <c r="O34" s="50">
        <f>lgh_bs!K34</f>
        <v>0</v>
      </c>
      <c r="P34" s="50">
        <f>lgh_bs!L34</f>
        <v>0</v>
      </c>
      <c r="Q34" s="50">
        <f>lgh_bs!M34</f>
        <v>0</v>
      </c>
      <c r="R34" s="50">
        <f>lgh_bs!N34</f>
        <v>0</v>
      </c>
      <c r="S34" s="50">
        <f>lgh_bs!O34</f>
        <v>0</v>
      </c>
      <c r="T34" s="50">
        <f>lgh_bs!P34</f>
        <v>0</v>
      </c>
      <c r="U34" s="43"/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0</v>
      </c>
      <c r="AC34" s="68">
        <v>0</v>
      </c>
      <c r="AD34" s="68">
        <v>0</v>
      </c>
      <c r="AE34" s="50"/>
      <c r="AF34" s="83" t="s">
        <v>213</v>
      </c>
      <c r="AG34" s="50">
        <f t="shared" si="0"/>
        <v>0</v>
      </c>
      <c r="AH34" s="50">
        <f t="shared" si="1"/>
        <v>0</v>
      </c>
      <c r="AI34" s="50">
        <f t="shared" si="2"/>
        <v>0</v>
      </c>
      <c r="AJ34" s="50">
        <f t="shared" si="3"/>
        <v>0</v>
      </c>
      <c r="AK34" s="50">
        <f t="shared" si="4"/>
        <v>0</v>
      </c>
      <c r="AL34" s="50">
        <f t="shared" si="5"/>
        <v>0</v>
      </c>
      <c r="AM34" s="50">
        <f t="shared" si="6"/>
        <v>0</v>
      </c>
      <c r="AN34" s="50">
        <f t="shared" si="7"/>
        <v>0</v>
      </c>
      <c r="AO34" s="50">
        <f t="shared" si="8"/>
        <v>0</v>
      </c>
    </row>
    <row r="35" spans="1:41">
      <c r="A35" s="46" t="s">
        <v>214</v>
      </c>
      <c r="B35" s="46" t="s">
        <v>142</v>
      </c>
      <c r="C35" s="83" t="s">
        <v>215</v>
      </c>
      <c r="D35" s="50">
        <f>lgh_bs!D35</f>
        <v>0</v>
      </c>
      <c r="E35" s="446"/>
      <c r="F35" s="446"/>
      <c r="G35" s="446"/>
      <c r="H35" s="446"/>
      <c r="I35" s="50">
        <f>lgh_bs!E35</f>
        <v>0</v>
      </c>
      <c r="J35" s="50">
        <f>lgh_bs!F35</f>
        <v>0</v>
      </c>
      <c r="K35" s="50">
        <f>lgh_bs!G35</f>
        <v>3265706.7462850194</v>
      </c>
      <c r="L35" s="50">
        <f>lgh_bs!H35</f>
        <v>557522.5124405399</v>
      </c>
      <c r="M35" s="50">
        <f>lgh_bs!I35</f>
        <v>2340027.0858091875</v>
      </c>
      <c r="N35" s="50">
        <f>lgh_bs!J35</f>
        <v>5228919.1933369599</v>
      </c>
      <c r="O35" s="50">
        <f>lgh_bs!K35</f>
        <v>8440699.596091792</v>
      </c>
      <c r="P35" s="50">
        <f>lgh_bs!L35</f>
        <v>14158169.263351083</v>
      </c>
      <c r="Q35" s="50">
        <f>lgh_bs!M35</f>
        <v>25923183.547866151</v>
      </c>
      <c r="R35" s="50">
        <f>lgh_bs!N35</f>
        <v>42994069.34553811</v>
      </c>
      <c r="S35" s="50">
        <f>lgh_bs!O35</f>
        <v>62959644.59998671</v>
      </c>
      <c r="T35" s="50">
        <f>lgh_bs!P35</f>
        <v>82610346.125210553</v>
      </c>
      <c r="U35" s="43"/>
      <c r="V35" s="68">
        <v>1096872.16244055</v>
      </c>
      <c r="W35" s="68">
        <v>2875854.6108091921</v>
      </c>
      <c r="X35" s="68">
        <v>5765639.9247744558</v>
      </c>
      <c r="Y35" s="68">
        <v>8978320.2330150567</v>
      </c>
      <c r="Z35" s="68">
        <v>14696696.555051289</v>
      </c>
      <c r="AA35" s="68">
        <v>26464989.598317359</v>
      </c>
      <c r="AB35" s="68">
        <v>43538866.205702864</v>
      </c>
      <c r="AC35" s="68">
        <v>63507124.093002379</v>
      </c>
      <c r="AD35" s="68">
        <v>83160178.89187412</v>
      </c>
      <c r="AE35" s="50"/>
      <c r="AF35" s="83" t="s">
        <v>215</v>
      </c>
      <c r="AG35" s="50">
        <f t="shared" si="0"/>
        <v>-539349.65000001015</v>
      </c>
      <c r="AH35" s="50">
        <f t="shared" si="1"/>
        <v>-535827.52500000456</v>
      </c>
      <c r="AI35" s="50">
        <f t="shared" si="2"/>
        <v>-536720.73143749591</v>
      </c>
      <c r="AJ35" s="50">
        <f t="shared" si="3"/>
        <v>-537620.63692326471</v>
      </c>
      <c r="AK35" s="50">
        <f t="shared" si="4"/>
        <v>-538527.2917002067</v>
      </c>
      <c r="AL35" s="50">
        <f t="shared" si="5"/>
        <v>-541806.05045120791</v>
      </c>
      <c r="AM35" s="50">
        <f t="shared" si="6"/>
        <v>-544796.86016475409</v>
      </c>
      <c r="AN35" s="50">
        <f t="shared" si="7"/>
        <v>-547479.49301566929</v>
      </c>
      <c r="AO35" s="50">
        <f t="shared" si="8"/>
        <v>-549832.76666356623</v>
      </c>
    </row>
    <row r="36" spans="1:41">
      <c r="A36" s="46" t="s">
        <v>216</v>
      </c>
      <c r="B36" s="46" t="s">
        <v>130</v>
      </c>
      <c r="C36" s="83" t="s">
        <v>194</v>
      </c>
      <c r="D36" s="50">
        <f>lgh_bs!D36</f>
        <v>51080209.386136912</v>
      </c>
      <c r="E36" s="544"/>
      <c r="F36" s="544"/>
      <c r="G36" s="544"/>
      <c r="H36" s="544"/>
      <c r="I36" s="50">
        <f>lgh_bs!E36</f>
        <v>49890886.391148508</v>
      </c>
      <c r="J36" s="50">
        <f>lgh_bs!F36</f>
        <v>50888704.118971482</v>
      </c>
      <c r="K36" s="50">
        <f>lgh_bs!G36</f>
        <v>51906478.20135092</v>
      </c>
      <c r="L36" s="50">
        <f>lgh_bs!H36</f>
        <v>54144868.927339561</v>
      </c>
      <c r="M36" s="50">
        <f>lgh_bs!I36</f>
        <v>56742197.629923344</v>
      </c>
      <c r="N36" s="50">
        <f>lgh_bs!J36</f>
        <v>58896375.909288213</v>
      </c>
      <c r="O36" s="50">
        <f>lgh_bs!K36</f>
        <v>60074303.427473977</v>
      </c>
      <c r="P36" s="50">
        <f>lgh_bs!L36</f>
        <v>64275789.496023461</v>
      </c>
      <c r="Q36" s="50">
        <f>lgh_bs!M36</f>
        <v>69417852.655705363</v>
      </c>
      <c r="R36" s="50">
        <f>lgh_bs!N36</f>
        <v>74971280.868161783</v>
      </c>
      <c r="S36" s="50">
        <f>lgh_bs!O36</f>
        <v>80968983.337614715</v>
      </c>
      <c r="T36" s="50">
        <f>lgh_bs!P36</f>
        <v>87446502.004623935</v>
      </c>
      <c r="U36" s="43"/>
      <c r="V36" s="68">
        <v>54144868.927339561</v>
      </c>
      <c r="W36" s="68">
        <v>56742197.629923344</v>
      </c>
      <c r="X36" s="68">
        <v>58896375.909288213</v>
      </c>
      <c r="Y36" s="68">
        <v>60074303.427473977</v>
      </c>
      <c r="Z36" s="68">
        <v>64275789.496023461</v>
      </c>
      <c r="AA36" s="68">
        <v>69417852.655705363</v>
      </c>
      <c r="AB36" s="68">
        <v>74971280.868161783</v>
      </c>
      <c r="AC36" s="68">
        <v>80968983.337614715</v>
      </c>
      <c r="AD36" s="68">
        <v>87446502.004623935</v>
      </c>
      <c r="AE36" s="50"/>
      <c r="AF36" s="83" t="s">
        <v>194</v>
      </c>
      <c r="AG36" s="50">
        <f t="shared" si="0"/>
        <v>0</v>
      </c>
      <c r="AH36" s="50">
        <f t="shared" si="1"/>
        <v>0</v>
      </c>
      <c r="AI36" s="50">
        <f t="shared" si="2"/>
        <v>0</v>
      </c>
      <c r="AJ36" s="50">
        <f t="shared" si="3"/>
        <v>0</v>
      </c>
      <c r="AK36" s="50">
        <f t="shared" si="4"/>
        <v>0</v>
      </c>
      <c r="AL36" s="50">
        <f t="shared" si="5"/>
        <v>0</v>
      </c>
      <c r="AM36" s="50">
        <f t="shared" si="6"/>
        <v>0</v>
      </c>
      <c r="AN36" s="50">
        <f t="shared" si="7"/>
        <v>0</v>
      </c>
      <c r="AO36" s="50">
        <f t="shared" si="8"/>
        <v>0</v>
      </c>
    </row>
    <row r="37" spans="1:41">
      <c r="A37" s="46" t="s">
        <v>217</v>
      </c>
      <c r="B37" s="46" t="s">
        <v>145</v>
      </c>
      <c r="C37" s="83" t="s">
        <v>218</v>
      </c>
      <c r="D37" s="50">
        <f>lgh_bs!D37</f>
        <v>-6000000</v>
      </c>
      <c r="E37" s="544"/>
      <c r="F37" s="544"/>
      <c r="G37" s="544"/>
      <c r="H37" s="544"/>
      <c r="I37" s="50">
        <f>lgh_bs!E37</f>
        <v>6050000</v>
      </c>
      <c r="J37" s="50">
        <f>lgh_bs!F37</f>
        <v>0</v>
      </c>
      <c r="K37" s="50">
        <f>lgh_bs!G37</f>
        <v>0</v>
      </c>
      <c r="L37" s="50">
        <f>lgh_bs!H37</f>
        <v>0</v>
      </c>
      <c r="M37" s="50">
        <f>lgh_bs!I37</f>
        <v>0</v>
      </c>
      <c r="N37" s="50">
        <f>lgh_bs!J37</f>
        <v>0</v>
      </c>
      <c r="O37" s="50">
        <f>lgh_bs!K37</f>
        <v>0</v>
      </c>
      <c r="P37" s="50">
        <f>lgh_bs!L37</f>
        <v>0</v>
      </c>
      <c r="Q37" s="50">
        <f>lgh_bs!M37</f>
        <v>0</v>
      </c>
      <c r="R37" s="50">
        <f>lgh_bs!N37</f>
        <v>0</v>
      </c>
      <c r="S37" s="50">
        <f>lgh_bs!O37</f>
        <v>0</v>
      </c>
      <c r="T37" s="50">
        <f>lgh_bs!P37</f>
        <v>0</v>
      </c>
      <c r="U37" s="43"/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50"/>
      <c r="AF37" s="83" t="s">
        <v>218</v>
      </c>
      <c r="AG37" s="50">
        <f t="shared" ref="AG37:AG53" si="9">L37-V37</f>
        <v>0</v>
      </c>
      <c r="AH37" s="50">
        <f t="shared" ref="AH37:AH53" si="10">M37-W37</f>
        <v>0</v>
      </c>
      <c r="AI37" s="50">
        <f t="shared" ref="AI37:AI53" si="11">N37-X37</f>
        <v>0</v>
      </c>
      <c r="AJ37" s="50">
        <f t="shared" ref="AJ37:AJ53" si="12">O37-Y37</f>
        <v>0</v>
      </c>
      <c r="AK37" s="50">
        <f t="shared" ref="AK37:AK53" si="13">P37-Z37</f>
        <v>0</v>
      </c>
      <c r="AL37" s="50">
        <f t="shared" ref="AL37:AL53" si="14">Q37-AA37</f>
        <v>0</v>
      </c>
      <c r="AM37" s="50">
        <f t="shared" ref="AM37:AM53" si="15">R37-AB37</f>
        <v>0</v>
      </c>
      <c r="AN37" s="50">
        <f t="shared" ref="AN37:AN53" si="16">S37-AC37</f>
        <v>0</v>
      </c>
      <c r="AO37" s="50">
        <f t="shared" ref="AO37:AO53" si="17">T37-AD37</f>
        <v>0</v>
      </c>
    </row>
    <row r="38" spans="1:41">
      <c r="A38" s="43"/>
      <c r="B38" s="43"/>
      <c r="C38" s="83" t="s">
        <v>165</v>
      </c>
      <c r="D38" s="50">
        <f>lgh_bs!D38</f>
        <v>74692800.798804909</v>
      </c>
      <c r="E38" s="544"/>
      <c r="F38" s="544"/>
      <c r="G38" s="544"/>
      <c r="H38" s="544"/>
      <c r="I38" s="50">
        <f>lgh_bs!E38</f>
        <v>76609044.976237357</v>
      </c>
      <c r="J38" s="50">
        <f>lgh_bs!F38</f>
        <v>84667873.739769444</v>
      </c>
      <c r="K38" s="50">
        <f>lgh_bs!G38</f>
        <v>104158405.75603554</v>
      </c>
      <c r="L38" s="50">
        <f>lgh_bs!H38</f>
        <v>96890530.024335742</v>
      </c>
      <c r="M38" s="50">
        <f>lgh_bs!I38</f>
        <v>97603566.958007991</v>
      </c>
      <c r="N38" s="50">
        <f>lgh_bs!J38</f>
        <v>100814474.02119471</v>
      </c>
      <c r="O38" s="50">
        <f>lgh_bs!K38</f>
        <v>105601281.53669648</v>
      </c>
      <c r="P38" s="50">
        <f>lgh_bs!L38</f>
        <v>112017953.42162855</v>
      </c>
      <c r="Q38" s="50">
        <f>lgh_bs!M38</f>
        <v>128725202.50461748</v>
      </c>
      <c r="R38" s="50">
        <f>lgh_bs!N38</f>
        <v>154874847.91640902</v>
      </c>
      <c r="S38" s="50">
        <f>lgh_bs!O38</f>
        <v>185956070.91950348</v>
      </c>
      <c r="T38" s="50">
        <f>lgh_bs!P38</f>
        <v>215972712.22790998</v>
      </c>
      <c r="U38" s="43"/>
      <c r="V38" s="68">
        <v>97892179.374335766</v>
      </c>
      <c r="W38" s="68">
        <v>98598675.218722284</v>
      </c>
      <c r="X38" s="68">
        <v>101811241.09386431</v>
      </c>
      <c r="Y38" s="68">
        <v>106599719.8624111</v>
      </c>
      <c r="Z38" s="68">
        <v>113018075.53478611</v>
      </c>
      <c r="AA38" s="68">
        <v>129731413.7411698</v>
      </c>
      <c r="AB38" s="68">
        <v>155886613.51385781</v>
      </c>
      <c r="AC38" s="68">
        <v>186972818.54938969</v>
      </c>
      <c r="AD38" s="68">
        <v>216993830.2231423</v>
      </c>
      <c r="AE38" s="50"/>
      <c r="AF38" s="83" t="s">
        <v>165</v>
      </c>
      <c r="AG38" s="50">
        <f t="shared" si="9"/>
        <v>-1001649.3500000238</v>
      </c>
      <c r="AH38" s="50">
        <f t="shared" si="10"/>
        <v>-995108.26071429253</v>
      </c>
      <c r="AI38" s="50">
        <f t="shared" si="11"/>
        <v>-996767.07266959548</v>
      </c>
      <c r="AJ38" s="50">
        <f t="shared" si="12"/>
        <v>-998438.32571461797</v>
      </c>
      <c r="AK38" s="50">
        <f t="shared" si="13"/>
        <v>-1000122.1131575555</v>
      </c>
      <c r="AL38" s="50">
        <f t="shared" si="14"/>
        <v>-1006211.236552313</v>
      </c>
      <c r="AM38" s="50">
        <f t="shared" si="15"/>
        <v>-1011765.597448796</v>
      </c>
      <c r="AN38" s="50">
        <f t="shared" si="16"/>
        <v>-1016747.62988621</v>
      </c>
      <c r="AO38" s="50">
        <f t="shared" si="17"/>
        <v>-1021117.9952323139</v>
      </c>
    </row>
    <row r="39" spans="1:41">
      <c r="A39" s="43"/>
      <c r="B39" s="43"/>
      <c r="C39" s="46" t="s">
        <v>219</v>
      </c>
      <c r="D39" s="50">
        <f>lgh_bs!D39</f>
        <v>119773010.1849418</v>
      </c>
      <c r="E39" s="544"/>
      <c r="F39" s="544"/>
      <c r="G39" s="544"/>
      <c r="H39" s="544"/>
      <c r="I39" s="50">
        <f>lgh_bs!E39</f>
        <v>132549931.36738586</v>
      </c>
      <c r="J39" s="50">
        <f>lgh_bs!F39</f>
        <v>135556577.85874093</v>
      </c>
      <c r="K39" s="50">
        <f>lgh_bs!G39</f>
        <v>159330590.70367149</v>
      </c>
      <c r="L39" s="50">
        <f>lgh_bs!H39</f>
        <v>151592921.46411586</v>
      </c>
      <c r="M39" s="50">
        <f>lgh_bs!I39</f>
        <v>156685791.67374051</v>
      </c>
      <c r="N39" s="50">
        <f>lgh_bs!J39</f>
        <v>164939769.12381989</v>
      </c>
      <c r="O39" s="50">
        <f>lgh_bs!K39</f>
        <v>174116284.56026226</v>
      </c>
      <c r="P39" s="50">
        <f>lgh_bs!L39</f>
        <v>190451912.18100309</v>
      </c>
      <c r="Q39" s="50">
        <f>lgh_bs!M39</f>
        <v>224066238.70818901</v>
      </c>
      <c r="R39" s="50">
        <f>lgh_bs!N39</f>
        <v>272840198.13010889</v>
      </c>
      <c r="S39" s="50">
        <f>lgh_bs!O39</f>
        <v>329884698.8571049</v>
      </c>
      <c r="T39" s="50">
        <f>lgh_bs!P39</f>
        <v>386029560.35774446</v>
      </c>
      <c r="U39" s="43"/>
      <c r="V39" s="68">
        <v>153133920.46411589</v>
      </c>
      <c r="W39" s="68">
        <v>158216727.4594548</v>
      </c>
      <c r="X39" s="68">
        <v>166473256.92792699</v>
      </c>
      <c r="Y39" s="68">
        <v>175652343.52290019</v>
      </c>
      <c r="Z39" s="68">
        <v>191990561.58586079</v>
      </c>
      <c r="AA39" s="68">
        <v>225614255.9951925</v>
      </c>
      <c r="AB39" s="68">
        <v>274396760.58772248</v>
      </c>
      <c r="AC39" s="68">
        <v>331448925.98000681</v>
      </c>
      <c r="AD39" s="68">
        <v>387600511.11964041</v>
      </c>
      <c r="AE39" s="50"/>
      <c r="AF39" s="46" t="s">
        <v>219</v>
      </c>
      <c r="AG39" s="50">
        <f t="shared" si="9"/>
        <v>-1540999.0000000298</v>
      </c>
      <c r="AH39" s="50">
        <f t="shared" si="10"/>
        <v>-1530935.7857142985</v>
      </c>
      <c r="AI39" s="50">
        <f t="shared" si="11"/>
        <v>-1533487.8041070998</v>
      </c>
      <c r="AJ39" s="50">
        <f t="shared" si="12"/>
        <v>-1536058.9626379311</v>
      </c>
      <c r="AK39" s="50">
        <f t="shared" si="13"/>
        <v>-1538649.4048576951</v>
      </c>
      <c r="AL39" s="50">
        <f t="shared" si="14"/>
        <v>-1548017.2870034873</v>
      </c>
      <c r="AM39" s="50">
        <f t="shared" si="15"/>
        <v>-1556562.4576135874</v>
      </c>
      <c r="AN39" s="50">
        <f t="shared" si="16"/>
        <v>-1564227.1229019165</v>
      </c>
      <c r="AO39" s="50">
        <f t="shared" si="17"/>
        <v>-1570950.7618959546</v>
      </c>
    </row>
    <row r="40" spans="1:41">
      <c r="A40" s="46" t="s">
        <v>193</v>
      </c>
      <c r="B40" s="46" t="s">
        <v>116</v>
      </c>
      <c r="C40" s="46" t="s">
        <v>220</v>
      </c>
      <c r="D40" s="50">
        <f>lgh_bs!D40</f>
        <v>0</v>
      </c>
      <c r="E40" s="544"/>
      <c r="F40" s="544"/>
      <c r="G40" s="544"/>
      <c r="H40" s="544"/>
      <c r="I40" s="50">
        <f>lgh_bs!E40</f>
        <v>0</v>
      </c>
      <c r="J40" s="50">
        <f>lgh_bs!F40</f>
        <v>0</v>
      </c>
      <c r="K40" s="50">
        <f>lgh_bs!G40</f>
        <v>0</v>
      </c>
      <c r="L40" s="50">
        <f>lgh_bs!H40</f>
        <v>-4196895.6973556336</v>
      </c>
      <c r="M40" s="50">
        <f>lgh_bs!I40</f>
        <v>-4334704.6265079249</v>
      </c>
      <c r="N40" s="50">
        <f>lgh_bs!J40</f>
        <v>-4478646.1012967657</v>
      </c>
      <c r="O40" s="50">
        <f>lgh_bs!K40</f>
        <v>-4629028.8430579603</v>
      </c>
      <c r="P40" s="50">
        <f>lgh_bs!L40</f>
        <v>-4784461.0949854217</v>
      </c>
      <c r="Q40" s="50">
        <f>lgh_bs!M40</f>
        <v>-3951666.4742077221</v>
      </c>
      <c r="R40" s="50">
        <f>lgh_bs!N40</f>
        <v>-975331.80578404618</v>
      </c>
      <c r="S40" s="50">
        <f>lgh_bs!O40</f>
        <v>-771958.81360219419</v>
      </c>
      <c r="T40" s="50">
        <f>lgh_bs!P40</f>
        <v>0</v>
      </c>
      <c r="U40" s="43"/>
      <c r="V40" s="68">
        <v>-4196895.6973556336</v>
      </c>
      <c r="W40" s="68">
        <v>-4334704.6265079249</v>
      </c>
      <c r="X40" s="68">
        <v>-4478646.1012967657</v>
      </c>
      <c r="Y40" s="68">
        <v>-4629028.8430579603</v>
      </c>
      <c r="Z40" s="68">
        <v>-4784461.0949854217</v>
      </c>
      <c r="AA40" s="68">
        <v>-3951666.4742077221</v>
      </c>
      <c r="AB40" s="68">
        <v>-975331.80578404618</v>
      </c>
      <c r="AC40" s="68">
        <v>-771958.81360219419</v>
      </c>
      <c r="AD40" s="68">
        <v>0</v>
      </c>
      <c r="AE40" s="50"/>
      <c r="AF40" s="46" t="s">
        <v>220</v>
      </c>
      <c r="AG40" s="50">
        <f t="shared" si="9"/>
        <v>0</v>
      </c>
      <c r="AH40" s="50">
        <f t="shared" si="10"/>
        <v>0</v>
      </c>
      <c r="AI40" s="50">
        <f t="shared" si="11"/>
        <v>0</v>
      </c>
      <c r="AJ40" s="50">
        <f t="shared" si="12"/>
        <v>0</v>
      </c>
      <c r="AK40" s="50">
        <f t="shared" si="13"/>
        <v>0</v>
      </c>
      <c r="AL40" s="50">
        <f t="shared" si="14"/>
        <v>0</v>
      </c>
      <c r="AM40" s="50">
        <f t="shared" si="15"/>
        <v>0</v>
      </c>
      <c r="AN40" s="50">
        <f t="shared" si="16"/>
        <v>0</v>
      </c>
      <c r="AO40" s="50">
        <f t="shared" si="17"/>
        <v>0</v>
      </c>
    </row>
    <row r="41" spans="1:41">
      <c r="A41" s="46" t="s">
        <v>193</v>
      </c>
      <c r="B41" s="46" t="s">
        <v>117</v>
      </c>
      <c r="C41" s="46" t="s">
        <v>221</v>
      </c>
      <c r="D41" s="50">
        <f>lgh_bs!D41</f>
        <v>0</v>
      </c>
      <c r="E41" s="540"/>
      <c r="F41" s="540"/>
      <c r="G41" s="540"/>
      <c r="H41" s="540"/>
      <c r="I41" s="50">
        <f>lgh_bs!E41</f>
        <v>0</v>
      </c>
      <c r="J41" s="50">
        <f>lgh_bs!F41</f>
        <v>0</v>
      </c>
      <c r="K41" s="50">
        <f>lgh_bs!G41</f>
        <v>0</v>
      </c>
      <c r="L41" s="50">
        <f>lgh_bs!H41</f>
        <v>-7753407.414941581</v>
      </c>
      <c r="M41" s="50">
        <f>lgh_bs!I41</f>
        <v>-6038275.3593691019</v>
      </c>
      <c r="N41" s="50">
        <f>lgh_bs!J41</f>
        <v>-4849926.1457863338</v>
      </c>
      <c r="O41" s="50">
        <f>lgh_bs!K41</f>
        <v>-3974250.1732844282</v>
      </c>
      <c r="P41" s="50">
        <f>lgh_bs!L41</f>
        <v>-3116853.7677923306</v>
      </c>
      <c r="Q41" s="50">
        <f>lgh_bs!M41</f>
        <v>0</v>
      </c>
      <c r="R41" s="50">
        <f>lgh_bs!N41</f>
        <v>0</v>
      </c>
      <c r="S41" s="50">
        <f>lgh_bs!O41</f>
        <v>0</v>
      </c>
      <c r="T41" s="50">
        <f>lgh_bs!P41</f>
        <v>0</v>
      </c>
      <c r="U41" s="43"/>
      <c r="V41" s="68">
        <v>-7753407.414941581</v>
      </c>
      <c r="W41" s="68">
        <v>-6038275.3593691019</v>
      </c>
      <c r="X41" s="68">
        <v>-4849926.1457863338</v>
      </c>
      <c r="Y41" s="68">
        <v>-3974250.1732844282</v>
      </c>
      <c r="Z41" s="68">
        <v>-3116853.7677923311</v>
      </c>
      <c r="AA41" s="68">
        <v>0</v>
      </c>
      <c r="AB41" s="68">
        <v>0</v>
      </c>
      <c r="AC41" s="68">
        <v>0</v>
      </c>
      <c r="AD41" s="68">
        <v>0</v>
      </c>
      <c r="AE41" s="50"/>
      <c r="AF41" s="46" t="s">
        <v>221</v>
      </c>
      <c r="AG41" s="50">
        <f t="shared" si="9"/>
        <v>0</v>
      </c>
      <c r="AH41" s="50">
        <f t="shared" si="10"/>
        <v>0</v>
      </c>
      <c r="AI41" s="50">
        <f t="shared" si="11"/>
        <v>0</v>
      </c>
      <c r="AJ41" s="50">
        <f t="shared" si="12"/>
        <v>0</v>
      </c>
      <c r="AK41" s="50">
        <f t="shared" si="13"/>
        <v>0</v>
      </c>
      <c r="AL41" s="50">
        <f t="shared" si="14"/>
        <v>0</v>
      </c>
      <c r="AM41" s="50">
        <f t="shared" si="15"/>
        <v>0</v>
      </c>
      <c r="AN41" s="50">
        <f t="shared" si="16"/>
        <v>0</v>
      </c>
      <c r="AO41" s="50">
        <f t="shared" si="17"/>
        <v>0</v>
      </c>
    </row>
    <row r="42" spans="1:41">
      <c r="A42" s="46" t="s">
        <v>202</v>
      </c>
      <c r="B42" s="46" t="s">
        <v>123</v>
      </c>
      <c r="C42" s="46" t="s">
        <v>222</v>
      </c>
      <c r="D42" s="50">
        <f>lgh_bs!D42</f>
        <v>10000000</v>
      </c>
      <c r="E42" s="544"/>
      <c r="F42" s="544"/>
      <c r="G42" s="544"/>
      <c r="H42" s="544"/>
      <c r="I42" s="50">
        <f>lgh_bs!E42</f>
        <v>10000000</v>
      </c>
      <c r="J42" s="50">
        <f>lgh_bs!F42</f>
        <v>10000000</v>
      </c>
      <c r="K42" s="50">
        <f>lgh_bs!G42</f>
        <v>10000000</v>
      </c>
      <c r="L42" s="50">
        <f>lgh_bs!H42</f>
        <v>10000000</v>
      </c>
      <c r="M42" s="50">
        <f>lgh_bs!I42</f>
        <v>10300000</v>
      </c>
      <c r="N42" s="50">
        <f>lgh_bs!J42</f>
        <v>12730800</v>
      </c>
      <c r="O42" s="50">
        <f>lgh_bs!K42</f>
        <v>18798178</v>
      </c>
      <c r="P42" s="50">
        <f>lgh_bs!L42</f>
        <v>22128140.960000001</v>
      </c>
      <c r="Q42" s="50">
        <f>lgh_bs!M42</f>
        <v>31338979.634600002</v>
      </c>
      <c r="R42" s="50">
        <f>lgh_bs!N42</f>
        <v>48082553.302812003</v>
      </c>
      <c r="S42" s="50">
        <f>lgh_bs!O42</f>
        <v>60137536.309445582</v>
      </c>
      <c r="T42" s="50">
        <f>lgh_bs!P42</f>
        <v>82872543.998504654</v>
      </c>
      <c r="U42" s="43"/>
      <c r="V42" s="68">
        <v>10000000</v>
      </c>
      <c r="W42" s="68">
        <v>10300000</v>
      </c>
      <c r="X42" s="68">
        <v>12730800</v>
      </c>
      <c r="Y42" s="68">
        <v>18798178</v>
      </c>
      <c r="Z42" s="68">
        <v>22128140.960000001</v>
      </c>
      <c r="AA42" s="68">
        <v>31338979.634599999</v>
      </c>
      <c r="AB42" s="68">
        <v>48082553.302812003</v>
      </c>
      <c r="AC42" s="68">
        <v>60137536.309445582</v>
      </c>
      <c r="AD42" s="68">
        <v>82872543.998504654</v>
      </c>
      <c r="AE42" s="50"/>
      <c r="AF42" s="46" t="s">
        <v>222</v>
      </c>
      <c r="AG42" s="50">
        <f t="shared" si="9"/>
        <v>0</v>
      </c>
      <c r="AH42" s="50">
        <f t="shared" si="10"/>
        <v>0</v>
      </c>
      <c r="AI42" s="50">
        <f t="shared" si="11"/>
        <v>0</v>
      </c>
      <c r="AJ42" s="50">
        <f t="shared" si="12"/>
        <v>0</v>
      </c>
      <c r="AK42" s="50">
        <f t="shared" si="13"/>
        <v>0</v>
      </c>
      <c r="AL42" s="50">
        <f t="shared" si="14"/>
        <v>0</v>
      </c>
      <c r="AM42" s="50">
        <f t="shared" si="15"/>
        <v>0</v>
      </c>
      <c r="AN42" s="50">
        <f t="shared" si="16"/>
        <v>0</v>
      </c>
      <c r="AO42" s="50">
        <f t="shared" si="17"/>
        <v>0</v>
      </c>
    </row>
    <row r="43" spans="1:41">
      <c r="A43" s="46" t="s">
        <v>202</v>
      </c>
      <c r="B43" s="46" t="s">
        <v>124</v>
      </c>
      <c r="C43" s="46" t="s">
        <v>223</v>
      </c>
      <c r="D43" s="50">
        <f>lgh_bs!D43</f>
        <v>0</v>
      </c>
      <c r="E43" s="544"/>
      <c r="F43" s="544"/>
      <c r="G43" s="544"/>
      <c r="H43" s="544"/>
      <c r="I43" s="50">
        <f>lgh_bs!E43</f>
        <v>0</v>
      </c>
      <c r="J43" s="50">
        <f>lgh_bs!F43</f>
        <v>0</v>
      </c>
      <c r="K43" s="50">
        <f>lgh_bs!G43</f>
        <v>0</v>
      </c>
      <c r="L43" s="50">
        <f>lgh_bs!H43</f>
        <v>0</v>
      </c>
      <c r="M43" s="50">
        <f>lgh_bs!I43</f>
        <v>0</v>
      </c>
      <c r="N43" s="50">
        <f>lgh_bs!J43</f>
        <v>0</v>
      </c>
      <c r="O43" s="50">
        <f>lgh_bs!K43</f>
        <v>0</v>
      </c>
      <c r="P43" s="50">
        <f>lgh_bs!L43</f>
        <v>0</v>
      </c>
      <c r="Q43" s="50">
        <f>lgh_bs!M43</f>
        <v>0</v>
      </c>
      <c r="R43" s="50">
        <f>lgh_bs!N43</f>
        <v>25000000</v>
      </c>
      <c r="S43" s="50">
        <f>lgh_bs!O43</f>
        <v>50000000</v>
      </c>
      <c r="T43" s="50">
        <f>lgh_bs!P43</f>
        <v>100000000</v>
      </c>
      <c r="U43" s="43"/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25000000</v>
      </c>
      <c r="AC43" s="68">
        <v>50000000</v>
      </c>
      <c r="AD43" s="68">
        <v>100000000</v>
      </c>
      <c r="AE43" s="50"/>
      <c r="AF43" s="46" t="s">
        <v>223</v>
      </c>
      <c r="AG43" s="50">
        <f t="shared" si="9"/>
        <v>0</v>
      </c>
      <c r="AH43" s="50">
        <f t="shared" si="10"/>
        <v>0</v>
      </c>
      <c r="AI43" s="50">
        <f t="shared" si="11"/>
        <v>0</v>
      </c>
      <c r="AJ43" s="50">
        <f t="shared" si="12"/>
        <v>0</v>
      </c>
      <c r="AK43" s="50">
        <f t="shared" si="13"/>
        <v>0</v>
      </c>
      <c r="AL43" s="50">
        <f t="shared" si="14"/>
        <v>0</v>
      </c>
      <c r="AM43" s="50">
        <f t="shared" si="15"/>
        <v>0</v>
      </c>
      <c r="AN43" s="50">
        <f t="shared" si="16"/>
        <v>0</v>
      </c>
      <c r="AO43" s="50">
        <f t="shared" si="17"/>
        <v>0</v>
      </c>
    </row>
    <row r="44" spans="1:41">
      <c r="A44" s="43"/>
      <c r="B44" s="43"/>
      <c r="C44" s="46" t="s">
        <v>224</v>
      </c>
      <c r="D44" s="50">
        <f>lgh_bs!D44</f>
        <v>129773010.1849418</v>
      </c>
      <c r="E44" s="544"/>
      <c r="F44" s="544"/>
      <c r="G44" s="544"/>
      <c r="H44" s="544"/>
      <c r="I44" s="50">
        <f>lgh_bs!E44</f>
        <v>142549931.36738586</v>
      </c>
      <c r="J44" s="50">
        <f>lgh_bs!F44</f>
        <v>145556577.85874093</v>
      </c>
      <c r="K44" s="50">
        <f>lgh_bs!G44</f>
        <v>169330590.70367149</v>
      </c>
      <c r="L44" s="50">
        <f>lgh_bs!H44</f>
        <v>149642618.35181865</v>
      </c>
      <c r="M44" s="50">
        <f>lgh_bs!I44</f>
        <v>156612811.68786347</v>
      </c>
      <c r="N44" s="50">
        <f>lgh_bs!J44</f>
        <v>168341996.87673679</v>
      </c>
      <c r="O44" s="50">
        <f>lgh_bs!K44</f>
        <v>184311183.54391986</v>
      </c>
      <c r="P44" s="50">
        <f>lgh_bs!L44</f>
        <v>204678738.27822533</v>
      </c>
      <c r="Q44" s="50">
        <f>lgh_bs!M44</f>
        <v>251453551.8685813</v>
      </c>
      <c r="R44" s="50">
        <f>lgh_bs!N44</f>
        <v>344947419.62713683</v>
      </c>
      <c r="S44" s="50">
        <f>lgh_bs!O44</f>
        <v>439250276.35294825</v>
      </c>
      <c r="T44" s="50">
        <f>lgh_bs!P44</f>
        <v>568902104.35624909</v>
      </c>
      <c r="U44" s="43"/>
      <c r="V44" s="68">
        <v>151183617.35181871</v>
      </c>
      <c r="W44" s="68">
        <v>158143747.4735778</v>
      </c>
      <c r="X44" s="68">
        <v>169875484.68084389</v>
      </c>
      <c r="Y44" s="68">
        <v>185847242.50655779</v>
      </c>
      <c r="Z44" s="68">
        <v>206217387.683083</v>
      </c>
      <c r="AA44" s="68">
        <v>253001569.15558481</v>
      </c>
      <c r="AB44" s="68">
        <v>346503982.08475041</v>
      </c>
      <c r="AC44" s="68">
        <v>440814503.47585022</v>
      </c>
      <c r="AD44" s="68">
        <v>570473055.11814499</v>
      </c>
      <c r="AE44" s="50"/>
      <c r="AF44" s="46" t="s">
        <v>224</v>
      </c>
      <c r="AG44" s="50">
        <f t="shared" si="9"/>
        <v>-1540999.0000000596</v>
      </c>
      <c r="AH44" s="50">
        <f t="shared" si="10"/>
        <v>-1530935.7857143283</v>
      </c>
      <c r="AI44" s="50">
        <f t="shared" si="11"/>
        <v>-1533487.8041070998</v>
      </c>
      <c r="AJ44" s="50">
        <f t="shared" si="12"/>
        <v>-1536058.9626379311</v>
      </c>
      <c r="AK44" s="50">
        <f t="shared" si="13"/>
        <v>-1538649.4048576653</v>
      </c>
      <c r="AL44" s="50">
        <f t="shared" si="14"/>
        <v>-1548017.2870035172</v>
      </c>
      <c r="AM44" s="50">
        <f t="shared" si="15"/>
        <v>-1556562.4576135874</v>
      </c>
      <c r="AN44" s="50">
        <f t="shared" si="16"/>
        <v>-1564227.1229019761</v>
      </c>
      <c r="AO44" s="50">
        <f t="shared" si="17"/>
        <v>-1570950.761895895</v>
      </c>
    </row>
    <row r="45" spans="1:41">
      <c r="A45" s="43"/>
      <c r="B45" s="43"/>
      <c r="C45" s="46" t="s">
        <v>225</v>
      </c>
      <c r="D45" s="50">
        <f>lgh_bs!D45</f>
        <v>0</v>
      </c>
      <c r="E45" s="544"/>
      <c r="F45" s="544"/>
      <c r="G45" s="544"/>
      <c r="H45" s="544"/>
      <c r="I45" s="50">
        <f>lgh_bs!E45</f>
        <v>0</v>
      </c>
      <c r="J45" s="50">
        <f>lgh_bs!F45</f>
        <v>0</v>
      </c>
      <c r="K45" s="50">
        <f>lgh_bs!G45</f>
        <v>3500000</v>
      </c>
      <c r="L45" s="50">
        <f>lgh_bs!H45</f>
        <v>-557522.5124405399</v>
      </c>
      <c r="M45" s="50">
        <f>lgh_bs!I45</f>
        <v>-25542.995056973305</v>
      </c>
      <c r="N45" s="50">
        <f>lgh_bs!J45</f>
        <v>1190779.7135209162</v>
      </c>
      <c r="O45" s="50">
        <f>lgh_bs!K45</f>
        <v>3568214.644280158</v>
      </c>
      <c r="P45" s="50">
        <f>lgh_bs!L45</f>
        <v>4979389.1340277828</v>
      </c>
      <c r="Q45" s="50">
        <f>lgh_bs!M45</f>
        <v>9585559.606137298</v>
      </c>
      <c r="R45" s="50">
        <f>lgh_bs!N45</f>
        <v>25237527.523959771</v>
      </c>
      <c r="S45" s="50">
        <f>lgh_bs!O45</f>
        <v>38277952.123545177</v>
      </c>
      <c r="T45" s="50">
        <f>lgh_bs!P45</f>
        <v>64005390.399476618</v>
      </c>
      <c r="U45" s="43"/>
      <c r="V45" s="68">
        <v>-682606.08930401201</v>
      </c>
      <c r="W45" s="68">
        <v>-25542.99505696306</v>
      </c>
      <c r="X45" s="68">
        <v>1190779.713520915</v>
      </c>
      <c r="Y45" s="68">
        <v>3568214.6442801598</v>
      </c>
      <c r="Z45" s="68">
        <v>4979389.1340277717</v>
      </c>
      <c r="AA45" s="68">
        <v>9585559.606137298</v>
      </c>
      <c r="AB45" s="68">
        <v>25237527.523959778</v>
      </c>
      <c r="AC45" s="68">
        <v>38277952.12354517</v>
      </c>
      <c r="AD45" s="68">
        <v>64005390.399476603</v>
      </c>
      <c r="AE45" s="50"/>
      <c r="AF45" s="46" t="s">
        <v>225</v>
      </c>
      <c r="AG45" s="50">
        <f t="shared" si="9"/>
        <v>125083.57686347212</v>
      </c>
      <c r="AH45" s="50">
        <f t="shared" si="10"/>
        <v>-1.0244548320770264E-8</v>
      </c>
      <c r="AI45" s="50">
        <f t="shared" si="11"/>
        <v>0</v>
      </c>
      <c r="AJ45" s="50">
        <f t="shared" si="12"/>
        <v>0</v>
      </c>
      <c r="AK45" s="50">
        <f t="shared" si="13"/>
        <v>1.1175870895385742E-8</v>
      </c>
      <c r="AL45" s="50">
        <f t="shared" si="14"/>
        <v>0</v>
      </c>
      <c r="AM45" s="50">
        <f t="shared" si="15"/>
        <v>0</v>
      </c>
      <c r="AN45" s="50">
        <f t="shared" si="16"/>
        <v>0</v>
      </c>
      <c r="AO45" s="50">
        <f t="shared" si="17"/>
        <v>0</v>
      </c>
    </row>
    <row r="46" spans="1:41">
      <c r="A46" s="43"/>
      <c r="B46" s="43"/>
      <c r="C46" s="46" t="s">
        <v>226</v>
      </c>
      <c r="D46" s="50">
        <f>lgh_bs!D46</f>
        <v>17817146.175523531</v>
      </c>
      <c r="E46" s="544"/>
      <c r="F46" s="544"/>
      <c r="G46" s="544"/>
      <c r="H46" s="544"/>
      <c r="I46" s="50">
        <f>lgh_bs!E46</f>
        <v>9423344.8023181409</v>
      </c>
      <c r="J46" s="50">
        <f>lgh_bs!F46</f>
        <v>9235852.2077021915</v>
      </c>
      <c r="K46" s="50">
        <f>lgh_bs!G46</f>
        <v>9029325.8044385687</v>
      </c>
      <c r="L46" s="50">
        <f>lgh_bs!H46</f>
        <v>9006828.7425699625</v>
      </c>
      <c r="M46" s="50">
        <f>lgh_bs!I46</f>
        <v>9012792.5675587952</v>
      </c>
      <c r="N46" s="50">
        <f>lgh_bs!J46</f>
        <v>8903722.2915154323</v>
      </c>
      <c r="O46" s="50">
        <f>lgh_bs!K46</f>
        <v>8612217.8910127003</v>
      </c>
      <c r="P46" s="50">
        <f>lgh_bs!L46</f>
        <v>8707493.5341523308</v>
      </c>
      <c r="Q46" s="50">
        <f>lgh_bs!M46</f>
        <v>7181361.1784096779</v>
      </c>
      <c r="R46" s="50">
        <f>lgh_bs!N46</f>
        <v>5259464.856822568</v>
      </c>
      <c r="S46" s="50">
        <f>lgh_bs!O46</f>
        <v>2891749.4049148099</v>
      </c>
      <c r="T46" s="50">
        <f>lgh_bs!P46</f>
        <v>0</v>
      </c>
      <c r="U46" s="43"/>
      <c r="V46" s="68">
        <v>9006828.7425699625</v>
      </c>
      <c r="W46" s="68">
        <v>9012792.5675587952</v>
      </c>
      <c r="X46" s="68">
        <v>8903722.2915154323</v>
      </c>
      <c r="Y46" s="68">
        <v>8612217.8910127003</v>
      </c>
      <c r="Z46" s="68">
        <v>8707493.5341523308</v>
      </c>
      <c r="AA46" s="68">
        <v>7181361.1784096779</v>
      </c>
      <c r="AB46" s="68">
        <v>5259464.856822568</v>
      </c>
      <c r="AC46" s="68">
        <v>2891749.4049148099</v>
      </c>
      <c r="AD46" s="68">
        <v>0</v>
      </c>
      <c r="AE46" s="50"/>
      <c r="AF46" s="46" t="s">
        <v>226</v>
      </c>
      <c r="AG46" s="50">
        <f t="shared" si="9"/>
        <v>0</v>
      </c>
      <c r="AH46" s="50">
        <f t="shared" si="10"/>
        <v>0</v>
      </c>
      <c r="AI46" s="50">
        <f t="shared" si="11"/>
        <v>0</v>
      </c>
      <c r="AJ46" s="50">
        <f t="shared" si="12"/>
        <v>0</v>
      </c>
      <c r="AK46" s="50">
        <f t="shared" si="13"/>
        <v>0</v>
      </c>
      <c r="AL46" s="50">
        <f t="shared" si="14"/>
        <v>0</v>
      </c>
      <c r="AM46" s="50">
        <f t="shared" si="15"/>
        <v>0</v>
      </c>
      <c r="AN46" s="50">
        <f t="shared" si="16"/>
        <v>0</v>
      </c>
      <c r="AO46" s="50">
        <f t="shared" si="17"/>
        <v>0</v>
      </c>
    </row>
    <row r="47" spans="1:41">
      <c r="A47" s="43"/>
      <c r="B47" s="43"/>
      <c r="C47" s="46" t="s">
        <v>227</v>
      </c>
      <c r="D47" s="50">
        <f>lgh_bs!D47</f>
        <v>43497765.475407854</v>
      </c>
      <c r="E47" s="544"/>
      <c r="F47" s="544"/>
      <c r="G47" s="544"/>
      <c r="H47" s="544"/>
      <c r="I47" s="50">
        <f>lgh_bs!E47</f>
        <v>49156584.9743459</v>
      </c>
      <c r="J47" s="50">
        <f>lgh_bs!F47</f>
        <v>13254421.851085743</v>
      </c>
      <c r="K47" s="50">
        <f>lgh_bs!G47</f>
        <v>15529298.399745852</v>
      </c>
      <c r="L47" s="50">
        <f>lgh_bs!H47</f>
        <v>14775139.552980056</v>
      </c>
      <c r="M47" s="50">
        <f>lgh_bs!I47</f>
        <v>15686738.046853291</v>
      </c>
      <c r="N47" s="50">
        <f>lgh_bs!J47</f>
        <v>16513092.374970261</v>
      </c>
      <c r="O47" s="50">
        <f>lgh_bs!K47</f>
        <v>17431807.417966098</v>
      </c>
      <c r="P47" s="50">
        <f>lgh_bs!L47</f>
        <v>19067263.374630526</v>
      </c>
      <c r="Q47" s="50">
        <f>lgh_bs!M47</f>
        <v>22432591.712450262</v>
      </c>
      <c r="R47" s="50">
        <f>lgh_bs!N47</f>
        <v>27315640.244078763</v>
      </c>
      <c r="S47" s="50">
        <f>lgh_bs!O47</f>
        <v>33026701.408968583</v>
      </c>
      <c r="T47" s="50">
        <f>lgh_bs!P47</f>
        <v>38647694.388799824</v>
      </c>
      <c r="U47" s="43"/>
      <c r="V47" s="68">
        <v>14925334.397542071</v>
      </c>
      <c r="W47" s="68">
        <v>15840009.05107465</v>
      </c>
      <c r="X47" s="68">
        <v>16666618.876793491</v>
      </c>
      <c r="Y47" s="68">
        <v>17585591.333623189</v>
      </c>
      <c r="Z47" s="68">
        <v>19221306.63472528</v>
      </c>
      <c r="AA47" s="68">
        <v>22587572.846437111</v>
      </c>
      <c r="AB47" s="68">
        <v>27471476.885457162</v>
      </c>
      <c r="AC47" s="68">
        <v>33183305.40516144</v>
      </c>
      <c r="AD47" s="68">
        <v>38804971.528118722</v>
      </c>
      <c r="AE47" s="50"/>
      <c r="AF47" s="46" t="s">
        <v>227</v>
      </c>
      <c r="AG47" s="50">
        <f t="shared" si="9"/>
        <v>-150194.84456201456</v>
      </c>
      <c r="AH47" s="50">
        <f t="shared" si="10"/>
        <v>-153271.00422135927</v>
      </c>
      <c r="AI47" s="50">
        <f t="shared" si="11"/>
        <v>-153526.50182322972</v>
      </c>
      <c r="AJ47" s="50">
        <f t="shared" si="12"/>
        <v>-153783.91565709189</v>
      </c>
      <c r="AK47" s="50">
        <f t="shared" si="13"/>
        <v>-154043.2600947544</v>
      </c>
      <c r="AL47" s="50">
        <f t="shared" si="14"/>
        <v>-154981.13398684934</v>
      </c>
      <c r="AM47" s="50">
        <f t="shared" si="15"/>
        <v>-155836.64137839898</v>
      </c>
      <c r="AN47" s="50">
        <f t="shared" si="16"/>
        <v>-156603.99619285762</v>
      </c>
      <c r="AO47" s="50">
        <f t="shared" si="17"/>
        <v>-157277.13931889832</v>
      </c>
    </row>
    <row r="48" spans="1:41">
      <c r="A48" s="43"/>
      <c r="B48" s="43"/>
      <c r="C48" s="46" t="s">
        <v>218</v>
      </c>
      <c r="D48" s="50">
        <f>lgh_bs!D48</f>
        <v>-6000000</v>
      </c>
      <c r="E48" s="544"/>
      <c r="F48" s="544"/>
      <c r="G48" s="544"/>
      <c r="H48" s="544"/>
      <c r="I48" s="50">
        <f>lgh_bs!E48</f>
        <v>6050000</v>
      </c>
      <c r="J48" s="50">
        <f>lgh_bs!F48</f>
        <v>0</v>
      </c>
      <c r="K48" s="50">
        <f>lgh_bs!G48</f>
        <v>0</v>
      </c>
      <c r="L48" s="50">
        <f>lgh_bs!H48</f>
        <v>0</v>
      </c>
      <c r="M48" s="50">
        <f>lgh_bs!I48</f>
        <v>0</v>
      </c>
      <c r="N48" s="50">
        <f>lgh_bs!J48</f>
        <v>0</v>
      </c>
      <c r="O48" s="50">
        <f>lgh_bs!K48</f>
        <v>0</v>
      </c>
      <c r="P48" s="50">
        <f>lgh_bs!L48</f>
        <v>0</v>
      </c>
      <c r="Q48" s="50">
        <f>lgh_bs!M48</f>
        <v>0</v>
      </c>
      <c r="R48" s="50">
        <f>lgh_bs!N48</f>
        <v>0</v>
      </c>
      <c r="S48" s="50">
        <f>lgh_bs!O48</f>
        <v>0</v>
      </c>
      <c r="T48" s="50">
        <f>lgh_bs!P48</f>
        <v>0</v>
      </c>
      <c r="U48" s="43"/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0</v>
      </c>
      <c r="AB48" s="68">
        <v>0</v>
      </c>
      <c r="AC48" s="68">
        <v>0</v>
      </c>
      <c r="AD48" s="68">
        <v>0</v>
      </c>
      <c r="AE48" s="50"/>
      <c r="AF48" s="46" t="s">
        <v>218</v>
      </c>
      <c r="AG48" s="50">
        <f t="shared" si="9"/>
        <v>0</v>
      </c>
      <c r="AH48" s="50">
        <f t="shared" si="10"/>
        <v>0</v>
      </c>
      <c r="AI48" s="50">
        <f t="shared" si="11"/>
        <v>0</v>
      </c>
      <c r="AJ48" s="50">
        <f t="shared" si="12"/>
        <v>0</v>
      </c>
      <c r="AK48" s="50">
        <f t="shared" si="13"/>
        <v>0</v>
      </c>
      <c r="AL48" s="50">
        <f t="shared" si="14"/>
        <v>0</v>
      </c>
      <c r="AM48" s="50">
        <f t="shared" si="15"/>
        <v>0</v>
      </c>
      <c r="AN48" s="50">
        <f t="shared" si="16"/>
        <v>0</v>
      </c>
      <c r="AO48" s="50">
        <f t="shared" si="17"/>
        <v>0</v>
      </c>
    </row>
    <row r="49" spans="1:41">
      <c r="A49" s="43"/>
      <c r="B49" s="43"/>
      <c r="C49" s="46" t="s">
        <v>228</v>
      </c>
      <c r="D49" s="55">
        <f>lgh_bs!D49</f>
        <v>33263063.210613381</v>
      </c>
      <c r="E49" s="565"/>
      <c r="F49" s="565"/>
      <c r="G49" s="565"/>
      <c r="H49" s="565"/>
      <c r="I49" s="55">
        <f>lgh_bs!E49</f>
        <v>40467541.588830367</v>
      </c>
      <c r="J49" s="55">
        <f>lgh_bs!F49</f>
        <v>41652851.911269292</v>
      </c>
      <c r="K49" s="55">
        <f>lgh_bs!G49</f>
        <v>42877152.396912351</v>
      </c>
      <c r="L49" s="55">
        <f>lgh_bs!H49</f>
        <v>45138040.184769601</v>
      </c>
      <c r="M49" s="55">
        <f>lgh_bs!I49</f>
        <v>47729405.062364548</v>
      </c>
      <c r="N49" s="55">
        <f>lgh_bs!J49</f>
        <v>49992653.61777278</v>
      </c>
      <c r="O49" s="55">
        <f>lgh_bs!K49</f>
        <v>51462085.536461279</v>
      </c>
      <c r="P49" s="55">
        <f>lgh_bs!L49</f>
        <v>55568295.961871132</v>
      </c>
      <c r="Q49" s="55">
        <f>lgh_bs!M49</f>
        <v>62236491.477295682</v>
      </c>
      <c r="R49" s="55">
        <f>lgh_bs!N49</f>
        <v>69711816.011339217</v>
      </c>
      <c r="S49" s="55">
        <f>lgh_bs!O49</f>
        <v>78077233.932699904</v>
      </c>
      <c r="T49" s="55">
        <f>lgh_bs!P49</f>
        <v>87446502.004623935</v>
      </c>
      <c r="U49" s="43"/>
      <c r="V49" s="119">
        <v>45138040.184769601</v>
      </c>
      <c r="W49" s="119">
        <v>47729405.062364548</v>
      </c>
      <c r="X49" s="119">
        <v>49992653.61777278</v>
      </c>
      <c r="Y49" s="119">
        <v>51462085.536461279</v>
      </c>
      <c r="Z49" s="119">
        <v>55568295.961871132</v>
      </c>
      <c r="AA49" s="119">
        <v>62236491.477295682</v>
      </c>
      <c r="AB49" s="119">
        <v>69711816.011339217</v>
      </c>
      <c r="AC49" s="119">
        <v>78077233.932699904</v>
      </c>
      <c r="AD49" s="119">
        <v>87446502.004623935</v>
      </c>
      <c r="AE49" s="55"/>
      <c r="AF49" s="46" t="s">
        <v>228</v>
      </c>
      <c r="AG49" s="50">
        <f t="shared" si="9"/>
        <v>0</v>
      </c>
      <c r="AH49" s="50">
        <f t="shared" si="10"/>
        <v>0</v>
      </c>
      <c r="AI49" s="50">
        <f t="shared" si="11"/>
        <v>0</v>
      </c>
      <c r="AJ49" s="50">
        <f t="shared" si="12"/>
        <v>0</v>
      </c>
      <c r="AK49" s="50">
        <f t="shared" si="13"/>
        <v>0</v>
      </c>
      <c r="AL49" s="50">
        <f t="shared" si="14"/>
        <v>0</v>
      </c>
      <c r="AM49" s="50">
        <f t="shared" si="15"/>
        <v>0</v>
      </c>
      <c r="AN49" s="50">
        <f t="shared" si="16"/>
        <v>0</v>
      </c>
      <c r="AO49" s="50">
        <f t="shared" si="17"/>
        <v>0</v>
      </c>
    </row>
    <row r="50" spans="1:41">
      <c r="A50" s="43"/>
      <c r="B50" s="43"/>
      <c r="C50" s="46" t="s">
        <v>229</v>
      </c>
      <c r="D50" s="55">
        <f>lgh_bs!D50</f>
        <v>0</v>
      </c>
      <c r="E50" s="565"/>
      <c r="F50" s="565"/>
      <c r="G50" s="565"/>
      <c r="H50" s="565"/>
      <c r="I50" s="55">
        <f>lgh_bs!E50</f>
        <v>0</v>
      </c>
      <c r="J50" s="55">
        <f>lgh_bs!F50</f>
        <v>0</v>
      </c>
      <c r="K50" s="55">
        <f>lgh_bs!G50</f>
        <v>6765706.7462850194</v>
      </c>
      <c r="L50" s="55">
        <f>lgh_bs!H50</f>
        <v>0</v>
      </c>
      <c r="M50" s="55">
        <f>lgh_bs!I50</f>
        <v>2314484.0907522142</v>
      </c>
      <c r="N50" s="55">
        <f>lgh_bs!J50</f>
        <v>6419698.9068578761</v>
      </c>
      <c r="O50" s="55">
        <f>lgh_bs!K50</f>
        <v>12008914.24037195</v>
      </c>
      <c r="P50" s="55">
        <f>lgh_bs!L50</f>
        <v>19137558.397378866</v>
      </c>
      <c r="Q50" s="55">
        <f>lgh_bs!M50</f>
        <v>35508743.154003449</v>
      </c>
      <c r="R50" s="55">
        <f>lgh_bs!N50</f>
        <v>68231596.86949788</v>
      </c>
      <c r="S50" s="55">
        <f>lgh_bs!O50</f>
        <v>101237596.72353189</v>
      </c>
      <c r="T50" s="55">
        <f>lgh_bs!P50</f>
        <v>146615736.52468717</v>
      </c>
      <c r="U50" s="43"/>
      <c r="V50" s="119">
        <v>414266.07313653833</v>
      </c>
      <c r="W50" s="119">
        <v>2850311.615752229</v>
      </c>
      <c r="X50" s="119">
        <v>6956419.6382953711</v>
      </c>
      <c r="Y50" s="119">
        <v>12546534.87729522</v>
      </c>
      <c r="Z50" s="119">
        <v>19676085.689079061</v>
      </c>
      <c r="AA50" s="119">
        <v>36050549.20445466</v>
      </c>
      <c r="AB50" s="119">
        <v>68776393.729662642</v>
      </c>
      <c r="AC50" s="119">
        <v>101785076.2165475</v>
      </c>
      <c r="AD50" s="119">
        <v>147165569.29135069</v>
      </c>
      <c r="AE50" s="55"/>
      <c r="AF50" s="46" t="s">
        <v>229</v>
      </c>
      <c r="AG50" s="50">
        <f t="shared" si="9"/>
        <v>-414266.07313653833</v>
      </c>
      <c r="AH50" s="50">
        <f t="shared" si="10"/>
        <v>-535827.52500001481</v>
      </c>
      <c r="AI50" s="50">
        <f t="shared" si="11"/>
        <v>-536720.73143749498</v>
      </c>
      <c r="AJ50" s="50">
        <f t="shared" si="12"/>
        <v>-537620.6369232703</v>
      </c>
      <c r="AK50" s="50">
        <f t="shared" si="13"/>
        <v>-538527.29170019552</v>
      </c>
      <c r="AL50" s="50">
        <f t="shared" si="14"/>
        <v>-541806.05045121163</v>
      </c>
      <c r="AM50" s="50">
        <f t="shared" si="15"/>
        <v>-544796.86016476154</v>
      </c>
      <c r="AN50" s="50">
        <f t="shared" si="16"/>
        <v>-547479.49301561713</v>
      </c>
      <c r="AO50" s="50">
        <f t="shared" si="17"/>
        <v>-549832.76666352153</v>
      </c>
    </row>
    <row r="51" spans="1:41">
      <c r="A51" s="43"/>
      <c r="B51" s="43"/>
      <c r="C51" s="46" t="s">
        <v>230</v>
      </c>
      <c r="D51" s="50">
        <f>lgh_bs!D51</f>
        <v>102509946.9743284</v>
      </c>
      <c r="E51" s="565"/>
      <c r="F51" s="565"/>
      <c r="G51" s="565"/>
      <c r="H51" s="565"/>
      <c r="I51" s="50">
        <f>lgh_bs!E51</f>
        <v>96032389.778555498</v>
      </c>
      <c r="J51" s="50">
        <f>lgh_bs!F51</f>
        <v>103903725.94747163</v>
      </c>
      <c r="K51" s="50">
        <f>lgh_bs!G51</f>
        <v>119687731.5604741</v>
      </c>
      <c r="L51" s="50">
        <f>lgh_bs!H51</f>
        <v>104504578.16704905</v>
      </c>
      <c r="M51" s="50">
        <f>lgh_bs!I51</f>
        <v>106568922.53474674</v>
      </c>
      <c r="N51" s="50">
        <f>lgh_bs!J51</f>
        <v>111929644.35210612</v>
      </c>
      <c r="O51" s="50">
        <f>lgh_bs!K51</f>
        <v>120840183.76708663</v>
      </c>
      <c r="P51" s="50">
        <f>lgh_bs!L51</f>
        <v>129972883.91897535</v>
      </c>
      <c r="Q51" s="50">
        <f>lgh_bs!M51</f>
        <v>153708317.23728213</v>
      </c>
      <c r="R51" s="50">
        <f>lgh_bs!N51</f>
        <v>207004006.7462998</v>
      </c>
      <c r="S51" s="50">
        <f>lgh_bs!O51</f>
        <v>259935445.69671649</v>
      </c>
      <c r="T51" s="50">
        <f>lgh_bs!P51</f>
        <v>334839865.82693803</v>
      </c>
      <c r="U51" s="43"/>
      <c r="V51" s="68">
        <v>105631311.0939125</v>
      </c>
      <c r="W51" s="68">
        <v>107564030.795461</v>
      </c>
      <c r="X51" s="68">
        <v>112926411.4247757</v>
      </c>
      <c r="Y51" s="68">
        <v>121838622.0928013</v>
      </c>
      <c r="Z51" s="68">
        <v>130973006.03213289</v>
      </c>
      <c r="AA51" s="68">
        <v>154714528.4738344</v>
      </c>
      <c r="AB51" s="68">
        <v>208015772.3437486</v>
      </c>
      <c r="AC51" s="68">
        <v>260952193.32660279</v>
      </c>
      <c r="AD51" s="68">
        <v>335860983.82217032</v>
      </c>
      <c r="AE51" s="50"/>
      <c r="AF51" s="46" t="s">
        <v>230</v>
      </c>
      <c r="AG51" s="50">
        <f t="shared" si="9"/>
        <v>-1126732.9268634468</v>
      </c>
      <c r="AH51" s="50">
        <f t="shared" si="10"/>
        <v>-995108.26071426272</v>
      </c>
      <c r="AI51" s="50">
        <f t="shared" si="11"/>
        <v>-996767.07266958058</v>
      </c>
      <c r="AJ51" s="50">
        <f t="shared" si="12"/>
        <v>-998438.32571467757</v>
      </c>
      <c r="AK51" s="50">
        <f t="shared" si="13"/>
        <v>-1000122.1131575406</v>
      </c>
      <c r="AL51" s="50">
        <f t="shared" si="14"/>
        <v>-1006211.2365522683</v>
      </c>
      <c r="AM51" s="50">
        <f t="shared" si="15"/>
        <v>-1011765.597448796</v>
      </c>
      <c r="AN51" s="50">
        <f t="shared" si="16"/>
        <v>-1016747.6298862994</v>
      </c>
      <c r="AO51" s="50">
        <f t="shared" si="17"/>
        <v>-1021117.9952322841</v>
      </c>
    </row>
    <row r="52" spans="1:41">
      <c r="A52" s="43"/>
      <c r="B52" s="43"/>
      <c r="C52" s="46" t="s">
        <v>231</v>
      </c>
      <c r="D52" s="50">
        <f>lgh_bs!D52</f>
        <v>129773010.1849418</v>
      </c>
      <c r="E52" s="565"/>
      <c r="F52" s="565"/>
      <c r="G52" s="565"/>
      <c r="H52" s="565"/>
      <c r="I52" s="50">
        <f>lgh_bs!E52</f>
        <v>142549931.36738586</v>
      </c>
      <c r="J52" s="50">
        <f>lgh_bs!F52</f>
        <v>145556577.85874093</v>
      </c>
      <c r="K52" s="50">
        <f>lgh_bs!G52</f>
        <v>169330590.70367146</v>
      </c>
      <c r="L52" s="50">
        <f>lgh_bs!H52</f>
        <v>149642618.35181865</v>
      </c>
      <c r="M52" s="50">
        <f>lgh_bs!I52</f>
        <v>156612811.6878635</v>
      </c>
      <c r="N52" s="50">
        <f>lgh_bs!J52</f>
        <v>168341996.87673679</v>
      </c>
      <c r="O52" s="50">
        <f>lgh_bs!K52</f>
        <v>184311183.54391986</v>
      </c>
      <c r="P52" s="50">
        <f>lgh_bs!L52</f>
        <v>204678738.27822536</v>
      </c>
      <c r="Q52" s="50">
        <f>lgh_bs!M52</f>
        <v>251453551.86858127</v>
      </c>
      <c r="R52" s="50">
        <f>lgh_bs!N52</f>
        <v>344947419.62713689</v>
      </c>
      <c r="S52" s="50">
        <f>lgh_bs!O52</f>
        <v>439250276.35294831</v>
      </c>
      <c r="T52" s="50">
        <f>lgh_bs!P52</f>
        <v>568902104.35624909</v>
      </c>
      <c r="U52" s="43"/>
      <c r="V52" s="68">
        <v>151183617.35181871</v>
      </c>
      <c r="W52" s="68">
        <v>158143747.4735778</v>
      </c>
      <c r="X52" s="68">
        <v>169875484.68084389</v>
      </c>
      <c r="Y52" s="68">
        <v>185847242.50655779</v>
      </c>
      <c r="Z52" s="68">
        <v>206217387.68308309</v>
      </c>
      <c r="AA52" s="68">
        <v>253001569.15558481</v>
      </c>
      <c r="AB52" s="68">
        <v>346503982.08475041</v>
      </c>
      <c r="AC52" s="68">
        <v>440814503.47585022</v>
      </c>
      <c r="AD52" s="68">
        <v>570473055.11814499</v>
      </c>
      <c r="AE52" s="50"/>
      <c r="AF52" s="46" t="s">
        <v>231</v>
      </c>
      <c r="AG52" s="50">
        <f t="shared" si="9"/>
        <v>-1540999.0000000596</v>
      </c>
      <c r="AH52" s="50">
        <f t="shared" si="10"/>
        <v>-1530935.7857142985</v>
      </c>
      <c r="AI52" s="50">
        <f t="shared" si="11"/>
        <v>-1533487.8041070998</v>
      </c>
      <c r="AJ52" s="50">
        <f t="shared" si="12"/>
        <v>-1536058.9626379311</v>
      </c>
      <c r="AK52" s="50">
        <f t="shared" si="13"/>
        <v>-1538649.4048577249</v>
      </c>
      <c r="AL52" s="50">
        <f t="shared" si="14"/>
        <v>-1548017.287003547</v>
      </c>
      <c r="AM52" s="50">
        <f t="shared" si="15"/>
        <v>-1556562.4576135278</v>
      </c>
      <c r="AN52" s="50">
        <f t="shared" si="16"/>
        <v>-1564227.1229019165</v>
      </c>
      <c r="AO52" s="50">
        <f t="shared" si="17"/>
        <v>-1570950.761895895</v>
      </c>
    </row>
    <row r="53" spans="1:41">
      <c r="A53" s="43"/>
      <c r="B53" s="43"/>
      <c r="C53" s="46" t="s">
        <v>232</v>
      </c>
      <c r="D53" s="50">
        <f>lgh_bs!D53</f>
        <v>129773010.1849418</v>
      </c>
      <c r="E53" s="565"/>
      <c r="F53" s="565"/>
      <c r="G53" s="565"/>
      <c r="H53" s="565"/>
      <c r="I53" s="50">
        <f>lgh_bs!E53</f>
        <v>0</v>
      </c>
      <c r="J53" s="50">
        <f>lgh_bs!F53</f>
        <v>0</v>
      </c>
      <c r="K53" s="50">
        <f>lgh_bs!G53</f>
        <v>0</v>
      </c>
      <c r="L53" s="50">
        <f>lgh_bs!H53</f>
        <v>149642618.35181865</v>
      </c>
      <c r="M53" s="50">
        <f>lgh_bs!I53</f>
        <v>154298327.59711128</v>
      </c>
      <c r="N53" s="50">
        <f>lgh_bs!J53</f>
        <v>161922297.96987891</v>
      </c>
      <c r="O53" s="50">
        <f>lgh_bs!K53</f>
        <v>172302269.30354792</v>
      </c>
      <c r="P53" s="50">
        <f>lgh_bs!L53</f>
        <v>185541179.8808465</v>
      </c>
      <c r="Q53" s="50">
        <f>lgh_bs!M53</f>
        <v>215944808.71457782</v>
      </c>
      <c r="R53" s="50">
        <f>lgh_bs!N53</f>
        <v>276715822.75763899</v>
      </c>
      <c r="S53" s="50">
        <f>lgh_bs!O53</f>
        <v>338012679.62941641</v>
      </c>
      <c r="T53" s="50">
        <f>lgh_bs!P53</f>
        <v>422286367.83156192</v>
      </c>
      <c r="U53" s="43"/>
      <c r="V53" s="68">
        <v>150769351.27868211</v>
      </c>
      <c r="W53" s="68">
        <v>155293435.85782561</v>
      </c>
      <c r="X53" s="68">
        <v>162919065.04254851</v>
      </c>
      <c r="Y53" s="68">
        <v>173300707.62926251</v>
      </c>
      <c r="Z53" s="68">
        <v>186541301.99400401</v>
      </c>
      <c r="AA53" s="68">
        <v>216951019.95113009</v>
      </c>
      <c r="AB53" s="68">
        <v>277727588.35508782</v>
      </c>
      <c r="AC53" s="68">
        <v>339029427.25930268</v>
      </c>
      <c r="AD53" s="68">
        <v>423307485.82679433</v>
      </c>
      <c r="AE53" s="50"/>
      <c r="AF53" s="46" t="s">
        <v>232</v>
      </c>
      <c r="AG53" s="50">
        <f t="shared" si="9"/>
        <v>-1126732.9268634617</v>
      </c>
      <c r="AH53" s="50">
        <f t="shared" si="10"/>
        <v>-995108.26071432233</v>
      </c>
      <c r="AI53" s="50">
        <f t="shared" si="11"/>
        <v>-996767.07266959548</v>
      </c>
      <c r="AJ53" s="50">
        <f t="shared" si="12"/>
        <v>-998438.32571458817</v>
      </c>
      <c r="AK53" s="50">
        <f t="shared" si="13"/>
        <v>-1000122.1131575108</v>
      </c>
      <c r="AL53" s="50">
        <f t="shared" si="14"/>
        <v>-1006211.2365522683</v>
      </c>
      <c r="AM53" s="50">
        <f t="shared" si="15"/>
        <v>-1011765.5974488258</v>
      </c>
      <c r="AN53" s="50">
        <f t="shared" si="16"/>
        <v>-1016747.6298862696</v>
      </c>
      <c r="AO53" s="50">
        <f t="shared" si="17"/>
        <v>-1021117.9952324033</v>
      </c>
    </row>
    <row r="54" spans="1:41">
      <c r="A54" s="43"/>
      <c r="B54" s="43"/>
      <c r="C54" s="43"/>
      <c r="D54" s="43"/>
      <c r="E54" s="446"/>
      <c r="F54" s="446"/>
      <c r="G54" s="446"/>
      <c r="H54" s="446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</row>
    <row r="55" spans="1:41">
      <c r="A55" s="43"/>
      <c r="B55" s="43"/>
      <c r="C55" s="43"/>
      <c r="D55" s="43"/>
      <c r="E55" s="446"/>
      <c r="F55" s="446"/>
      <c r="G55" s="446"/>
      <c r="H55" s="446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</row>
    <row r="56" spans="1:41">
      <c r="A56" s="43"/>
      <c r="B56" s="43"/>
      <c r="C56" s="43"/>
      <c r="D56" s="43"/>
      <c r="E56" s="446"/>
      <c r="F56" s="446"/>
      <c r="G56" s="446"/>
      <c r="H56" s="446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1">
      <c r="A57" s="43"/>
      <c r="B57" s="43"/>
      <c r="C57" s="43"/>
      <c r="D57" s="43"/>
      <c r="E57" s="446"/>
      <c r="F57" s="446"/>
      <c r="G57" s="446"/>
      <c r="H57" s="446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</row>
    <row r="58" spans="1:41">
      <c r="A58" s="43"/>
      <c r="B58" s="43"/>
      <c r="C58" s="43"/>
      <c r="D58" s="43"/>
      <c r="E58" s="446"/>
      <c r="F58" s="446"/>
      <c r="G58" s="446"/>
      <c r="H58" s="446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</row>
    <row r="59" spans="1:41">
      <c r="A59" s="43"/>
      <c r="B59" s="43"/>
      <c r="C59" s="43"/>
      <c r="D59" s="43"/>
      <c r="E59" s="446"/>
      <c r="F59" s="446"/>
      <c r="G59" s="446"/>
      <c r="H59" s="446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</row>
    <row r="60" spans="1:41">
      <c r="A60" s="43"/>
      <c r="B60" s="43"/>
      <c r="C60" s="43"/>
      <c r="D60" s="43"/>
      <c r="E60" s="446"/>
      <c r="F60" s="446"/>
      <c r="G60" s="446"/>
      <c r="H60" s="446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</row>
    <row r="61" spans="1:41">
      <c r="A61" s="43"/>
      <c r="B61" s="43"/>
      <c r="C61" s="43"/>
      <c r="D61" s="43"/>
      <c r="E61" s="446"/>
      <c r="F61" s="446"/>
      <c r="G61" s="446"/>
      <c r="H61" s="446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</row>
    <row r="62" spans="1:41">
      <c r="A62" s="43"/>
      <c r="B62" s="43"/>
      <c r="C62" s="43"/>
      <c r="D62" s="43"/>
      <c r="E62" s="446"/>
      <c r="F62" s="446"/>
      <c r="G62" s="446"/>
      <c r="H62" s="446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</row>
    <row r="63" spans="1:41">
      <c r="A63" s="43"/>
      <c r="B63" s="43"/>
      <c r="C63" s="43"/>
      <c r="D63" s="43"/>
      <c r="E63" s="446"/>
      <c r="F63" s="446"/>
      <c r="G63" s="446"/>
      <c r="H63" s="446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</row>
    <row r="64" spans="1:41">
      <c r="A64" s="43"/>
      <c r="B64" s="43"/>
      <c r="C64" s="43"/>
      <c r="D64" s="43"/>
      <c r="E64" s="446"/>
      <c r="F64" s="446"/>
      <c r="G64" s="446"/>
      <c r="H64" s="446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1">
      <c r="A65" s="43"/>
      <c r="B65" s="43"/>
      <c r="C65" s="43"/>
      <c r="D65" s="43"/>
      <c r="E65" s="446"/>
      <c r="F65" s="446"/>
      <c r="G65" s="446"/>
      <c r="H65" s="446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1">
      <c r="A66" s="43"/>
      <c r="B66" s="43"/>
      <c r="C66" s="43"/>
      <c r="D66" s="43"/>
      <c r="E66" s="446"/>
      <c r="F66" s="446"/>
      <c r="G66" s="446"/>
      <c r="H66" s="446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1">
      <c r="A67" s="43"/>
      <c r="B67" s="43"/>
      <c r="C67" s="43"/>
      <c r="D67" s="43"/>
      <c r="E67" s="446"/>
      <c r="F67" s="446"/>
      <c r="G67" s="446"/>
      <c r="H67" s="446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</row>
    <row r="68" spans="1:41">
      <c r="A68" s="43"/>
      <c r="B68" s="43"/>
      <c r="C68" s="43"/>
      <c r="D68" s="43"/>
      <c r="E68" s="446"/>
      <c r="F68" s="446"/>
      <c r="G68" s="446"/>
      <c r="H68" s="446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1">
      <c r="A69" s="43"/>
      <c r="B69" s="43"/>
      <c r="C69" s="43"/>
      <c r="D69" s="43"/>
      <c r="E69" s="446"/>
      <c r="F69" s="446"/>
      <c r="G69" s="446"/>
      <c r="H69" s="446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</row>
    <row r="70" spans="1:41">
      <c r="A70" s="43"/>
      <c r="B70" s="43"/>
      <c r="C70" s="43"/>
      <c r="D70" s="43"/>
      <c r="E70" s="446"/>
      <c r="F70" s="446"/>
      <c r="G70" s="446"/>
      <c r="H70" s="446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</row>
    <row r="71" spans="1:41">
      <c r="A71" s="43"/>
      <c r="B71" s="43"/>
      <c r="C71" s="43"/>
      <c r="D71" s="43"/>
      <c r="E71" s="446"/>
      <c r="F71" s="446"/>
      <c r="G71" s="446"/>
      <c r="H71" s="446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</row>
    <row r="72" spans="1:41">
      <c r="A72" s="43"/>
      <c r="B72" s="43"/>
      <c r="C72" s="43"/>
      <c r="D72" s="43"/>
      <c r="E72" s="446"/>
      <c r="F72" s="446"/>
      <c r="G72" s="446"/>
      <c r="H72" s="446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</row>
    <row r="73" spans="1:41">
      <c r="A73" s="43"/>
      <c r="B73" s="43"/>
      <c r="C73" s="43"/>
      <c r="D73" s="43"/>
      <c r="E73" s="446"/>
      <c r="F73" s="446"/>
      <c r="G73" s="446"/>
      <c r="H73" s="446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</row>
    <row r="74" spans="1:41">
      <c r="A74" s="43"/>
      <c r="B74" s="43"/>
      <c r="C74" s="43"/>
      <c r="D74" s="43"/>
      <c r="E74" s="446"/>
      <c r="F74" s="446"/>
      <c r="G74" s="446"/>
      <c r="H74" s="446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</row>
    <row r="75" spans="1:41">
      <c r="A75" s="43"/>
      <c r="B75" s="43"/>
      <c r="C75" s="43"/>
      <c r="D75" s="43"/>
      <c r="E75" s="446"/>
      <c r="F75" s="446"/>
      <c r="G75" s="446"/>
      <c r="H75" s="446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</row>
    <row r="76" spans="1:41">
      <c r="A76" s="43"/>
      <c r="B76" s="43"/>
      <c r="C76" s="43"/>
      <c r="D76" s="43"/>
      <c r="E76" s="446"/>
      <c r="F76" s="446"/>
      <c r="G76" s="446"/>
      <c r="H76" s="446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</row>
    <row r="77" spans="1:41">
      <c r="A77" s="43"/>
      <c r="B77" s="43"/>
      <c r="C77" s="43"/>
      <c r="D77" s="43"/>
      <c r="E77" s="446"/>
      <c r="F77" s="446"/>
      <c r="G77" s="446"/>
      <c r="H77" s="446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</row>
    <row r="78" spans="1:41">
      <c r="A78" s="43"/>
      <c r="B78" s="43"/>
      <c r="C78" s="43"/>
      <c r="D78" s="43"/>
      <c r="E78" s="446"/>
      <c r="F78" s="446"/>
      <c r="G78" s="446"/>
      <c r="H78" s="446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</row>
    <row r="79" spans="1:41">
      <c r="A79" s="43"/>
      <c r="B79" s="43"/>
      <c r="C79" s="43"/>
      <c r="D79" s="43"/>
      <c r="E79" s="446"/>
      <c r="F79" s="446"/>
      <c r="G79" s="446"/>
      <c r="H79" s="446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</row>
    <row r="80" spans="1:41">
      <c r="A80" s="43"/>
      <c r="B80" s="43"/>
      <c r="C80" s="43"/>
      <c r="D80" s="43"/>
      <c r="E80" s="446"/>
      <c r="F80" s="446"/>
      <c r="G80" s="446"/>
      <c r="H80" s="446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</row>
    <row r="81" spans="1:41">
      <c r="A81" s="43"/>
      <c r="B81" s="43"/>
      <c r="C81" s="43"/>
      <c r="D81" s="43"/>
      <c r="E81" s="446"/>
      <c r="F81" s="446"/>
      <c r="G81" s="446"/>
      <c r="H81" s="446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</row>
    <row r="82" spans="1:41">
      <c r="A82" s="43"/>
      <c r="B82" s="43"/>
      <c r="C82" s="43"/>
      <c r="D82" s="43"/>
      <c r="E82" s="446"/>
      <c r="F82" s="446"/>
      <c r="G82" s="446"/>
      <c r="H82" s="446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</row>
    <row r="83" spans="1:41">
      <c r="A83" s="43"/>
      <c r="B83" s="43"/>
      <c r="C83" s="43"/>
      <c r="D83" s="43"/>
      <c r="E83" s="446"/>
      <c r="F83" s="446"/>
      <c r="G83" s="446"/>
      <c r="H83" s="446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</row>
    <row r="84" spans="1:41">
      <c r="A84" s="43"/>
      <c r="B84" s="43"/>
      <c r="C84" s="43"/>
      <c r="D84" s="43"/>
      <c r="E84" s="446"/>
      <c r="F84" s="446"/>
      <c r="G84" s="446"/>
      <c r="H84" s="446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</row>
    <row r="85" spans="1:41">
      <c r="A85" s="43"/>
      <c r="B85" s="43"/>
      <c r="C85" s="43"/>
      <c r="D85" s="43"/>
      <c r="E85" s="446"/>
      <c r="F85" s="446"/>
      <c r="G85" s="446"/>
      <c r="H85" s="446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</row>
    <row r="86" spans="1:41">
      <c r="A86" s="43"/>
      <c r="B86" s="43"/>
      <c r="C86" s="43"/>
      <c r="D86" s="43"/>
      <c r="E86" s="446"/>
      <c r="F86" s="446"/>
      <c r="G86" s="446"/>
      <c r="H86" s="446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</row>
    <row r="87" spans="1:41">
      <c r="A87" s="43"/>
      <c r="B87" s="43"/>
      <c r="C87" s="43"/>
      <c r="D87" s="43"/>
      <c r="E87" s="446"/>
      <c r="F87" s="446"/>
      <c r="G87" s="446"/>
      <c r="H87" s="446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</row>
    <row r="88" spans="1:41">
      <c r="A88" s="43"/>
      <c r="B88" s="43"/>
      <c r="C88" s="43"/>
      <c r="D88" s="43"/>
      <c r="E88" s="446"/>
      <c r="F88" s="446"/>
      <c r="G88" s="446"/>
      <c r="H88" s="446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</row>
    <row r="89" spans="1:41">
      <c r="A89" s="43"/>
      <c r="B89" s="43"/>
      <c r="C89" s="43"/>
      <c r="D89" s="43"/>
      <c r="E89" s="446"/>
      <c r="F89" s="446"/>
      <c r="G89" s="446"/>
      <c r="H89" s="446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</row>
    <row r="90" spans="1:41" ht="15.65" customHeight="1">
      <c r="A90" s="43"/>
      <c r="B90" s="122"/>
      <c r="C90" s="43"/>
      <c r="D90" s="43"/>
      <c r="E90" s="446"/>
      <c r="F90" s="446"/>
      <c r="G90" s="446"/>
      <c r="H90" s="446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</row>
    <row r="91" spans="1:41">
      <c r="A91" s="43"/>
      <c r="B91" s="123"/>
      <c r="C91" s="124"/>
      <c r="D91" s="43"/>
      <c r="E91" s="446"/>
      <c r="F91" s="446"/>
      <c r="G91" s="446"/>
      <c r="H91" s="446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24"/>
      <c r="AG91" s="43"/>
      <c r="AH91" s="43"/>
      <c r="AI91" s="43"/>
      <c r="AJ91" s="43"/>
      <c r="AK91" s="43"/>
      <c r="AL91" s="43"/>
      <c r="AM91" s="43"/>
      <c r="AN91" s="43"/>
      <c r="AO91" s="43"/>
    </row>
    <row r="92" spans="1:41">
      <c r="A92" s="43"/>
      <c r="B92" s="43"/>
      <c r="C92" s="72"/>
      <c r="D92" s="43"/>
      <c r="E92" s="446"/>
      <c r="F92" s="446"/>
      <c r="G92" s="446"/>
      <c r="H92" s="446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124"/>
      <c r="W92" s="43"/>
      <c r="X92" s="43"/>
      <c r="Y92" s="43"/>
      <c r="Z92" s="43"/>
      <c r="AA92" s="43"/>
      <c r="AB92" s="43"/>
      <c r="AC92" s="43"/>
      <c r="AD92" s="43"/>
      <c r="AE92" s="43"/>
      <c r="AF92" s="72"/>
      <c r="AG92" s="43"/>
      <c r="AH92" s="43"/>
      <c r="AI92" s="43"/>
      <c r="AJ92" s="43"/>
      <c r="AK92" s="43"/>
      <c r="AL92" s="43"/>
      <c r="AM92" s="43"/>
      <c r="AN92" s="43"/>
      <c r="AO92" s="43"/>
    </row>
    <row r="93" spans="1:41">
      <c r="A93" s="43"/>
      <c r="B93" s="43"/>
      <c r="C93" s="72"/>
      <c r="D93" s="43"/>
      <c r="E93" s="446"/>
      <c r="F93" s="446"/>
      <c r="G93" s="446"/>
      <c r="H93" s="446"/>
      <c r="I93" s="62"/>
      <c r="J93" s="43"/>
      <c r="K93" s="62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72"/>
      <c r="W93" s="43"/>
      <c r="X93" s="43"/>
      <c r="Y93" s="43"/>
      <c r="Z93" s="43"/>
      <c r="AA93" s="43"/>
      <c r="AB93" s="43"/>
      <c r="AC93" s="43"/>
      <c r="AD93" s="43"/>
      <c r="AE93" s="43"/>
      <c r="AF93" s="72"/>
      <c r="AG93" s="43"/>
      <c r="AH93" s="43"/>
      <c r="AI93" s="43"/>
      <c r="AJ93" s="43"/>
      <c r="AK93" s="43"/>
      <c r="AL93" s="43"/>
      <c r="AM93" s="43"/>
      <c r="AN93" s="43"/>
      <c r="AO93" s="43"/>
    </row>
    <row r="94" spans="1:41">
      <c r="A94" s="43"/>
      <c r="B94" s="43"/>
      <c r="C94" s="72"/>
      <c r="D94" s="125"/>
      <c r="E94" s="446"/>
      <c r="F94" s="446"/>
      <c r="G94" s="446"/>
      <c r="H94" s="446"/>
      <c r="I94" s="125"/>
      <c r="J94" s="125"/>
      <c r="K94" s="125"/>
      <c r="L94" s="125"/>
      <c r="M94" s="43"/>
      <c r="N94" s="43"/>
      <c r="O94" s="43"/>
      <c r="P94" s="43"/>
      <c r="Q94" s="43"/>
      <c r="R94" s="43"/>
      <c r="S94" s="43"/>
      <c r="T94" s="43"/>
      <c r="U94" s="43"/>
      <c r="V94" s="72"/>
      <c r="W94" s="43"/>
      <c r="X94" s="43"/>
      <c r="Y94" s="43"/>
      <c r="Z94" s="43"/>
      <c r="AA94" s="43"/>
      <c r="AB94" s="43"/>
      <c r="AC94" s="43"/>
      <c r="AD94" s="43"/>
      <c r="AE94" s="43"/>
      <c r="AF94" s="72"/>
      <c r="AG94" s="43"/>
      <c r="AH94" s="43"/>
      <c r="AI94" s="43"/>
      <c r="AJ94" s="43"/>
      <c r="AK94" s="43"/>
      <c r="AL94" s="43"/>
      <c r="AM94" s="43"/>
      <c r="AN94" s="43"/>
      <c r="AO94" s="43"/>
    </row>
    <row r="95" spans="1:41">
      <c r="A95" s="43"/>
      <c r="B95" s="123"/>
      <c r="C95" s="72"/>
      <c r="D95" s="43"/>
      <c r="E95" s="446"/>
      <c r="F95" s="446"/>
      <c r="G95" s="446"/>
      <c r="H95" s="446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72"/>
      <c r="W95" s="43"/>
      <c r="X95" s="43"/>
      <c r="Y95" s="43"/>
      <c r="Z95" s="43"/>
      <c r="AA95" s="43"/>
      <c r="AB95" s="43"/>
      <c r="AC95" s="43"/>
      <c r="AD95" s="43"/>
      <c r="AE95" s="43"/>
      <c r="AF95" s="72"/>
      <c r="AG95" s="43"/>
      <c r="AH95" s="43"/>
      <c r="AI95" s="43"/>
      <c r="AJ95" s="43"/>
      <c r="AK95" s="43"/>
      <c r="AL95" s="43"/>
      <c r="AM95" s="43"/>
      <c r="AN95" s="43"/>
      <c r="AO95" s="43"/>
    </row>
    <row r="96" spans="1:41">
      <c r="A96" s="43"/>
      <c r="B96" s="43"/>
      <c r="C96" s="126"/>
      <c r="D96" s="110"/>
      <c r="E96" s="446"/>
      <c r="F96" s="446"/>
      <c r="G96" s="446"/>
      <c r="H96" s="446"/>
      <c r="I96" s="110"/>
      <c r="J96" s="110"/>
      <c r="K96" s="110"/>
      <c r="L96" s="110"/>
      <c r="M96" s="43"/>
      <c r="N96" s="43"/>
      <c r="O96" s="43"/>
      <c r="P96" s="43"/>
      <c r="Q96" s="43"/>
      <c r="R96" s="43"/>
      <c r="S96" s="43"/>
      <c r="T96" s="43"/>
      <c r="U96" s="43"/>
      <c r="V96" s="72"/>
      <c r="W96" s="43"/>
      <c r="X96" s="43"/>
      <c r="Y96" s="43"/>
      <c r="Z96" s="43"/>
      <c r="AA96" s="43"/>
      <c r="AB96" s="43"/>
      <c r="AC96" s="43"/>
      <c r="AD96" s="43"/>
      <c r="AE96" s="43"/>
      <c r="AF96" s="126"/>
      <c r="AG96" s="43"/>
      <c r="AH96" s="43"/>
      <c r="AI96" s="43"/>
      <c r="AJ96" s="43"/>
      <c r="AK96" s="43"/>
      <c r="AL96" s="43"/>
      <c r="AM96" s="43"/>
      <c r="AN96" s="43"/>
      <c r="AO96" s="43"/>
    </row>
    <row r="97" spans="1:41">
      <c r="A97" s="43"/>
      <c r="B97" s="43"/>
      <c r="C97" s="127"/>
      <c r="D97" s="110"/>
      <c r="E97" s="446"/>
      <c r="F97" s="446"/>
      <c r="G97" s="446"/>
      <c r="H97" s="446"/>
      <c r="I97" s="123"/>
      <c r="J97" s="110"/>
      <c r="K97" s="123"/>
      <c r="L97" s="110"/>
      <c r="M97" s="43"/>
      <c r="N97" s="43"/>
      <c r="O97" s="43"/>
      <c r="P97" s="43"/>
      <c r="Q97" s="43"/>
      <c r="R97" s="43"/>
      <c r="S97" s="43"/>
      <c r="T97" s="43"/>
      <c r="U97" s="43"/>
      <c r="V97" s="126"/>
      <c r="W97" s="43"/>
      <c r="X97" s="43"/>
      <c r="Y97" s="43"/>
      <c r="Z97" s="43"/>
      <c r="AA97" s="43"/>
      <c r="AB97" s="43"/>
      <c r="AC97" s="43"/>
      <c r="AD97" s="43"/>
      <c r="AE97" s="43"/>
      <c r="AF97" s="127"/>
      <c r="AG97" s="43"/>
      <c r="AH97" s="43"/>
      <c r="AI97" s="43"/>
      <c r="AJ97" s="43"/>
      <c r="AK97" s="43"/>
      <c r="AL97" s="43"/>
      <c r="AM97" s="43"/>
      <c r="AN97" s="43"/>
      <c r="AO97" s="43"/>
    </row>
    <row r="98" spans="1:41">
      <c r="A98" s="43"/>
      <c r="B98" s="43"/>
      <c r="C98" s="128"/>
      <c r="D98" s="110"/>
      <c r="E98" s="446"/>
      <c r="F98" s="446"/>
      <c r="G98" s="446"/>
      <c r="H98" s="446"/>
      <c r="I98" s="123"/>
      <c r="J98" s="110"/>
      <c r="K98" s="123"/>
      <c r="L98" s="110"/>
      <c r="M98" s="43"/>
      <c r="N98" s="43"/>
      <c r="O98" s="43"/>
      <c r="P98" s="43"/>
      <c r="Q98" s="43"/>
      <c r="R98" s="43"/>
      <c r="S98" s="43"/>
      <c r="T98" s="43"/>
      <c r="U98" s="43"/>
      <c r="V98" s="127"/>
      <c r="W98" s="43"/>
      <c r="X98" s="43"/>
      <c r="Y98" s="43"/>
      <c r="Z98" s="43"/>
      <c r="AA98" s="43"/>
      <c r="AB98" s="43"/>
      <c r="AC98" s="43"/>
      <c r="AD98" s="43"/>
      <c r="AE98" s="43"/>
      <c r="AF98" s="128"/>
      <c r="AG98" s="43"/>
      <c r="AH98" s="43"/>
      <c r="AI98" s="43"/>
      <c r="AJ98" s="43"/>
      <c r="AK98" s="43"/>
      <c r="AL98" s="43"/>
      <c r="AM98" s="43"/>
      <c r="AN98" s="43"/>
      <c r="AO98" s="43"/>
    </row>
    <row r="99" spans="1:41">
      <c r="A99" s="43"/>
      <c r="B99" s="43"/>
      <c r="C99" s="128"/>
      <c r="D99" s="110"/>
      <c r="E99" s="446"/>
      <c r="F99" s="446"/>
      <c r="G99" s="446"/>
      <c r="H99" s="446"/>
      <c r="I99" s="123"/>
      <c r="J99" s="110"/>
      <c r="K99" s="123"/>
      <c r="L99" s="110"/>
      <c r="M99" s="43"/>
      <c r="N99" s="43"/>
      <c r="O99" s="43"/>
      <c r="P99" s="43"/>
      <c r="Q99" s="43"/>
      <c r="R99" s="43"/>
      <c r="S99" s="43"/>
      <c r="T99" s="43"/>
      <c r="U99" s="43"/>
      <c r="V99" s="128"/>
      <c r="W99" s="43"/>
      <c r="X99" s="43"/>
      <c r="Y99" s="43"/>
      <c r="Z99" s="43"/>
      <c r="AA99" s="43"/>
      <c r="AB99" s="43"/>
      <c r="AC99" s="43"/>
      <c r="AD99" s="43"/>
      <c r="AE99" s="43"/>
      <c r="AF99" s="128"/>
      <c r="AG99" s="43"/>
      <c r="AH99" s="43"/>
      <c r="AI99" s="43"/>
      <c r="AJ99" s="43"/>
      <c r="AK99" s="43"/>
      <c r="AL99" s="43"/>
      <c r="AM99" s="43"/>
      <c r="AN99" s="43"/>
      <c r="AO99" s="43"/>
    </row>
    <row r="100" spans="1:41">
      <c r="A100" s="43"/>
      <c r="B100" s="43"/>
      <c r="C100" s="128"/>
      <c r="D100" s="110"/>
      <c r="E100" s="446"/>
      <c r="F100" s="446"/>
      <c r="G100" s="446"/>
      <c r="H100" s="446"/>
      <c r="I100" s="110"/>
      <c r="J100" s="110"/>
      <c r="K100" s="110"/>
      <c r="L100" s="110"/>
      <c r="M100" s="43"/>
      <c r="N100" s="43"/>
      <c r="O100" s="43"/>
      <c r="P100" s="43"/>
      <c r="Q100" s="43"/>
      <c r="R100" s="43"/>
      <c r="S100" s="43"/>
      <c r="T100" s="43"/>
      <c r="U100" s="43"/>
      <c r="V100" s="128"/>
      <c r="W100" s="43"/>
      <c r="X100" s="43"/>
      <c r="Y100" s="43"/>
      <c r="Z100" s="43"/>
      <c r="AA100" s="43"/>
      <c r="AB100" s="43"/>
      <c r="AC100" s="43"/>
      <c r="AD100" s="43"/>
      <c r="AE100" s="43"/>
      <c r="AF100" s="128"/>
      <c r="AG100" s="43"/>
      <c r="AH100" s="43"/>
      <c r="AI100" s="43"/>
      <c r="AJ100" s="43"/>
      <c r="AK100" s="43"/>
      <c r="AL100" s="43"/>
      <c r="AM100" s="43"/>
      <c r="AN100" s="43"/>
      <c r="AO100" s="43"/>
    </row>
    <row r="101" spans="1:41">
      <c r="A101" s="43"/>
      <c r="B101" s="43"/>
      <c r="C101" s="129"/>
      <c r="D101" s="43"/>
      <c r="E101" s="446"/>
      <c r="F101" s="446"/>
      <c r="G101" s="446"/>
      <c r="H101" s="446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128"/>
      <c r="W101" s="43"/>
      <c r="X101" s="43"/>
      <c r="Y101" s="43"/>
      <c r="Z101" s="43"/>
      <c r="AA101" s="43"/>
      <c r="AB101" s="43"/>
      <c r="AC101" s="43"/>
      <c r="AD101" s="43"/>
      <c r="AE101" s="43"/>
      <c r="AF101" s="129"/>
      <c r="AG101" s="43"/>
      <c r="AH101" s="43"/>
      <c r="AI101" s="43"/>
      <c r="AJ101" s="43"/>
      <c r="AK101" s="43"/>
      <c r="AL101" s="43"/>
      <c r="AM101" s="43"/>
      <c r="AN101" s="43"/>
      <c r="AO101" s="43"/>
    </row>
    <row r="102" spans="1:41">
      <c r="A102" s="43"/>
      <c r="B102" s="123"/>
      <c r="C102" s="130"/>
      <c r="D102" s="43"/>
      <c r="E102" s="446"/>
      <c r="F102" s="446"/>
      <c r="G102" s="446"/>
      <c r="H102" s="446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129"/>
      <c r="W102" s="43"/>
      <c r="X102" s="43"/>
      <c r="Y102" s="43"/>
      <c r="Z102" s="43"/>
      <c r="AA102" s="43"/>
      <c r="AB102" s="43"/>
      <c r="AC102" s="43"/>
      <c r="AD102" s="43"/>
      <c r="AE102" s="43"/>
      <c r="AF102" s="130"/>
      <c r="AG102" s="43"/>
      <c r="AH102" s="43"/>
      <c r="AI102" s="43"/>
      <c r="AJ102" s="43"/>
      <c r="AK102" s="43"/>
      <c r="AL102" s="43"/>
      <c r="AM102" s="43"/>
      <c r="AN102" s="43"/>
      <c r="AO102" s="43"/>
    </row>
    <row r="103" spans="1:41">
      <c r="A103" s="43"/>
      <c r="B103" s="123"/>
      <c r="C103" s="130"/>
      <c r="D103" s="43"/>
      <c r="E103" s="446"/>
      <c r="F103" s="446"/>
      <c r="G103" s="446"/>
      <c r="H103" s="446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130"/>
      <c r="W103" s="43"/>
      <c r="X103" s="43"/>
      <c r="Y103" s="43"/>
      <c r="Z103" s="43"/>
      <c r="AA103" s="43"/>
      <c r="AB103" s="43"/>
      <c r="AC103" s="43"/>
      <c r="AD103" s="43"/>
      <c r="AE103" s="43"/>
      <c r="AF103" s="130"/>
      <c r="AG103" s="43"/>
      <c r="AH103" s="43"/>
      <c r="AI103" s="43"/>
      <c r="AJ103" s="43"/>
      <c r="AK103" s="43"/>
      <c r="AL103" s="43"/>
      <c r="AM103" s="43"/>
      <c r="AN103" s="43"/>
      <c r="AO103" s="43"/>
    </row>
    <row r="104" spans="1:41">
      <c r="A104" s="43"/>
      <c r="B104" s="43"/>
      <c r="C104" s="126"/>
      <c r="D104" s="43"/>
      <c r="E104" s="446"/>
      <c r="F104" s="446"/>
      <c r="G104" s="446"/>
      <c r="H104" s="446"/>
      <c r="I104" s="110"/>
      <c r="J104" s="43"/>
      <c r="K104" s="110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130"/>
      <c r="W104" s="43"/>
      <c r="X104" s="43"/>
      <c r="Y104" s="43"/>
      <c r="Z104" s="43"/>
      <c r="AA104" s="43"/>
      <c r="AB104" s="43"/>
      <c r="AC104" s="43"/>
      <c r="AD104" s="43"/>
      <c r="AE104" s="43"/>
      <c r="AF104" s="126"/>
      <c r="AG104" s="43"/>
      <c r="AH104" s="43"/>
      <c r="AI104" s="43"/>
      <c r="AJ104" s="43"/>
      <c r="AK104" s="43"/>
      <c r="AL104" s="43"/>
      <c r="AM104" s="43"/>
      <c r="AN104" s="43"/>
      <c r="AO104" s="43"/>
    </row>
    <row r="105" spans="1:41">
      <c r="A105" s="43"/>
      <c r="B105" s="43"/>
      <c r="C105" s="128"/>
      <c r="D105" s="110"/>
      <c r="E105" s="446"/>
      <c r="F105" s="446"/>
      <c r="G105" s="446"/>
      <c r="H105" s="446"/>
      <c r="I105" s="43"/>
      <c r="J105" s="110"/>
      <c r="K105" s="43"/>
      <c r="L105" s="110"/>
      <c r="M105" s="43"/>
      <c r="N105" s="43"/>
      <c r="O105" s="43"/>
      <c r="P105" s="43"/>
      <c r="Q105" s="43"/>
      <c r="R105" s="43"/>
      <c r="S105" s="43"/>
      <c r="T105" s="43"/>
      <c r="U105" s="43"/>
      <c r="V105" s="126"/>
      <c r="W105" s="43"/>
      <c r="X105" s="43"/>
      <c r="Y105" s="43"/>
      <c r="Z105" s="43"/>
      <c r="AA105" s="43"/>
      <c r="AB105" s="43"/>
      <c r="AC105" s="43"/>
      <c r="AD105" s="43"/>
      <c r="AE105" s="43"/>
      <c r="AF105" s="128"/>
      <c r="AG105" s="43"/>
      <c r="AH105" s="43"/>
      <c r="AI105" s="43"/>
      <c r="AJ105" s="43"/>
      <c r="AK105" s="43"/>
      <c r="AL105" s="43"/>
      <c r="AM105" s="43"/>
      <c r="AN105" s="43"/>
      <c r="AO105" s="43"/>
    </row>
    <row r="106" spans="1:41">
      <c r="A106" s="43"/>
      <c r="B106" s="43"/>
      <c r="C106" s="126"/>
      <c r="D106" s="110"/>
      <c r="E106" s="446"/>
      <c r="F106" s="446"/>
      <c r="G106" s="446"/>
      <c r="H106" s="446"/>
      <c r="I106" s="110"/>
      <c r="J106" s="110"/>
      <c r="K106" s="110"/>
      <c r="L106" s="110"/>
      <c r="M106" s="43"/>
      <c r="N106" s="43"/>
      <c r="O106" s="43"/>
      <c r="P106" s="43"/>
      <c r="Q106" s="43"/>
      <c r="R106" s="43"/>
      <c r="S106" s="43"/>
      <c r="T106" s="43"/>
      <c r="U106" s="43"/>
      <c r="V106" s="128"/>
      <c r="W106" s="43"/>
      <c r="X106" s="43"/>
      <c r="Y106" s="43"/>
      <c r="Z106" s="43"/>
      <c r="AA106" s="43"/>
      <c r="AB106" s="43"/>
      <c r="AC106" s="43"/>
      <c r="AD106" s="43"/>
      <c r="AE106" s="43"/>
      <c r="AF106" s="126"/>
      <c r="AG106" s="43"/>
      <c r="AH106" s="43"/>
      <c r="AI106" s="43"/>
      <c r="AJ106" s="43"/>
      <c r="AK106" s="43"/>
      <c r="AL106" s="43"/>
      <c r="AM106" s="43"/>
      <c r="AN106" s="43"/>
      <c r="AO106" s="43"/>
    </row>
    <row r="107" spans="1:41">
      <c r="A107" s="43"/>
      <c r="B107" s="43"/>
      <c r="C107" s="126"/>
      <c r="D107" s="131"/>
      <c r="E107" s="446"/>
      <c r="F107" s="446"/>
      <c r="G107" s="446"/>
      <c r="H107" s="446"/>
      <c r="I107" s="131"/>
      <c r="J107" s="131"/>
      <c r="K107" s="131"/>
      <c r="L107" s="131"/>
      <c r="M107" s="43"/>
      <c r="N107" s="43"/>
      <c r="O107" s="43"/>
      <c r="P107" s="43"/>
      <c r="Q107" s="43"/>
      <c r="R107" s="43"/>
      <c r="S107" s="43"/>
      <c r="T107" s="43"/>
      <c r="U107" s="43"/>
      <c r="V107" s="126"/>
      <c r="W107" s="43"/>
      <c r="X107" s="43"/>
      <c r="Y107" s="43"/>
      <c r="Z107" s="43"/>
      <c r="AA107" s="43"/>
      <c r="AB107" s="43"/>
      <c r="AC107" s="43"/>
      <c r="AD107" s="43"/>
      <c r="AE107" s="43"/>
      <c r="AF107" s="126"/>
      <c r="AG107" s="43"/>
      <c r="AH107" s="43"/>
      <c r="AI107" s="43"/>
      <c r="AJ107" s="43"/>
      <c r="AK107" s="43"/>
      <c r="AL107" s="43"/>
      <c r="AM107" s="43"/>
      <c r="AN107" s="43"/>
      <c r="AO107" s="43"/>
    </row>
    <row r="108" spans="1:41">
      <c r="A108" s="43"/>
      <c r="B108" s="43"/>
      <c r="C108" s="126"/>
      <c r="D108" s="132"/>
      <c r="E108" s="446"/>
      <c r="F108" s="446"/>
      <c r="G108" s="446"/>
      <c r="H108" s="446"/>
      <c r="I108" s="132"/>
      <c r="J108" s="132"/>
      <c r="K108" s="132"/>
      <c r="L108" s="132"/>
      <c r="M108" s="43"/>
      <c r="N108" s="43"/>
      <c r="O108" s="43"/>
      <c r="P108" s="43"/>
      <c r="Q108" s="43"/>
      <c r="R108" s="43"/>
      <c r="S108" s="43"/>
      <c r="T108" s="43"/>
      <c r="U108" s="43"/>
      <c r="V108" s="126"/>
      <c r="W108" s="43"/>
      <c r="X108" s="43"/>
      <c r="Y108" s="43"/>
      <c r="Z108" s="43"/>
      <c r="AA108" s="43"/>
      <c r="AB108" s="43"/>
      <c r="AC108" s="43"/>
      <c r="AD108" s="43"/>
      <c r="AE108" s="43"/>
      <c r="AF108" s="126"/>
      <c r="AG108" s="43"/>
      <c r="AH108" s="43"/>
      <c r="AI108" s="43"/>
      <c r="AJ108" s="43"/>
      <c r="AK108" s="43"/>
      <c r="AL108" s="43"/>
      <c r="AM108" s="43"/>
      <c r="AN108" s="43"/>
      <c r="AO108" s="43"/>
    </row>
    <row r="109" spans="1:41">
      <c r="A109" s="43"/>
      <c r="B109" s="43"/>
      <c r="C109" s="130"/>
      <c r="D109" s="43"/>
      <c r="E109" s="446"/>
      <c r="F109" s="446"/>
      <c r="G109" s="446"/>
      <c r="H109" s="446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126"/>
      <c r="W109" s="43"/>
      <c r="X109" s="43"/>
      <c r="Y109" s="43"/>
      <c r="Z109" s="43"/>
      <c r="AA109" s="43"/>
      <c r="AB109" s="43"/>
      <c r="AC109" s="43"/>
      <c r="AD109" s="43"/>
      <c r="AE109" s="43"/>
      <c r="AF109" s="130"/>
      <c r="AG109" s="43"/>
      <c r="AH109" s="43"/>
      <c r="AI109" s="43"/>
      <c r="AJ109" s="43"/>
      <c r="AK109" s="43"/>
      <c r="AL109" s="43"/>
      <c r="AM109" s="43"/>
      <c r="AN109" s="43"/>
      <c r="AO109" s="43"/>
    </row>
    <row r="110" spans="1:41">
      <c r="A110" s="43"/>
      <c r="B110" s="123"/>
      <c r="C110" s="130"/>
      <c r="D110" s="43"/>
      <c r="E110" s="446"/>
      <c r="F110" s="446"/>
      <c r="G110" s="446"/>
      <c r="H110" s="446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130"/>
      <c r="W110" s="43"/>
      <c r="X110" s="43"/>
      <c r="Y110" s="43"/>
      <c r="Z110" s="43"/>
      <c r="AA110" s="43"/>
      <c r="AB110" s="43"/>
      <c r="AC110" s="43"/>
      <c r="AD110" s="43"/>
      <c r="AE110" s="43"/>
      <c r="AF110" s="130"/>
      <c r="AG110" s="43"/>
      <c r="AH110" s="43"/>
      <c r="AI110" s="43"/>
      <c r="AJ110" s="43"/>
      <c r="AK110" s="43"/>
      <c r="AL110" s="43"/>
      <c r="AM110" s="43"/>
      <c r="AN110" s="43"/>
      <c r="AO110" s="43"/>
    </row>
    <row r="111" spans="1:41">
      <c r="A111" s="43"/>
      <c r="B111" s="43"/>
      <c r="C111" s="126"/>
      <c r="D111" s="110"/>
      <c r="E111" s="446"/>
      <c r="F111" s="446"/>
      <c r="G111" s="446"/>
      <c r="H111" s="446"/>
      <c r="I111" s="110"/>
      <c r="J111" s="110"/>
      <c r="K111" s="110"/>
      <c r="L111" s="110"/>
      <c r="M111" s="43"/>
      <c r="N111" s="43"/>
      <c r="O111" s="43"/>
      <c r="P111" s="43"/>
      <c r="Q111" s="43"/>
      <c r="R111" s="43"/>
      <c r="S111" s="43"/>
      <c r="T111" s="43"/>
      <c r="U111" s="43"/>
      <c r="V111" s="130"/>
      <c r="W111" s="43"/>
      <c r="X111" s="43"/>
      <c r="Y111" s="43"/>
      <c r="Z111" s="43"/>
      <c r="AA111" s="43"/>
      <c r="AB111" s="43"/>
      <c r="AC111" s="43"/>
      <c r="AD111" s="43"/>
      <c r="AE111" s="43"/>
      <c r="AF111" s="126"/>
      <c r="AG111" s="43"/>
      <c r="AH111" s="43"/>
      <c r="AI111" s="43"/>
      <c r="AJ111" s="43"/>
      <c r="AK111" s="43"/>
      <c r="AL111" s="43"/>
      <c r="AM111" s="43"/>
      <c r="AN111" s="43"/>
      <c r="AO111" s="43"/>
    </row>
    <row r="112" spans="1:41">
      <c r="A112" s="43"/>
      <c r="B112" s="43"/>
      <c r="C112" s="126"/>
      <c r="D112" s="110"/>
      <c r="E112" s="446"/>
      <c r="F112" s="446"/>
      <c r="G112" s="446"/>
      <c r="H112" s="446"/>
      <c r="I112" s="110"/>
      <c r="J112" s="110"/>
      <c r="K112" s="110"/>
      <c r="L112" s="110"/>
      <c r="M112" s="43"/>
      <c r="N112" s="43"/>
      <c r="O112" s="43"/>
      <c r="P112" s="43"/>
      <c r="Q112" s="43"/>
      <c r="R112" s="43"/>
      <c r="S112" s="43"/>
      <c r="T112" s="43"/>
      <c r="U112" s="43"/>
      <c r="V112" s="126"/>
      <c r="W112" s="43"/>
      <c r="X112" s="43"/>
      <c r="Y112" s="43"/>
      <c r="Z112" s="43"/>
      <c r="AA112" s="43"/>
      <c r="AB112" s="43"/>
      <c r="AC112" s="43"/>
      <c r="AD112" s="43"/>
      <c r="AE112" s="43"/>
      <c r="AF112" s="126"/>
      <c r="AG112" s="43"/>
      <c r="AH112" s="43"/>
      <c r="AI112" s="43"/>
      <c r="AJ112" s="43"/>
      <c r="AK112" s="43"/>
      <c r="AL112" s="43"/>
      <c r="AM112" s="43"/>
      <c r="AN112" s="43"/>
      <c r="AO112" s="43"/>
    </row>
    <row r="113" spans="1:41">
      <c r="A113" s="43"/>
      <c r="B113" s="43"/>
      <c r="C113" s="126"/>
      <c r="D113" s="110"/>
      <c r="E113" s="446"/>
      <c r="F113" s="446"/>
      <c r="G113" s="446"/>
      <c r="H113" s="446"/>
      <c r="I113" s="110"/>
      <c r="J113" s="110"/>
      <c r="K113" s="110"/>
      <c r="L113" s="110"/>
      <c r="M113" s="43"/>
      <c r="N113" s="43"/>
      <c r="O113" s="43"/>
      <c r="P113" s="43"/>
      <c r="Q113" s="43"/>
      <c r="R113" s="43"/>
      <c r="S113" s="43"/>
      <c r="T113" s="43"/>
      <c r="U113" s="43"/>
      <c r="V113" s="126"/>
      <c r="W113" s="43"/>
      <c r="X113" s="43"/>
      <c r="Y113" s="43"/>
      <c r="Z113" s="43"/>
      <c r="AA113" s="43"/>
      <c r="AB113" s="43"/>
      <c r="AC113" s="43"/>
      <c r="AD113" s="43"/>
      <c r="AE113" s="43"/>
      <c r="AF113" s="126"/>
      <c r="AG113" s="43"/>
      <c r="AH113" s="43"/>
      <c r="AI113" s="43"/>
      <c r="AJ113" s="43"/>
      <c r="AK113" s="43"/>
      <c r="AL113" s="43"/>
      <c r="AM113" s="43"/>
      <c r="AN113" s="43"/>
      <c r="AO113" s="43"/>
    </row>
    <row r="114" spans="1:41">
      <c r="A114" s="43"/>
      <c r="B114" s="43"/>
      <c r="C114" s="126"/>
      <c r="D114" s="110"/>
      <c r="E114" s="446"/>
      <c r="F114" s="446"/>
      <c r="G114" s="446"/>
      <c r="H114" s="446"/>
      <c r="I114" s="110"/>
      <c r="J114" s="110"/>
      <c r="K114" s="110"/>
      <c r="L114" s="110"/>
      <c r="M114" s="43"/>
      <c r="N114" s="43"/>
      <c r="O114" s="43"/>
      <c r="P114" s="43"/>
      <c r="Q114" s="43"/>
      <c r="R114" s="43"/>
      <c r="S114" s="43"/>
      <c r="T114" s="43"/>
      <c r="U114" s="43"/>
      <c r="V114" s="126"/>
      <c r="W114" s="43"/>
      <c r="X114" s="43"/>
      <c r="Y114" s="43"/>
      <c r="Z114" s="43"/>
      <c r="AA114" s="43"/>
      <c r="AB114" s="43"/>
      <c r="AC114" s="43"/>
      <c r="AD114" s="43"/>
      <c r="AE114" s="43"/>
      <c r="AF114" s="126"/>
      <c r="AG114" s="43"/>
      <c r="AH114" s="43"/>
      <c r="AI114" s="43"/>
      <c r="AJ114" s="43"/>
      <c r="AK114" s="43"/>
      <c r="AL114" s="43"/>
      <c r="AM114" s="43"/>
      <c r="AN114" s="43"/>
      <c r="AO114" s="43"/>
    </row>
    <row r="115" spans="1:41">
      <c r="A115" s="43"/>
      <c r="B115" s="43"/>
      <c r="C115" s="126"/>
      <c r="D115" s="125"/>
      <c r="E115" s="446"/>
      <c r="F115" s="446"/>
      <c r="G115" s="446"/>
      <c r="H115" s="446"/>
      <c r="I115" s="110"/>
      <c r="J115" s="125"/>
      <c r="K115" s="110"/>
      <c r="L115" s="125"/>
      <c r="M115" s="43"/>
      <c r="N115" s="43"/>
      <c r="O115" s="43"/>
      <c r="P115" s="43"/>
      <c r="Q115" s="43"/>
      <c r="R115" s="43"/>
      <c r="S115" s="43"/>
      <c r="T115" s="43"/>
      <c r="U115" s="43"/>
      <c r="V115" s="126"/>
      <c r="W115" s="43"/>
      <c r="X115" s="43"/>
      <c r="Y115" s="43"/>
      <c r="Z115" s="43"/>
      <c r="AA115" s="43"/>
      <c r="AB115" s="43"/>
      <c r="AC115" s="43"/>
      <c r="AD115" s="43"/>
      <c r="AE115" s="43"/>
      <c r="AF115" s="126"/>
      <c r="AG115" s="43"/>
      <c r="AH115" s="43"/>
      <c r="AI115" s="43"/>
      <c r="AJ115" s="43"/>
      <c r="AK115" s="43"/>
      <c r="AL115" s="43"/>
      <c r="AM115" s="43"/>
      <c r="AN115" s="43"/>
      <c r="AO115" s="43"/>
    </row>
    <row r="116" spans="1:41">
      <c r="A116" s="43"/>
      <c r="B116" s="43"/>
      <c r="C116" s="126"/>
      <c r="D116" s="125"/>
      <c r="E116" s="446"/>
      <c r="F116" s="446"/>
      <c r="G116" s="446"/>
      <c r="H116" s="446"/>
      <c r="I116" s="110"/>
      <c r="J116" s="125"/>
      <c r="K116" s="110"/>
      <c r="L116" s="125"/>
      <c r="M116" s="43"/>
      <c r="N116" s="43"/>
      <c r="O116" s="43"/>
      <c r="P116" s="43"/>
      <c r="Q116" s="43"/>
      <c r="R116" s="43"/>
      <c r="S116" s="43"/>
      <c r="T116" s="43"/>
      <c r="U116" s="43"/>
      <c r="V116" s="126"/>
      <c r="W116" s="43"/>
      <c r="X116" s="43"/>
      <c r="Y116" s="43"/>
      <c r="Z116" s="43"/>
      <c r="AA116" s="43"/>
      <c r="AB116" s="43"/>
      <c r="AC116" s="43"/>
      <c r="AD116" s="43"/>
      <c r="AE116" s="43"/>
      <c r="AF116" s="126"/>
      <c r="AG116" s="43"/>
      <c r="AH116" s="43"/>
      <c r="AI116" s="43"/>
      <c r="AJ116" s="43"/>
      <c r="AK116" s="43"/>
      <c r="AL116" s="43"/>
      <c r="AM116" s="43"/>
      <c r="AN116" s="43"/>
      <c r="AO116" s="43"/>
    </row>
    <row r="117" spans="1:41">
      <c r="A117" s="43"/>
      <c r="B117" s="43"/>
      <c r="C117" s="126"/>
      <c r="D117" s="125"/>
      <c r="E117" s="446"/>
      <c r="F117" s="446"/>
      <c r="G117" s="446"/>
      <c r="H117" s="446"/>
      <c r="I117" s="110"/>
      <c r="J117" s="125"/>
      <c r="K117" s="110"/>
      <c r="L117" s="125"/>
      <c r="M117" s="43"/>
      <c r="N117" s="43"/>
      <c r="O117" s="43"/>
      <c r="P117" s="43"/>
      <c r="Q117" s="43"/>
      <c r="R117" s="43"/>
      <c r="S117" s="43"/>
      <c r="T117" s="43"/>
      <c r="U117" s="43"/>
      <c r="V117" s="126"/>
      <c r="W117" s="43"/>
      <c r="X117" s="43"/>
      <c r="Y117" s="43"/>
      <c r="Z117" s="43"/>
      <c r="AA117" s="43"/>
      <c r="AB117" s="43"/>
      <c r="AC117" s="43"/>
      <c r="AD117" s="43"/>
      <c r="AE117" s="43"/>
      <c r="AF117" s="126"/>
      <c r="AG117" s="43"/>
      <c r="AH117" s="43"/>
      <c r="AI117" s="43"/>
      <c r="AJ117" s="43"/>
      <c r="AK117" s="43"/>
      <c r="AL117" s="43"/>
      <c r="AM117" s="43"/>
      <c r="AN117" s="43"/>
      <c r="AO117" s="43"/>
    </row>
    <row r="118" spans="1:41">
      <c r="A118" s="43"/>
      <c r="B118" s="43"/>
      <c r="C118" s="126"/>
      <c r="D118" s="110"/>
      <c r="E118" s="446"/>
      <c r="F118" s="446"/>
      <c r="G118" s="446"/>
      <c r="H118" s="446"/>
      <c r="I118" s="110"/>
      <c r="J118" s="110"/>
      <c r="K118" s="110"/>
      <c r="L118" s="110"/>
      <c r="M118" s="43"/>
      <c r="N118" s="43"/>
      <c r="O118" s="43"/>
      <c r="P118" s="43"/>
      <c r="Q118" s="43"/>
      <c r="R118" s="43"/>
      <c r="S118" s="43"/>
      <c r="T118" s="43"/>
      <c r="U118" s="43"/>
      <c r="V118" s="126"/>
      <c r="W118" s="43"/>
      <c r="X118" s="43"/>
      <c r="Y118" s="43"/>
      <c r="Z118" s="43"/>
      <c r="AA118" s="43"/>
      <c r="AB118" s="43"/>
      <c r="AC118" s="43"/>
      <c r="AD118" s="43"/>
      <c r="AE118" s="43"/>
      <c r="AF118" s="126"/>
      <c r="AG118" s="43"/>
      <c r="AH118" s="43"/>
      <c r="AI118" s="43"/>
      <c r="AJ118" s="43"/>
      <c r="AK118" s="43"/>
      <c r="AL118" s="43"/>
      <c r="AM118" s="43"/>
      <c r="AN118" s="43"/>
      <c r="AO118" s="43"/>
    </row>
    <row r="119" spans="1:41">
      <c r="A119" s="43"/>
      <c r="B119" s="43"/>
      <c r="C119" s="126"/>
      <c r="D119" s="131"/>
      <c r="E119" s="446"/>
      <c r="F119" s="446"/>
      <c r="G119" s="446"/>
      <c r="H119" s="446"/>
      <c r="I119" s="131"/>
      <c r="J119" s="131"/>
      <c r="K119" s="131"/>
      <c r="L119" s="131"/>
      <c r="M119" s="43"/>
      <c r="N119" s="43"/>
      <c r="O119" s="43"/>
      <c r="P119" s="43"/>
      <c r="Q119" s="43"/>
      <c r="R119" s="43"/>
      <c r="S119" s="43"/>
      <c r="T119" s="43"/>
      <c r="U119" s="43"/>
      <c r="V119" s="126"/>
      <c r="W119" s="43"/>
      <c r="X119" s="43"/>
      <c r="Y119" s="43"/>
      <c r="Z119" s="43"/>
      <c r="AA119" s="43"/>
      <c r="AB119" s="43"/>
      <c r="AC119" s="43"/>
      <c r="AD119" s="43"/>
      <c r="AE119" s="43"/>
      <c r="AF119" s="126"/>
      <c r="AG119" s="43"/>
      <c r="AH119" s="43"/>
      <c r="AI119" s="43"/>
      <c r="AJ119" s="43"/>
      <c r="AK119" s="43"/>
      <c r="AL119" s="43"/>
      <c r="AM119" s="43"/>
      <c r="AN119" s="43"/>
      <c r="AO119" s="43"/>
    </row>
    <row r="120" spans="1:41">
      <c r="A120" s="43"/>
      <c r="B120" s="43"/>
      <c r="C120" s="126"/>
      <c r="D120" s="132"/>
      <c r="E120" s="446"/>
      <c r="F120" s="446"/>
      <c r="G120" s="446"/>
      <c r="H120" s="446"/>
      <c r="I120" s="132"/>
      <c r="J120" s="132"/>
      <c r="K120" s="132"/>
      <c r="L120" s="132"/>
      <c r="M120" s="43"/>
      <c r="N120" s="43"/>
      <c r="O120" s="43"/>
      <c r="P120" s="43"/>
      <c r="Q120" s="43"/>
      <c r="R120" s="43"/>
      <c r="S120" s="43"/>
      <c r="T120" s="43"/>
      <c r="U120" s="43"/>
      <c r="V120" s="126"/>
      <c r="W120" s="43"/>
      <c r="X120" s="43"/>
      <c r="Y120" s="43"/>
      <c r="Z120" s="43"/>
      <c r="AA120" s="43"/>
      <c r="AB120" s="43"/>
      <c r="AC120" s="43"/>
      <c r="AD120" s="43"/>
      <c r="AE120" s="43"/>
      <c r="AF120" s="126"/>
      <c r="AG120" s="43"/>
      <c r="AH120" s="43"/>
      <c r="AI120" s="43"/>
      <c r="AJ120" s="43"/>
      <c r="AK120" s="43"/>
      <c r="AL120" s="43"/>
      <c r="AM120" s="43"/>
      <c r="AN120" s="43"/>
      <c r="AO120" s="43"/>
    </row>
    <row r="121" spans="1:41">
      <c r="A121" s="43"/>
      <c r="B121" s="43"/>
      <c r="C121" s="130"/>
      <c r="D121" s="43"/>
      <c r="E121" s="446"/>
      <c r="F121" s="446"/>
      <c r="G121" s="446"/>
      <c r="H121" s="446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126"/>
      <c r="W121" s="43"/>
      <c r="X121" s="43"/>
      <c r="Y121" s="43"/>
      <c r="Z121" s="43"/>
      <c r="AA121" s="43"/>
      <c r="AB121" s="43"/>
      <c r="AC121" s="43"/>
      <c r="AD121" s="43"/>
      <c r="AE121" s="43"/>
      <c r="AF121" s="130"/>
      <c r="AG121" s="43"/>
      <c r="AH121" s="43"/>
      <c r="AI121" s="43"/>
      <c r="AJ121" s="43"/>
      <c r="AK121" s="43"/>
      <c r="AL121" s="43"/>
      <c r="AM121" s="43"/>
      <c r="AN121" s="43"/>
      <c r="AO121" s="43"/>
    </row>
    <row r="122" spans="1:41">
      <c r="A122" s="43"/>
      <c r="B122" s="43"/>
      <c r="C122" s="126"/>
      <c r="D122" s="43"/>
      <c r="E122" s="446"/>
      <c r="F122" s="446"/>
      <c r="G122" s="446"/>
      <c r="H122" s="446"/>
      <c r="I122" s="133"/>
      <c r="J122" s="43"/>
      <c r="K122" s="13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130"/>
      <c r="W122" s="43"/>
      <c r="X122" s="43"/>
      <c r="Y122" s="43"/>
      <c r="Z122" s="43"/>
      <c r="AA122" s="43"/>
      <c r="AB122" s="43"/>
      <c r="AC122" s="43"/>
      <c r="AD122" s="43"/>
      <c r="AE122" s="43"/>
      <c r="AF122" s="126"/>
      <c r="AG122" s="43"/>
      <c r="AH122" s="43"/>
      <c r="AI122" s="43"/>
      <c r="AJ122" s="43"/>
      <c r="AK122" s="43"/>
      <c r="AL122" s="43"/>
      <c r="AM122" s="43"/>
      <c r="AN122" s="43"/>
      <c r="AO122" s="43"/>
    </row>
    <row r="123" spans="1:41">
      <c r="A123" s="43"/>
      <c r="B123" s="43"/>
      <c r="C123" s="43"/>
      <c r="D123" s="43"/>
      <c r="E123" s="446"/>
      <c r="F123" s="446"/>
      <c r="G123" s="446"/>
      <c r="H123" s="446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126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</row>
    <row r="124" spans="1:41">
      <c r="E124" s="446"/>
      <c r="F124" s="446"/>
      <c r="G124" s="446"/>
      <c r="H124" s="446"/>
    </row>
    <row r="125" spans="1:41">
      <c r="E125" s="446"/>
      <c r="F125" s="446"/>
      <c r="G125" s="446"/>
      <c r="H125" s="446"/>
    </row>
    <row r="126" spans="1:41">
      <c r="E126" s="446"/>
      <c r="F126" s="446"/>
      <c r="G126" s="446"/>
      <c r="H126" s="446"/>
    </row>
    <row r="127" spans="1:41">
      <c r="E127" s="446"/>
      <c r="F127" s="446"/>
      <c r="G127" s="446"/>
      <c r="H127" s="446"/>
    </row>
    <row r="128" spans="1:41">
      <c r="E128" s="446"/>
      <c r="F128" s="446"/>
      <c r="G128" s="446"/>
      <c r="H128" s="446"/>
    </row>
    <row r="129" spans="5:8">
      <c r="E129" s="446"/>
      <c r="F129" s="446"/>
      <c r="G129" s="446"/>
      <c r="H129" s="446"/>
    </row>
    <row r="130" spans="5:8">
      <c r="E130" s="446"/>
      <c r="F130" s="446"/>
      <c r="G130" s="446"/>
      <c r="H130" s="446"/>
    </row>
    <row r="131" spans="5:8">
      <c r="E131" s="446"/>
      <c r="F131" s="446"/>
      <c r="G131" s="446"/>
      <c r="H131" s="446"/>
    </row>
    <row r="132" spans="5:8">
      <c r="E132" s="446"/>
      <c r="F132" s="446"/>
      <c r="G132" s="446"/>
      <c r="H132" s="446"/>
    </row>
    <row r="133" spans="5:8">
      <c r="E133" s="446"/>
      <c r="F133" s="446"/>
      <c r="G133" s="446"/>
      <c r="H133" s="446"/>
    </row>
    <row r="134" spans="5:8">
      <c r="E134" s="446"/>
      <c r="F134" s="446"/>
      <c r="G134" s="446"/>
      <c r="H134" s="446"/>
    </row>
    <row r="135" spans="5:8">
      <c r="E135" s="446"/>
      <c r="F135" s="446"/>
      <c r="G135" s="446"/>
      <c r="H135" s="446"/>
    </row>
    <row r="136" spans="5:8">
      <c r="E136" s="446"/>
      <c r="F136" s="446"/>
      <c r="G136" s="446"/>
      <c r="H136" s="446"/>
    </row>
    <row r="137" spans="5:8">
      <c r="E137" s="446"/>
      <c r="F137" s="446"/>
      <c r="G137" s="446"/>
      <c r="H137" s="446"/>
    </row>
    <row r="138" spans="5:8">
      <c r="E138" s="446"/>
      <c r="F138" s="446"/>
      <c r="G138" s="446"/>
      <c r="H138" s="446"/>
    </row>
    <row r="139" spans="5:8">
      <c r="E139" s="446"/>
      <c r="F139" s="446"/>
      <c r="G139" s="446"/>
      <c r="H139" s="446"/>
    </row>
    <row r="140" spans="5:8">
      <c r="E140" s="446"/>
      <c r="F140" s="446"/>
      <c r="G140" s="446"/>
      <c r="H140" s="446"/>
    </row>
    <row r="141" spans="5:8">
      <c r="E141" s="446"/>
      <c r="F141" s="446"/>
      <c r="G141" s="446"/>
      <c r="H141" s="446"/>
    </row>
    <row r="142" spans="5:8">
      <c r="E142" s="446"/>
      <c r="F142" s="446"/>
      <c r="G142" s="446"/>
      <c r="H142" s="446"/>
    </row>
    <row r="143" spans="5:8">
      <c r="E143" s="446"/>
      <c r="F143" s="446"/>
      <c r="G143" s="446"/>
      <c r="H143" s="446"/>
    </row>
    <row r="144" spans="5:8">
      <c r="E144" s="446"/>
      <c r="F144" s="446"/>
      <c r="G144" s="446"/>
      <c r="H144" s="446"/>
    </row>
    <row r="145" spans="5:8">
      <c r="E145" s="446"/>
      <c r="F145" s="446"/>
      <c r="G145" s="446"/>
      <c r="H145" s="446"/>
    </row>
    <row r="146" spans="5:8">
      <c r="E146" s="446"/>
      <c r="F146" s="446"/>
      <c r="G146" s="446"/>
      <c r="H146" s="446"/>
    </row>
    <row r="147" spans="5:8">
      <c r="E147" s="446"/>
      <c r="F147" s="446"/>
      <c r="G147" s="446"/>
      <c r="H147" s="446"/>
    </row>
    <row r="148" spans="5:8">
      <c r="E148" s="446"/>
      <c r="F148" s="446"/>
      <c r="G148" s="446"/>
      <c r="H148" s="446"/>
    </row>
    <row r="149" spans="5:8">
      <c r="E149" s="446"/>
      <c r="F149" s="446"/>
      <c r="G149" s="446"/>
      <c r="H149" s="4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184</v>
      </c>
      <c r="B1" s="83" t="s">
        <v>185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0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</v>
      </c>
      <c r="D3" s="135" t="s">
        <v>2</v>
      </c>
      <c r="E3" s="135" t="s">
        <v>3</v>
      </c>
      <c r="F3" s="135" t="s">
        <v>4</v>
      </c>
      <c r="G3" s="135" t="s">
        <v>5</v>
      </c>
      <c r="H3" s="135" t="s">
        <v>2</v>
      </c>
      <c r="I3" s="135" t="s">
        <v>3</v>
      </c>
      <c r="J3" s="135" t="s">
        <v>4</v>
      </c>
      <c r="K3" s="135" t="s">
        <v>5</v>
      </c>
      <c r="L3" s="135" t="s">
        <v>2</v>
      </c>
      <c r="M3" s="135" t="s">
        <v>2</v>
      </c>
      <c r="N3" s="135" t="s">
        <v>2</v>
      </c>
      <c r="O3" s="135" t="s">
        <v>2</v>
      </c>
      <c r="P3" s="135" t="s">
        <v>2</v>
      </c>
    </row>
    <row r="4" spans="1:16">
      <c r="A4" s="43"/>
      <c r="B4" s="43"/>
      <c r="C4" s="83" t="s">
        <v>186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187</v>
      </c>
      <c r="B5" s="46" t="s">
        <v>140</v>
      </c>
      <c r="C5" s="46" t="s">
        <v>188</v>
      </c>
      <c r="D5" s="68">
        <v>251128</v>
      </c>
      <c r="E5" s="50">
        <f>+registry!C82</f>
        <v>2638220.073653758</v>
      </c>
      <c r="F5" s="50">
        <f>+registry!D82</f>
        <v>-865586.31068834569</v>
      </c>
      <c r="G5" s="50">
        <f>+registry!E82</f>
        <v>-2780612.8651896324</v>
      </c>
      <c r="H5" s="50">
        <f>+registry!F82</f>
        <v>423023.87929552794</v>
      </c>
      <c r="I5" s="50">
        <f>+registry!G82</f>
        <v>3775129.1987411212</v>
      </c>
      <c r="J5" s="50">
        <f>+registry!H82</f>
        <v>9043183.9218983445</v>
      </c>
      <c r="K5" s="50">
        <f>+registry!I82</f>
        <v>5481021.3190847524</v>
      </c>
      <c r="L5" s="50">
        <f>+registry!J82</f>
        <v>1228060.51330576</v>
      </c>
      <c r="M5" s="50">
        <f>+registry!K82</f>
        <v>4237821.3106101584</v>
      </c>
      <c r="N5" s="50">
        <f>+registry!L82</f>
        <v>11526882.3945818</v>
      </c>
      <c r="O5" s="50">
        <f>+registry!M82</f>
        <v>21344225.0110933</v>
      </c>
      <c r="P5" s="50">
        <f>+registry!N82</f>
        <v>25998034.488410067</v>
      </c>
    </row>
    <row r="6" spans="1:16">
      <c r="A6" s="43"/>
      <c r="B6" s="43"/>
      <c r="C6" s="46" t="s">
        <v>189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190</v>
      </c>
      <c r="B7" s="46" t="s">
        <v>191</v>
      </c>
      <c r="C7" s="46" t="s">
        <v>192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52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193</v>
      </c>
      <c r="B9" s="46" t="s">
        <v>113</v>
      </c>
      <c r="C9" s="46" t="s">
        <v>192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193</v>
      </c>
      <c r="B10" s="46" t="s">
        <v>115</v>
      </c>
      <c r="C10" s="46" t="s">
        <v>194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193</v>
      </c>
      <c r="B11" s="46" t="s">
        <v>114</v>
      </c>
      <c r="C11" s="46" t="s">
        <v>195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196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53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197</v>
      </c>
      <c r="B14" s="46" t="s">
        <v>113</v>
      </c>
      <c r="C14" s="46" t="s">
        <v>192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28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198</v>
      </c>
      <c r="B16" s="46" t="s">
        <v>113</v>
      </c>
      <c r="C16" s="46" t="s">
        <v>199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200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200</v>
      </c>
      <c r="B18" s="46" t="s">
        <v>113</v>
      </c>
      <c r="C18" s="46" t="s">
        <v>200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201</v>
      </c>
      <c r="B20" s="46" t="s">
        <v>138</v>
      </c>
      <c r="C20" s="46" t="s">
        <v>30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201</v>
      </c>
      <c r="B22" s="46" t="s">
        <v>139</v>
      </c>
      <c r="C22" s="46" t="s">
        <v>33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202</v>
      </c>
      <c r="B24" s="46" t="s">
        <v>122</v>
      </c>
      <c r="C24" s="46" t="s">
        <v>122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203</v>
      </c>
      <c r="D25" s="68">
        <v>3570254</v>
      </c>
      <c r="E25" s="136">
        <f t="shared" ref="E25:P25" si="8">SUM(E26:E26)</f>
        <v>2711111.3593421052</v>
      </c>
      <c r="F25" s="136">
        <f t="shared" si="8"/>
        <v>4443815.7186842104</v>
      </c>
      <c r="G25" s="136">
        <f t="shared" si="8"/>
        <v>3209312.1306578945</v>
      </c>
      <c r="H25" s="136">
        <f t="shared" si="8"/>
        <v>2498709.9636842106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201</v>
      </c>
      <c r="B26" s="46" t="s">
        <v>137</v>
      </c>
      <c r="C26" s="46" t="s">
        <v>204</v>
      </c>
      <c r="D26" s="68">
        <v>3570254</v>
      </c>
      <c r="E26" s="50">
        <f>+registry!C77</f>
        <v>2711111.3593421052</v>
      </c>
      <c r="F26" s="50">
        <f>+registry!D77</f>
        <v>4443815.7186842104</v>
      </c>
      <c r="G26" s="50">
        <f>+registry!E77</f>
        <v>3209312.1306578945</v>
      </c>
      <c r="H26" s="50">
        <f>+registry!F77</f>
        <v>2498709.9636842106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205</v>
      </c>
      <c r="D27" s="68">
        <v>145972328.25160721</v>
      </c>
      <c r="E27" s="136">
        <f t="shared" ref="E27:P27" si="9">SUM(E5,E6,E8,E13,E15,E17,E19,E21,E23,E25)</f>
        <v>164940229.46205112</v>
      </c>
      <c r="F27" s="136">
        <f t="shared" si="9"/>
        <v>170727146.25405335</v>
      </c>
      <c r="G27" s="136">
        <f t="shared" si="9"/>
        <v>173549392.11241519</v>
      </c>
      <c r="H27" s="136">
        <f t="shared" si="9"/>
        <v>167158387.67016545</v>
      </c>
      <c r="I27" s="136">
        <f t="shared" si="9"/>
        <v>172587264.9302558</v>
      </c>
      <c r="J27" s="136">
        <f t="shared" si="9"/>
        <v>185754793.39219326</v>
      </c>
      <c r="K27" s="136">
        <f t="shared" si="9"/>
        <v>194894968.17621794</v>
      </c>
      <c r="L27" s="136">
        <f t="shared" si="9"/>
        <v>215138899.70973501</v>
      </c>
      <c r="M27" s="136">
        <f t="shared" si="9"/>
        <v>242863683.91851982</v>
      </c>
      <c r="N27" s="136">
        <f t="shared" si="9"/>
        <v>294008760.12198931</v>
      </c>
      <c r="O27" s="136">
        <f t="shared" si="9"/>
        <v>354228545.14776736</v>
      </c>
      <c r="P27" s="136">
        <f t="shared" si="9"/>
        <v>414024983.59200633</v>
      </c>
    </row>
    <row r="28" spans="1:16">
      <c r="A28" s="43"/>
      <c r="B28" s="43"/>
      <c r="C28" s="83" t="s">
        <v>206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207</v>
      </c>
      <c r="B29" s="46" t="s">
        <v>132</v>
      </c>
      <c r="C29" s="46" t="s">
        <v>208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201</v>
      </c>
      <c r="B30" s="46" t="s">
        <v>144</v>
      </c>
      <c r="C30" s="46" t="s">
        <v>209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210</v>
      </c>
      <c r="B31" s="46" t="s">
        <v>130</v>
      </c>
      <c r="C31" s="46" t="s">
        <v>211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212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112</v>
      </c>
      <c r="D33" s="68">
        <v>119773010.1849418</v>
      </c>
      <c r="E33" s="50">
        <f t="shared" ref="E33:P33" si="11">+E27-E32</f>
        <v>132549931.36738586</v>
      </c>
      <c r="F33" s="50">
        <f t="shared" si="11"/>
        <v>135556577.85874093</v>
      </c>
      <c r="G33" s="50">
        <f t="shared" si="11"/>
        <v>159330590.70367149</v>
      </c>
      <c r="H33" s="50">
        <f t="shared" si="11"/>
        <v>151592921.46411583</v>
      </c>
      <c r="I33" s="50">
        <f t="shared" si="11"/>
        <v>156685791.67374054</v>
      </c>
      <c r="J33" s="50">
        <f t="shared" si="11"/>
        <v>164939769.12381989</v>
      </c>
      <c r="K33" s="50">
        <f t="shared" si="11"/>
        <v>174116284.56026226</v>
      </c>
      <c r="L33" s="50">
        <f t="shared" si="11"/>
        <v>190451912.18100309</v>
      </c>
      <c r="M33" s="50">
        <f t="shared" si="11"/>
        <v>224066238.70818901</v>
      </c>
      <c r="N33" s="50">
        <f t="shared" si="11"/>
        <v>272840198.13010889</v>
      </c>
      <c r="O33" s="50">
        <f t="shared" si="11"/>
        <v>329884698.8571049</v>
      </c>
      <c r="P33" s="50">
        <f t="shared" si="11"/>
        <v>386029560.35774446</v>
      </c>
    </row>
    <row r="34" spans="1:16">
      <c r="A34" s="43"/>
      <c r="B34" s="43"/>
      <c r="C34" s="83" t="s">
        <v>213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214</v>
      </c>
      <c r="B35" s="46" t="s">
        <v>142</v>
      </c>
      <c r="C35" s="83" t="s">
        <v>215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3265706.7462850194</v>
      </c>
      <c r="H35" s="50">
        <f>+registry!F86</f>
        <v>557522.5124405399</v>
      </c>
      <c r="I35" s="50">
        <f>+registry!G86</f>
        <v>2340027.0858091875</v>
      </c>
      <c r="J35" s="50">
        <f>+registry!H86</f>
        <v>5228919.1933369599</v>
      </c>
      <c r="K35" s="50">
        <f>+registry!I86</f>
        <v>8440699.596091792</v>
      </c>
      <c r="L35" s="50">
        <f>+registry!J86</f>
        <v>14158169.263351083</v>
      </c>
      <c r="M35" s="50">
        <f>+registry!K86</f>
        <v>25923183.547866151</v>
      </c>
      <c r="N35" s="50">
        <f>+registry!L86</f>
        <v>42994069.34553811</v>
      </c>
      <c r="O35" s="50">
        <f>+registry!M86</f>
        <v>62959644.59998671</v>
      </c>
      <c r="P35" s="50">
        <f>+registry!N86</f>
        <v>82610346.125210553</v>
      </c>
    </row>
    <row r="36" spans="1:16">
      <c r="A36" s="46" t="s">
        <v>216</v>
      </c>
      <c r="B36" s="46" t="s">
        <v>130</v>
      </c>
      <c r="C36" s="83" t="s">
        <v>194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217</v>
      </c>
      <c r="B37" s="46" t="s">
        <v>145</v>
      </c>
      <c r="C37" s="83" t="s">
        <v>218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165</v>
      </c>
      <c r="D38" s="68">
        <v>74692800.798804909</v>
      </c>
      <c r="E38" s="50">
        <f t="shared" ref="E38:P38" si="12">+E33-E35-E36-E37</f>
        <v>76609044.976237357</v>
      </c>
      <c r="F38" s="50">
        <f t="shared" si="12"/>
        <v>84667873.739769444</v>
      </c>
      <c r="G38" s="50">
        <f t="shared" si="12"/>
        <v>104158405.75603554</v>
      </c>
      <c r="H38" s="50">
        <f t="shared" si="12"/>
        <v>96890530.024335742</v>
      </c>
      <c r="I38" s="50">
        <f t="shared" si="12"/>
        <v>97603566.958007991</v>
      </c>
      <c r="J38" s="50">
        <f t="shared" si="12"/>
        <v>100814474.02119471</v>
      </c>
      <c r="K38" s="50">
        <f t="shared" si="12"/>
        <v>105601281.53669648</v>
      </c>
      <c r="L38" s="50">
        <f t="shared" si="12"/>
        <v>112017953.42162855</v>
      </c>
      <c r="M38" s="50">
        <f t="shared" si="12"/>
        <v>128725202.50461748</v>
      </c>
      <c r="N38" s="50">
        <f t="shared" si="12"/>
        <v>154874847.91640902</v>
      </c>
      <c r="O38" s="50">
        <f t="shared" si="12"/>
        <v>185956070.91950348</v>
      </c>
      <c r="P38" s="50">
        <f t="shared" si="12"/>
        <v>215972712.22790998</v>
      </c>
    </row>
    <row r="39" spans="1:16">
      <c r="A39" s="43"/>
      <c r="B39" s="43"/>
      <c r="C39" s="46" t="s">
        <v>219</v>
      </c>
      <c r="D39" s="68">
        <v>119773010.1849418</v>
      </c>
      <c r="E39" s="136">
        <f t="shared" ref="E39:P39" si="13">SUM(E35:E38)</f>
        <v>132549931.36738586</v>
      </c>
      <c r="F39" s="136">
        <f t="shared" si="13"/>
        <v>135556577.85874093</v>
      </c>
      <c r="G39" s="136">
        <f t="shared" si="13"/>
        <v>159330590.70367149</v>
      </c>
      <c r="H39" s="136">
        <f t="shared" si="13"/>
        <v>151592921.46411586</v>
      </c>
      <c r="I39" s="136">
        <f t="shared" si="13"/>
        <v>156685791.67374051</v>
      </c>
      <c r="J39" s="136">
        <f t="shared" si="13"/>
        <v>164939769.12381989</v>
      </c>
      <c r="K39" s="136">
        <f t="shared" si="13"/>
        <v>174116284.56026226</v>
      </c>
      <c r="L39" s="136">
        <f t="shared" si="13"/>
        <v>190451912.18100309</v>
      </c>
      <c r="M39" s="136">
        <f t="shared" si="13"/>
        <v>224066238.70818901</v>
      </c>
      <c r="N39" s="136">
        <f t="shared" si="13"/>
        <v>272840198.13010889</v>
      </c>
      <c r="O39" s="136">
        <f t="shared" si="13"/>
        <v>329884698.8571049</v>
      </c>
      <c r="P39" s="136">
        <f t="shared" si="13"/>
        <v>386029560.35774446</v>
      </c>
    </row>
    <row r="40" spans="1:16">
      <c r="A40" s="46" t="s">
        <v>193</v>
      </c>
      <c r="B40" s="46" t="s">
        <v>116</v>
      </c>
      <c r="C40" s="46" t="s">
        <v>220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193</v>
      </c>
      <c r="B41" s="46" t="s">
        <v>117</v>
      </c>
      <c r="C41" s="46" t="s">
        <v>221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202</v>
      </c>
      <c r="B42" s="46" t="s">
        <v>123</v>
      </c>
      <c r="C42" s="46" t="s">
        <v>222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202</v>
      </c>
      <c r="B43" s="46" t="s">
        <v>124</v>
      </c>
      <c r="C43" s="46" t="s">
        <v>223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224</v>
      </c>
      <c r="D44" s="68">
        <v>129773010.1849418</v>
      </c>
      <c r="E44" s="136">
        <f t="shared" ref="E44:P44" si="14">SUM(E39:E43)</f>
        <v>142549931.36738586</v>
      </c>
      <c r="F44" s="136">
        <f t="shared" si="14"/>
        <v>145556577.85874093</v>
      </c>
      <c r="G44" s="136">
        <f t="shared" si="14"/>
        <v>169330590.70367149</v>
      </c>
      <c r="H44" s="136">
        <f t="shared" si="14"/>
        <v>149642618.35181865</v>
      </c>
      <c r="I44" s="136">
        <f t="shared" si="14"/>
        <v>156612811.68786347</v>
      </c>
      <c r="J44" s="136">
        <f t="shared" si="14"/>
        <v>168341996.87673679</v>
      </c>
      <c r="K44" s="136">
        <f t="shared" si="14"/>
        <v>184311183.54391986</v>
      </c>
      <c r="L44" s="136">
        <f t="shared" si="14"/>
        <v>204678738.27822533</v>
      </c>
      <c r="M44" s="136">
        <f t="shared" si="14"/>
        <v>251453551.8685813</v>
      </c>
      <c r="N44" s="136">
        <f t="shared" si="14"/>
        <v>344947419.62713683</v>
      </c>
      <c r="O44" s="136">
        <f t="shared" si="14"/>
        <v>439250276.35294825</v>
      </c>
      <c r="P44" s="136">
        <f t="shared" si="14"/>
        <v>568902104.35624909</v>
      </c>
    </row>
    <row r="45" spans="1:16">
      <c r="A45" s="43"/>
      <c r="B45" s="43"/>
      <c r="C45" s="46" t="s">
        <v>225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3500000</v>
      </c>
      <c r="H45" s="50">
        <f>+registry!F87</f>
        <v>-557522.5124405399</v>
      </c>
      <c r="I45" s="50">
        <f>+registry!G87</f>
        <v>-25542.995056973305</v>
      </c>
      <c r="J45" s="50">
        <f>+registry!H87</f>
        <v>1190779.7135209162</v>
      </c>
      <c r="K45" s="50">
        <f>+registry!I87</f>
        <v>3568214.644280158</v>
      </c>
      <c r="L45" s="50">
        <f>+registry!J87</f>
        <v>4979389.1340277828</v>
      </c>
      <c r="M45" s="50">
        <f>+registry!K87</f>
        <v>9585559.606137298</v>
      </c>
      <c r="N45" s="50">
        <f>+registry!L87</f>
        <v>25237527.523959771</v>
      </c>
      <c r="O45" s="50">
        <f>+registry!M87</f>
        <v>38277952.123545177</v>
      </c>
      <c r="P45" s="50">
        <f>+registry!N87</f>
        <v>64005390.399476618</v>
      </c>
    </row>
    <row r="46" spans="1:16">
      <c r="A46" s="43"/>
      <c r="B46" s="43"/>
      <c r="C46" s="46" t="s">
        <v>226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227</v>
      </c>
      <c r="D47" s="68">
        <v>43497765.475407854</v>
      </c>
      <c r="E47" s="50">
        <f>+lgh_pref_equity!C184</f>
        <v>49156584.9743459</v>
      </c>
      <c r="F47" s="50">
        <f>+lgh_pref_equity!D184</f>
        <v>13254421.851085743</v>
      </c>
      <c r="G47" s="50">
        <f>+lgh_pref_equity!E184</f>
        <v>15529298.399745852</v>
      </c>
      <c r="H47" s="50">
        <f>+lgh_pref_equity!F184</f>
        <v>14775139.552980056</v>
      </c>
      <c r="I47" s="50">
        <f>+lgh_pref_equity!G184</f>
        <v>15686738.046853291</v>
      </c>
      <c r="J47" s="50">
        <f>+lgh_pref_equity!H184</f>
        <v>16513092.374970261</v>
      </c>
      <c r="K47" s="50">
        <f>+lgh_pref_equity!I184</f>
        <v>17431807.417966098</v>
      </c>
      <c r="L47" s="50">
        <f>+lgh_pref_equity!J184</f>
        <v>19067263.374630526</v>
      </c>
      <c r="M47" s="50">
        <f>+lgh_pref_equity!K184</f>
        <v>22432591.712450262</v>
      </c>
      <c r="N47" s="50">
        <f>+lgh_pref_equity!L184</f>
        <v>27315640.244078763</v>
      </c>
      <c r="O47" s="50">
        <f>+lgh_pref_equity!M184</f>
        <v>33026701.408968583</v>
      </c>
      <c r="P47" s="50">
        <f>+lgh_pref_equity!N184</f>
        <v>38647694.388799824</v>
      </c>
    </row>
    <row r="48" spans="1:16">
      <c r="A48" s="43"/>
      <c r="B48" s="43"/>
      <c r="C48" s="46" t="s">
        <v>218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228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229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6765706.7462850194</v>
      </c>
      <c r="H50" s="55">
        <f t="shared" si="17"/>
        <v>0</v>
      </c>
      <c r="I50" s="55">
        <f t="shared" si="17"/>
        <v>2314484.0907522142</v>
      </c>
      <c r="J50" s="55">
        <f t="shared" si="17"/>
        <v>6419698.9068578761</v>
      </c>
      <c r="K50" s="55">
        <f t="shared" si="17"/>
        <v>12008914.24037195</v>
      </c>
      <c r="L50" s="55">
        <f t="shared" si="17"/>
        <v>19137558.397378866</v>
      </c>
      <c r="M50" s="55">
        <f t="shared" si="17"/>
        <v>35508743.154003449</v>
      </c>
      <c r="N50" s="55">
        <f t="shared" si="17"/>
        <v>68231596.86949788</v>
      </c>
      <c r="O50" s="55">
        <f t="shared" si="17"/>
        <v>101237596.72353189</v>
      </c>
      <c r="P50" s="55">
        <f t="shared" si="17"/>
        <v>146615736.52468717</v>
      </c>
    </row>
    <row r="51" spans="1:16">
      <c r="A51" s="43"/>
      <c r="B51" s="43"/>
      <c r="C51" s="46" t="s">
        <v>230</v>
      </c>
      <c r="D51" s="68">
        <v>102509946.9743284</v>
      </c>
      <c r="E51" s="50">
        <f t="shared" ref="E51:P51" si="18">E38+SUM(E40:E43)+E46-E45</f>
        <v>96032389.778555498</v>
      </c>
      <c r="F51" s="50">
        <f t="shared" si="18"/>
        <v>103903725.94747163</v>
      </c>
      <c r="G51" s="50">
        <f t="shared" si="18"/>
        <v>119687731.5604741</v>
      </c>
      <c r="H51" s="50">
        <f t="shared" si="18"/>
        <v>104504578.16704905</v>
      </c>
      <c r="I51" s="50">
        <f t="shared" si="18"/>
        <v>106568922.53474674</v>
      </c>
      <c r="J51" s="50">
        <f t="shared" si="18"/>
        <v>111929644.35210612</v>
      </c>
      <c r="K51" s="50">
        <f t="shared" si="18"/>
        <v>120840183.76708663</v>
      </c>
      <c r="L51" s="50">
        <f t="shared" si="18"/>
        <v>129972883.91897535</v>
      </c>
      <c r="M51" s="50">
        <f t="shared" si="18"/>
        <v>153708317.23728213</v>
      </c>
      <c r="N51" s="50">
        <f t="shared" si="18"/>
        <v>207004006.7462998</v>
      </c>
      <c r="O51" s="50">
        <f t="shared" si="18"/>
        <v>259935445.69671649</v>
      </c>
      <c r="P51" s="50">
        <f t="shared" si="18"/>
        <v>334839865.82693803</v>
      </c>
    </row>
    <row r="52" spans="1:16">
      <c r="A52" s="43"/>
      <c r="B52" s="43"/>
      <c r="C52" s="46" t="s">
        <v>231</v>
      </c>
      <c r="D52" s="68">
        <v>129773010.1849418</v>
      </c>
      <c r="E52" s="136">
        <f t="shared" ref="E52:P52" si="19">SUM(E48:E51)</f>
        <v>142549931.36738586</v>
      </c>
      <c r="F52" s="136">
        <f t="shared" si="19"/>
        <v>145556577.85874093</v>
      </c>
      <c r="G52" s="136">
        <f t="shared" si="19"/>
        <v>169330590.70367146</v>
      </c>
      <c r="H52" s="136">
        <f t="shared" si="19"/>
        <v>149642618.35181865</v>
      </c>
      <c r="I52" s="136">
        <f t="shared" si="19"/>
        <v>156612811.6878635</v>
      </c>
      <c r="J52" s="136">
        <f t="shared" si="19"/>
        <v>168341996.87673679</v>
      </c>
      <c r="K52" s="136">
        <f t="shared" si="19"/>
        <v>184311183.54391986</v>
      </c>
      <c r="L52" s="136">
        <f t="shared" si="19"/>
        <v>204678738.27822536</v>
      </c>
      <c r="M52" s="136">
        <f t="shared" si="19"/>
        <v>251453551.86858127</v>
      </c>
      <c r="N52" s="136">
        <f t="shared" si="19"/>
        <v>344947419.62713689</v>
      </c>
      <c r="O52" s="136">
        <f t="shared" si="19"/>
        <v>439250276.35294831</v>
      </c>
      <c r="P52" s="136">
        <f t="shared" si="19"/>
        <v>568902104.35624909</v>
      </c>
    </row>
    <row r="53" spans="1:16">
      <c r="A53" s="43"/>
      <c r="B53" s="43"/>
      <c r="C53" s="46" t="s">
        <v>232</v>
      </c>
      <c r="D53" s="68">
        <v>129773010.1849418</v>
      </c>
      <c r="E53" s="50"/>
      <c r="F53" s="50"/>
      <c r="G53" s="50"/>
      <c r="H53" s="50">
        <f t="shared" ref="H53:P53" si="20">+H52-H50</f>
        <v>149642618.35181865</v>
      </c>
      <c r="I53" s="50">
        <f t="shared" si="20"/>
        <v>154298327.59711128</v>
      </c>
      <c r="J53" s="50">
        <f t="shared" si="20"/>
        <v>161922297.96987891</v>
      </c>
      <c r="K53" s="50">
        <f t="shared" si="20"/>
        <v>172302269.30354792</v>
      </c>
      <c r="L53" s="50">
        <f t="shared" si="20"/>
        <v>185541179.8808465</v>
      </c>
      <c r="M53" s="50">
        <f t="shared" si="20"/>
        <v>215944808.71457782</v>
      </c>
      <c r="N53" s="50">
        <f t="shared" si="20"/>
        <v>276715822.75763899</v>
      </c>
      <c r="O53" s="50">
        <f t="shared" si="20"/>
        <v>338012679.62941641</v>
      </c>
      <c r="P53" s="50">
        <f t="shared" si="20"/>
        <v>422286367.83156192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0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</v>
      </c>
      <c r="B3" s="114" t="s">
        <v>2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233</v>
      </c>
      <c r="B4" s="68">
        <v>119773010.1849418</v>
      </c>
      <c r="C4" s="50">
        <f>+lgh_bs!E33</f>
        <v>132549931.36738586</v>
      </c>
      <c r="D4" s="50">
        <f>+lgh_bs!F33</f>
        <v>135556577.85874093</v>
      </c>
      <c r="E4" s="50">
        <f>+lgh_bs!G33</f>
        <v>159330590.70367149</v>
      </c>
      <c r="F4" s="50">
        <f>+lgh_bs!H33</f>
        <v>151592921.46411583</v>
      </c>
      <c r="G4" s="50">
        <f>+lgh_bs!I33</f>
        <v>156685791.67374054</v>
      </c>
      <c r="H4" s="50">
        <f>+lgh_bs!J33</f>
        <v>164939769.12381989</v>
      </c>
      <c r="I4" s="50">
        <f>+lgh_bs!K33</f>
        <v>174116284.56026226</v>
      </c>
      <c r="J4" s="50">
        <f>+lgh_bs!L33</f>
        <v>190451912.18100309</v>
      </c>
      <c r="K4" s="50">
        <f>+lgh_bs!M33</f>
        <v>224066238.70818901</v>
      </c>
      <c r="L4" s="50">
        <f>+lgh_bs!N33</f>
        <v>272840198.13010889</v>
      </c>
      <c r="M4" s="50">
        <f>+lgh_bs!O33</f>
        <v>329884698.8571049</v>
      </c>
      <c r="N4" s="50">
        <f>+lgh_bs!P33</f>
        <v>386029560.35774446</v>
      </c>
    </row>
    <row r="5" spans="1:14" s="4" customFormat="1">
      <c r="A5" s="46" t="s">
        <v>234</v>
      </c>
      <c r="B5" s="68">
        <v>129773010.1849418</v>
      </c>
      <c r="C5" s="50">
        <f>lgh_bs!E44</f>
        <v>142549931.36738586</v>
      </c>
      <c r="D5" s="50">
        <f>lgh_bs!F44</f>
        <v>145556577.85874093</v>
      </c>
      <c r="E5" s="50">
        <f>lgh_bs!G44</f>
        <v>169330590.70367149</v>
      </c>
      <c r="F5" s="50">
        <f>lgh_bs!H44</f>
        <v>149642618.35181865</v>
      </c>
      <c r="G5" s="50">
        <f>lgh_bs!I44</f>
        <v>156612811.68786347</v>
      </c>
      <c r="H5" s="50">
        <f>lgh_bs!J44</f>
        <v>168341996.87673679</v>
      </c>
      <c r="I5" s="50">
        <f>lgh_bs!K44</f>
        <v>184311183.54391986</v>
      </c>
      <c r="J5" s="50">
        <f>lgh_bs!L44</f>
        <v>204678738.27822533</v>
      </c>
      <c r="K5" s="50">
        <f>lgh_bs!M44</f>
        <v>251453551.8685813</v>
      </c>
      <c r="L5" s="50">
        <f>lgh_bs!N44</f>
        <v>344947419.62713683</v>
      </c>
      <c r="M5" s="50">
        <f>lgh_bs!O44</f>
        <v>439250276.35294825</v>
      </c>
      <c r="N5" s="50">
        <f>lgh_bs!P44</f>
        <v>568902104.35624909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235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3265706.7462850194</v>
      </c>
      <c r="F10" s="50">
        <f t="shared" si="1"/>
        <v>557522.5124405399</v>
      </c>
      <c r="G10" s="50">
        <f t="shared" si="1"/>
        <v>2340027.0858091875</v>
      </c>
      <c r="H10" s="50">
        <f t="shared" si="1"/>
        <v>5228919.1933369599</v>
      </c>
      <c r="I10" s="50">
        <f t="shared" si="1"/>
        <v>8440699.596091792</v>
      </c>
      <c r="J10" s="50">
        <f t="shared" si="1"/>
        <v>14158169.263351083</v>
      </c>
      <c r="K10" s="50">
        <f t="shared" si="1"/>
        <v>25923183.547866151</v>
      </c>
      <c r="L10" s="50">
        <f t="shared" si="1"/>
        <v>42994069.34553811</v>
      </c>
      <c r="M10" s="50">
        <f t="shared" si="1"/>
        <v>62959644.59998671</v>
      </c>
      <c r="N10" s="50">
        <f t="shared" si="1"/>
        <v>82610346.125210553</v>
      </c>
    </row>
    <row r="11" spans="1:14">
      <c r="A11" s="46" t="s">
        <v>142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3265706.7462850194</v>
      </c>
      <c r="F11" s="141">
        <f t="shared" si="2"/>
        <v>557522.5124405399</v>
      </c>
      <c r="G11" s="141">
        <f t="shared" si="2"/>
        <v>2340027.0858091875</v>
      </c>
      <c r="H11" s="141">
        <f t="shared" si="2"/>
        <v>5228919.1933369599</v>
      </c>
      <c r="I11" s="141">
        <f t="shared" si="2"/>
        <v>8440699.596091792</v>
      </c>
      <c r="J11" s="141">
        <f t="shared" si="2"/>
        <v>14158169.263351083</v>
      </c>
      <c r="K11" s="141">
        <f t="shared" si="2"/>
        <v>25923183.547866151</v>
      </c>
      <c r="L11" s="141">
        <f t="shared" si="2"/>
        <v>42994069.34553811</v>
      </c>
      <c r="M11" s="141">
        <f t="shared" si="2"/>
        <v>62959644.59998671</v>
      </c>
      <c r="N11" s="141">
        <f t="shared" si="2"/>
        <v>82610346.125210553</v>
      </c>
    </row>
    <row r="12" spans="1:14">
      <c r="A12" s="46" t="s">
        <v>236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3500000</v>
      </c>
      <c r="F15" s="141">
        <f t="shared" si="4"/>
        <v>-557522.5124405399</v>
      </c>
      <c r="G15" s="141">
        <f t="shared" si="4"/>
        <v>-25542.995056973305</v>
      </c>
      <c r="H15" s="141">
        <f t="shared" si="4"/>
        <v>1190779.7135209162</v>
      </c>
      <c r="I15" s="141">
        <f t="shared" si="4"/>
        <v>3568214.644280158</v>
      </c>
      <c r="J15" s="141">
        <f t="shared" si="4"/>
        <v>4979389.1340277828</v>
      </c>
      <c r="K15" s="141">
        <f t="shared" si="4"/>
        <v>9585559.606137298</v>
      </c>
      <c r="L15" s="141">
        <f t="shared" si="4"/>
        <v>25237527.523959771</v>
      </c>
      <c r="M15" s="141">
        <f t="shared" si="4"/>
        <v>38277952.123545177</v>
      </c>
      <c r="N15" s="141">
        <f t="shared" si="4"/>
        <v>64005390.399476618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</v>
      </c>
      <c r="B3" s="150" t="s">
        <v>2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237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238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239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22" customFormat="1">
      <c r="A8" s="44" t="s">
        <v>240</v>
      </c>
      <c r="B8" s="420">
        <v>0</v>
      </c>
      <c r="C8" s="420">
        <v>50000</v>
      </c>
      <c r="D8" s="420">
        <v>50000</v>
      </c>
      <c r="E8" s="420">
        <v>50000</v>
      </c>
      <c r="F8" s="420">
        <v>50000</v>
      </c>
      <c r="G8" s="420">
        <v>50000</v>
      </c>
      <c r="H8" s="420">
        <v>50000</v>
      </c>
      <c r="I8" s="420">
        <v>50000</v>
      </c>
      <c r="J8" s="420">
        <v>50000</v>
      </c>
      <c r="K8" s="420">
        <v>250000</v>
      </c>
      <c r="L8" s="420">
        <v>250000</v>
      </c>
      <c r="M8" s="420">
        <v>250000</v>
      </c>
      <c r="N8" s="420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241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242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243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244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146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-4047806</v>
      </c>
      <c r="H16" s="154">
        <f>+registry!H95</f>
        <v>-4448476</v>
      </c>
      <c r="I16" s="154">
        <f>+registry!I95</f>
        <v>-2825676</v>
      </c>
      <c r="J16" s="154">
        <f>+registry!J95</f>
        <v>-4921862.25</v>
      </c>
      <c r="K16" s="154">
        <f>+registry!K95</f>
        <v>-11990350.510000002</v>
      </c>
      <c r="L16" s="154">
        <f>+registry!L95</f>
        <v>-11692833.475299999</v>
      </c>
      <c r="M16" s="154">
        <f>+registry!M95</f>
        <v>-12043618.479559001</v>
      </c>
      <c r="N16" s="154">
        <f>+registry!N95</f>
        <v>-12404927.033945773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245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-4934137.4766666666</v>
      </c>
      <c r="H18" s="154">
        <f t="shared" si="2"/>
        <v>-5878769.479166667</v>
      </c>
      <c r="I18" s="154">
        <f t="shared" si="2"/>
        <v>-4183836.8739035088</v>
      </c>
      <c r="J18" s="154">
        <f t="shared" si="2"/>
        <v>-7820359.6021929821</v>
      </c>
      <c r="K18" s="154">
        <f t="shared" si="2"/>
        <v>-16906472.241666667</v>
      </c>
      <c r="L18" s="154">
        <f t="shared" si="2"/>
        <v>-15968840.525443332</v>
      </c>
      <c r="M18" s="154">
        <f t="shared" si="2"/>
        <v>-16297550.901706634</v>
      </c>
      <c r="N18" s="154">
        <f t="shared" si="2"/>
        <v>-16382855.597523328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246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-2683867.8233333332</v>
      </c>
      <c r="H20" s="154">
        <f t="shared" si="3"/>
        <v>-2298017.6458333344</v>
      </c>
      <c r="I20" s="154">
        <f t="shared" si="3"/>
        <v>-712108.14583333395</v>
      </c>
      <c r="J20" s="154">
        <f t="shared" si="3"/>
        <v>1804276.4416666673</v>
      </c>
      <c r="K20" s="154">
        <f t="shared" si="3"/>
        <v>2225446.9916666634</v>
      </c>
      <c r="L20" s="154">
        <f t="shared" si="3"/>
        <v>-965820.38217666559</v>
      </c>
      <c r="M20" s="154">
        <f t="shared" si="3"/>
        <v>2142398.8758580331</v>
      </c>
      <c r="N20" s="154">
        <f t="shared" si="3"/>
        <v>-2231488.2730160318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247</v>
      </c>
      <c r="B21" s="155"/>
      <c r="C21" s="155"/>
      <c r="D21" s="156"/>
      <c r="E21" s="156"/>
      <c r="F21" s="171">
        <f>-SUM(C20:F20)/lgh_bs!H44</f>
        <v>2.5153896940979682E-2</v>
      </c>
      <c r="G21" s="156"/>
      <c r="H21" s="156"/>
      <c r="I21" s="156"/>
      <c r="J21" s="171">
        <f>-SUM(G20:J20)/lgh_bs!L44</f>
        <v>1.9004011877608591E-2</v>
      </c>
      <c r="K21" s="156">
        <f>-K20/lgh_bs!M44</f>
        <v>-8.8503303100278437E-3</v>
      </c>
      <c r="L21" s="156">
        <f>-L20/lgh_bs!N44</f>
        <v>2.7999060935740509E-3</v>
      </c>
      <c r="M21" s="156">
        <f>-M20/lgh_bs!O44</f>
        <v>-4.8773990392132699E-3</v>
      </c>
      <c r="N21" s="156">
        <f>-N20/lgh_bs!P44</f>
        <v>3.9224468602398832E-3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248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249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250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17" customFormat="1" ht="15.5" customHeight="1">
      <c r="A25" s="165" t="s">
        <v>251</v>
      </c>
      <c r="B25" s="420">
        <v>0</v>
      </c>
      <c r="C25" s="420">
        <v>-250000</v>
      </c>
      <c r="D25" s="420">
        <v>-250000</v>
      </c>
      <c r="E25" s="420">
        <v>-250000</v>
      </c>
      <c r="F25" s="420">
        <v>-250000</v>
      </c>
      <c r="G25" s="420">
        <v>-250000</v>
      </c>
      <c r="H25" s="420">
        <v>-250000</v>
      </c>
      <c r="I25" s="420">
        <v>-250000</v>
      </c>
      <c r="J25" s="420">
        <v>-250000</v>
      </c>
      <c r="K25" s="420">
        <v>-1000000</v>
      </c>
      <c r="L25" s="420">
        <v>-1000000</v>
      </c>
      <c r="M25" s="420">
        <v>-1000000</v>
      </c>
      <c r="N25" s="420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252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253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148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50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52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53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26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254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255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256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257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50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52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53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26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254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255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258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259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260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148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261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262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263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264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218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256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149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261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263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264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218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258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265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266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267</v>
      </c>
      <c r="B68" s="68">
        <v>-1540999</v>
      </c>
      <c r="C68" s="50">
        <f>+registry!C101</f>
        <v>-530378.98434210522</v>
      </c>
      <c r="D68" s="50">
        <f>+registry!D101</f>
        <v>835605.01565789478</v>
      </c>
      <c r="E68" s="50">
        <f>+registry!E101</f>
        <v>1194225.9630263159</v>
      </c>
      <c r="F68" s="50">
        <f>+registry!F101</f>
        <v>1094579.5419736844</v>
      </c>
      <c r="G68" s="50">
        <f>+registry!G101</f>
        <v>97800.463684210088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268</v>
      </c>
      <c r="B70" s="68">
        <v>25047198.734000001</v>
      </c>
      <c r="C70" s="50">
        <f t="shared" ref="C70:N70" si="11">+C20+C26+C46+C64+C68</f>
        <v>2387092.073653758</v>
      </c>
      <c r="D70" s="50">
        <f t="shared" si="11"/>
        <v>-3503806.3843421037</v>
      </c>
      <c r="E70" s="50">
        <f t="shared" si="11"/>
        <v>-1915026.5545012867</v>
      </c>
      <c r="F70" s="50">
        <f t="shared" si="11"/>
        <v>7224997.7444851603</v>
      </c>
      <c r="G70" s="50">
        <f t="shared" si="11"/>
        <v>3348932.6403508768</v>
      </c>
      <c r="H70" s="50">
        <f t="shared" si="11"/>
        <v>5239741.2541666655</v>
      </c>
      <c r="I70" s="50">
        <f t="shared" si="11"/>
        <v>-3629986.4822278298</v>
      </c>
      <c r="J70" s="50">
        <f t="shared" si="11"/>
        <v>-4294068.4656721279</v>
      </c>
      <c r="K70" s="50">
        <f t="shared" si="11"/>
        <v>2972918.9819052257</v>
      </c>
      <c r="L70" s="50">
        <f t="shared" si="11"/>
        <v>7161926.4446533378</v>
      </c>
      <c r="M70" s="50">
        <f t="shared" si="11"/>
        <v>9471536.144674046</v>
      </c>
      <c r="N70" s="50">
        <f t="shared" si="11"/>
        <v>4013482.7269839682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269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270</v>
      </c>
      <c r="B72" s="50"/>
      <c r="C72" s="50"/>
      <c r="D72" s="50"/>
      <c r="E72" s="50"/>
      <c r="F72" s="50"/>
      <c r="G72" s="137">
        <f>F73*lgh_inputs!$D$8/4</f>
        <v>3172.6790947164595</v>
      </c>
      <c r="H72" s="137">
        <f>G73*lgh_inputs!$D$8/4</f>
        <v>28313.468990558409</v>
      </c>
      <c r="I72" s="137">
        <f>H73*lgh_inputs!$D$8/4</f>
        <v>67823.879414237585</v>
      </c>
      <c r="J72" s="137">
        <f>I73*lgh_inputs!$D$8/4</f>
        <v>41107.659893135642</v>
      </c>
      <c r="K72" s="50">
        <f>J73*lgh_inputs!$D$8</f>
        <v>36841.815399172796</v>
      </c>
      <c r="L72" s="50">
        <f>K73*lgh_inputs!$D$8</f>
        <v>127134.63931830475</v>
      </c>
      <c r="M72" s="50">
        <f>L73*lgh_inputs!$D$8</f>
        <v>345806.47183745401</v>
      </c>
      <c r="N72" s="50">
        <f>M73*lgh_inputs!$D$8</f>
        <v>640326.75033279893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271</v>
      </c>
      <c r="B73" s="140">
        <v>251128</v>
      </c>
      <c r="C73" s="141">
        <f>+B73+C70</f>
        <v>2638220.073653758</v>
      </c>
      <c r="D73" s="141">
        <f>+C73+D70</f>
        <v>-865586.31068834569</v>
      </c>
      <c r="E73" s="141">
        <f>+D73+E70</f>
        <v>-2780612.8651896324</v>
      </c>
      <c r="F73" s="141">
        <f>+E73+F70-F74</f>
        <v>423023.87929552794</v>
      </c>
      <c r="G73" s="141">
        <f t="shared" ref="G73:N73" si="12">+F73+G70+G72</f>
        <v>3775129.1987411212</v>
      </c>
      <c r="H73" s="141">
        <f t="shared" si="12"/>
        <v>9043183.9218983445</v>
      </c>
      <c r="I73" s="141">
        <f t="shared" si="12"/>
        <v>5481021.3190847524</v>
      </c>
      <c r="J73" s="141">
        <f t="shared" si="12"/>
        <v>1228060.51330576</v>
      </c>
      <c r="K73" s="141">
        <f t="shared" si="12"/>
        <v>4237821.3106101584</v>
      </c>
      <c r="L73" s="141">
        <f t="shared" si="12"/>
        <v>11526882.3945818</v>
      </c>
      <c r="M73" s="141">
        <f t="shared" si="12"/>
        <v>21344225.0110933</v>
      </c>
      <c r="N73" s="141">
        <f t="shared" si="12"/>
        <v>25998034.488410067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272</v>
      </c>
      <c r="B74" s="176"/>
      <c r="C74" s="176"/>
      <c r="D74" s="176"/>
      <c r="E74" s="176"/>
      <c r="F74" s="177">
        <v>4021361</v>
      </c>
      <c r="G74" s="178" t="s">
        <v>273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274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275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276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145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277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278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279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142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137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280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281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282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283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284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285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286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287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288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289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290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137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148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291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149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136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292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293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294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295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296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297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298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299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297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300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301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302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303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288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304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305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306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307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308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309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310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311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312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306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7" width="9.26953125" style="11" customWidth="1"/>
    <col min="48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313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314</v>
      </c>
      <c r="B4" s="205" t="s">
        <v>315</v>
      </c>
      <c r="C4" s="205" t="s">
        <v>316</v>
      </c>
      <c r="D4" s="205" t="s">
        <v>317</v>
      </c>
      <c r="E4" s="205" t="s">
        <v>318</v>
      </c>
      <c r="F4" s="205" t="s">
        <v>319</v>
      </c>
      <c r="G4" s="208" t="s">
        <v>320</v>
      </c>
      <c r="H4" s="208" t="s">
        <v>321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322</v>
      </c>
    </row>
    <row r="5" spans="1:25">
      <c r="A5" s="205" t="s">
        <v>323</v>
      </c>
      <c r="B5" s="205" t="s">
        <v>324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325</v>
      </c>
      <c r="B6" s="205" t="s">
        <v>326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327</v>
      </c>
      <c r="B7" s="205" t="s">
        <v>326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328</v>
      </c>
      <c r="B8" s="205" t="s">
        <v>329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330</v>
      </c>
      <c r="B9" s="205" t="s">
        <v>329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331</v>
      </c>
      <c r="B10" s="205" t="s">
        <v>329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332</v>
      </c>
      <c r="B11" s="205" t="s">
        <v>333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334</v>
      </c>
      <c r="B12" s="205" t="s">
        <v>333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335</v>
      </c>
      <c r="B13" s="205" t="s">
        <v>333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336</v>
      </c>
      <c r="B14" s="205" t="s">
        <v>337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338</v>
      </c>
      <c r="B15" s="205" t="s">
        <v>337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339</v>
      </c>
      <c r="B16" s="205" t="s">
        <v>340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341</v>
      </c>
      <c r="B17" s="205" t="s">
        <v>340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342</v>
      </c>
      <c r="B18" s="205" t="s">
        <v>340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343</v>
      </c>
      <c r="B19" s="205" t="s">
        <v>344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345</v>
      </c>
      <c r="B20" s="205" t="s">
        <v>344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346</v>
      </c>
      <c r="B21" s="205" t="s">
        <v>347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348</v>
      </c>
      <c r="B22" s="205" t="s">
        <v>349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350</v>
      </c>
      <c r="B23" s="205" t="s">
        <v>349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351</v>
      </c>
      <c r="B24" s="205" t="s">
        <v>349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352</v>
      </c>
      <c r="B25" s="205" t="s">
        <v>349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353</v>
      </c>
      <c r="B26" s="205" t="s">
        <v>354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355</v>
      </c>
      <c r="B27" s="205" t="s">
        <v>356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357</v>
      </c>
      <c r="B28" s="205" t="s">
        <v>356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358</v>
      </c>
      <c r="B29" s="205" t="s">
        <v>359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360</v>
      </c>
      <c r="B30" s="205" t="s">
        <v>361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362</v>
      </c>
      <c r="B31" s="205" t="s">
        <v>363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364</v>
      </c>
      <c r="B32" s="205" t="s">
        <v>333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365</v>
      </c>
      <c r="B33" s="205" t="s">
        <v>333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366</v>
      </c>
      <c r="B34" s="205" t="s">
        <v>367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368</v>
      </c>
      <c r="B35" s="205" t="s">
        <v>369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370</v>
      </c>
      <c r="B36" s="205" t="s">
        <v>371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372</v>
      </c>
      <c r="B37" s="205" t="s">
        <v>324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373</v>
      </c>
      <c r="B38" s="205" t="s">
        <v>288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374</v>
      </c>
      <c r="B39" s="222" t="s">
        <v>375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376</v>
      </c>
      <c r="B40" s="222" t="s">
        <v>333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377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378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379</v>
      </c>
      <c r="B45" s="43"/>
      <c r="C45" s="43"/>
      <c r="D45" s="43"/>
      <c r="E45" s="43"/>
      <c r="F45" s="43"/>
      <c r="G45" s="43"/>
      <c r="H45" s="205" t="s">
        <v>380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381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137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382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383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384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385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386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387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388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389</v>
      </c>
      <c r="K57" s="208" t="s">
        <v>320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390</v>
      </c>
      <c r="B58" s="232"/>
      <c r="C58" s="232"/>
      <c r="D58" s="232"/>
      <c r="E58" s="232"/>
      <c r="F58" s="235" t="s">
        <v>391</v>
      </c>
      <c r="G58" s="213">
        <v>45657</v>
      </c>
      <c r="H58" s="232"/>
      <c r="I58" s="235" t="s">
        <v>392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184</v>
      </c>
      <c r="B60" s="208" t="s">
        <v>393</v>
      </c>
      <c r="C60" s="208" t="s">
        <v>393</v>
      </c>
      <c r="D60" s="208" t="s">
        <v>0</v>
      </c>
      <c r="E60" s="208" t="s">
        <v>394</v>
      </c>
      <c r="F60" s="208" t="s">
        <v>320</v>
      </c>
      <c r="G60" s="208" t="s">
        <v>395</v>
      </c>
      <c r="H60" s="208" t="s">
        <v>137</v>
      </c>
      <c r="I60" s="208" t="s">
        <v>396</v>
      </c>
      <c r="J60" s="208" t="s">
        <v>397</v>
      </c>
      <c r="K60" s="244" t="s">
        <v>398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399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3</v>
      </c>
      <c r="D101" s="96" t="s">
        <v>4</v>
      </c>
      <c r="E101" s="96" t="s">
        <v>5</v>
      </c>
      <c r="F101" s="96" t="s">
        <v>2</v>
      </c>
      <c r="G101" s="96" t="s">
        <v>3</v>
      </c>
      <c r="H101" s="96" t="s">
        <v>4</v>
      </c>
      <c r="I101" s="96" t="s">
        <v>5</v>
      </c>
      <c r="J101" s="96" t="s">
        <v>2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400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311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311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401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402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184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2</v>
      </c>
      <c r="C147" s="251" t="s">
        <v>3</v>
      </c>
      <c r="D147" s="251" t="s">
        <v>4</v>
      </c>
      <c r="E147" s="251" t="s">
        <v>5</v>
      </c>
      <c r="F147" s="251" t="s">
        <v>2</v>
      </c>
      <c r="G147" s="251" t="s">
        <v>3</v>
      </c>
      <c r="H147" s="251" t="s">
        <v>4</v>
      </c>
      <c r="I147" s="251" t="s">
        <v>5</v>
      </c>
      <c r="J147" s="251" t="s">
        <v>2</v>
      </c>
      <c r="K147" s="251" t="s">
        <v>2</v>
      </c>
      <c r="L147" s="250" t="s">
        <v>2</v>
      </c>
      <c r="M147" s="250" t="s">
        <v>2</v>
      </c>
      <c r="N147" s="250" t="s">
        <v>2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2296657.2266626265</v>
      </c>
      <c r="D148" s="253">
        <f>IFERROR((D102/SUM(D$102:D$136))*lgh_bs!F$33*D$142,0)</f>
        <v>616249.42153783166</v>
      </c>
      <c r="E148" s="253">
        <f>IFERROR((E102/SUM(E$102:E$136))*lgh_bs!G$33*E$142,0)</f>
        <v>2192972.3686503903</v>
      </c>
      <c r="F148" s="253">
        <f>IFERROR((F102/SUM(F$102:F$136))*lgh_bs!H$33*F$142,0)</f>
        <v>2086473.7059318151</v>
      </c>
      <c r="G148" s="253">
        <f>IFERROR((G102/SUM(G$102:G$136))*lgh_bs!I$33*G$142,0)</f>
        <v>2157428.5073799873</v>
      </c>
      <c r="H148" s="253">
        <f>IFERROR((H102/SUM(H$102:H$136))*lgh_bs!J$33*H$142,0)</f>
        <v>2271078.673485362</v>
      </c>
      <c r="I148" s="253">
        <f>IFERROR((I102/SUM(I$102:I$136))*lgh_bs!K$33*I$142,0)</f>
        <v>2397431.3937257337</v>
      </c>
      <c r="J148" s="253">
        <f>IFERROR((J102/SUM(J$102:J$136))*lgh_bs!L$33*J$142,0)</f>
        <v>2622358.9276039484</v>
      </c>
      <c r="K148" s="253">
        <f>IFERROR((K102/SUM(K$102:K$136))*lgh_bs!M$33*K$142,0)</f>
        <v>3085199.2753563235</v>
      </c>
      <c r="L148" s="253">
        <f>IFERROR((L102/SUM(L$102:L$136))*lgh_bs!N$33*L$142,0)</f>
        <v>3756774.7216721745</v>
      </c>
      <c r="M148" s="253">
        <f>IFERROR((M102/SUM(M$102:M$136))*lgh_bs!O$33*M$142,0)</f>
        <v>4542228.4041218329</v>
      </c>
      <c r="N148" s="253">
        <f>IFERROR((N102/SUM(N$102:N$136))*lgh_bs!P$33*N$142,0)</f>
        <v>5315294.8286550874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1377994.3359975761</v>
      </c>
      <c r="D149" s="253">
        <f>IFERROR((D103/SUM(D$102:D$136))*lgh_bs!F$33*D$142,0)</f>
        <v>369749.652922699</v>
      </c>
      <c r="E149" s="253">
        <f>IFERROR((E103/SUM(E$102:E$136))*lgh_bs!G$33*E$142,0)</f>
        <v>1315783.4211902344</v>
      </c>
      <c r="F149" s="253">
        <f>IFERROR((F103/SUM(F$102:F$136))*lgh_bs!H$33*F$142,0)</f>
        <v>1251884.2235590895</v>
      </c>
      <c r="G149" s="253">
        <f>IFERROR((G103/SUM(G$102:G$136))*lgh_bs!I$33*G$142,0)</f>
        <v>1294457.1044279926</v>
      </c>
      <c r="H149" s="253">
        <f>IFERROR((H103/SUM(H$102:H$136))*lgh_bs!J$33*H$142,0)</f>
        <v>1362647.2040912176</v>
      </c>
      <c r="I149" s="253">
        <f>IFERROR((I103/SUM(I$102:I$136))*lgh_bs!K$33*I$142,0)</f>
        <v>1438458.8362354406</v>
      </c>
      <c r="J149" s="253">
        <f>IFERROR((J103/SUM(J$102:J$136))*lgh_bs!L$33*J$142,0)</f>
        <v>1573415.3565623695</v>
      </c>
      <c r="K149" s="253">
        <f>IFERROR((K103/SUM(K$102:K$136))*lgh_bs!M$33*K$142,0)</f>
        <v>1851119.5652137944</v>
      </c>
      <c r="L149" s="253">
        <f>IFERROR((L103/SUM(L$102:L$136))*lgh_bs!N$33*L$142,0)</f>
        <v>2254064.8330033049</v>
      </c>
      <c r="M149" s="253">
        <f>IFERROR((M103/SUM(M$102:M$136))*lgh_bs!O$33*M$142,0)</f>
        <v>2725337.0424731001</v>
      </c>
      <c r="N149" s="253">
        <f>IFERROR((N103/SUM(N$102:N$136))*lgh_bs!P$33*N$142,0)</f>
        <v>3189176.8971930523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918662.89066505036</v>
      </c>
      <c r="D150" s="253">
        <f>IFERROR((D104/SUM(D$102:D$136))*lgh_bs!F$33*D$142,0)</f>
        <v>246499.76861513261</v>
      </c>
      <c r="E150" s="253">
        <f>IFERROR((E104/SUM(E$102:E$136))*lgh_bs!G$33*E$142,0)</f>
        <v>877188.94746015617</v>
      </c>
      <c r="F150" s="253">
        <f>IFERROR((F104/SUM(F$102:F$136))*lgh_bs!H$33*F$142,0)</f>
        <v>834589.48237272596</v>
      </c>
      <c r="G150" s="253">
        <f>IFERROR((G104/SUM(G$102:G$136))*lgh_bs!I$33*G$142,0)</f>
        <v>862971.40295199491</v>
      </c>
      <c r="H150" s="253">
        <f>IFERROR((H104/SUM(H$102:H$136))*lgh_bs!J$33*H$142,0)</f>
        <v>908431.46939414483</v>
      </c>
      <c r="I150" s="253">
        <f>IFERROR((I104/SUM(I$102:I$136))*lgh_bs!K$33*I$142,0)</f>
        <v>958972.5574902934</v>
      </c>
      <c r="J150" s="253">
        <f>IFERROR((J104/SUM(J$102:J$136))*lgh_bs!L$33*J$142,0)</f>
        <v>1048943.5710415794</v>
      </c>
      <c r="K150" s="253">
        <f>IFERROR((K104/SUM(K$102:K$136))*lgh_bs!M$33*K$142,0)</f>
        <v>1234079.7101425293</v>
      </c>
      <c r="L150" s="253">
        <f>IFERROR((L104/SUM(L$102:L$136))*lgh_bs!N$33*L$142,0)</f>
        <v>1502709.8886688694</v>
      </c>
      <c r="M150" s="253">
        <f>IFERROR((M104/SUM(M$102:M$136))*lgh_bs!O$33*M$142,0)</f>
        <v>1816891.361648733</v>
      </c>
      <c r="N150" s="253">
        <f>IFERROR((N104/SUM(N$102:N$136))*lgh_bs!P$33*N$142,0)</f>
        <v>2126117.9314620346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1837325.7813301005</v>
      </c>
      <c r="D151" s="253">
        <f>IFERROR((D105/SUM(D$102:D$136))*lgh_bs!F$33*D$142,0)</f>
        <v>492999.53723026521</v>
      </c>
      <c r="E151" s="253">
        <f>IFERROR((E105/SUM(E$102:E$136))*lgh_bs!G$33*E$142,0)</f>
        <v>1754377.8949203119</v>
      </c>
      <c r="F151" s="253">
        <f>IFERROR((F105/SUM(F$102:F$136))*lgh_bs!H$33*F$142,0)</f>
        <v>1669178.9647454519</v>
      </c>
      <c r="G151" s="253">
        <f>IFERROR((G105/SUM(G$102:G$136))*lgh_bs!I$33*G$142,0)</f>
        <v>1725942.8059039894</v>
      </c>
      <c r="H151" s="253">
        <f>IFERROR((H105/SUM(H$102:H$136))*lgh_bs!J$33*H$142,0)</f>
        <v>1816862.9387882892</v>
      </c>
      <c r="I151" s="253">
        <f>IFERROR((I105/SUM(I$102:I$136))*lgh_bs!K$33*I$142,0)</f>
        <v>1917945.1149805863</v>
      </c>
      <c r="J151" s="253">
        <f>IFERROR((J105/SUM(J$102:J$136))*lgh_bs!L$33*J$142,0)</f>
        <v>2097887.1420831583</v>
      </c>
      <c r="K151" s="253">
        <f>IFERROR((K105/SUM(K$102:K$136))*lgh_bs!M$33*K$142,0)</f>
        <v>2468159.4202850582</v>
      </c>
      <c r="L151" s="253">
        <f>IFERROR((L105/SUM(L$102:L$136))*lgh_bs!N$33*L$142,0)</f>
        <v>3005419.7773377383</v>
      </c>
      <c r="M151" s="253">
        <f>IFERROR((M105/SUM(M$102:M$136))*lgh_bs!O$33*M$142,0)</f>
        <v>3633782.7232974651</v>
      </c>
      <c r="N151" s="253">
        <f>IFERROR((N105/SUM(N$102:N$136))*lgh_bs!P$33*N$142,0)</f>
        <v>4252235.8629240692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1469860.6250640808</v>
      </c>
      <c r="D152" s="253">
        <f>IFERROR((D106/SUM(D$102:D$136))*lgh_bs!F$33*D$142,0)</f>
        <v>394399.62978421221</v>
      </c>
      <c r="E152" s="253">
        <f>IFERROR((E106/SUM(E$102:E$136))*lgh_bs!G$33*E$142,0)</f>
        <v>1403502.3159362499</v>
      </c>
      <c r="F152" s="253">
        <f>IFERROR((F106/SUM(F$102:F$136))*lgh_bs!H$33*F$142,0)</f>
        <v>1335343.1717963619</v>
      </c>
      <c r="G152" s="253">
        <f>IFERROR((G106/SUM(G$102:G$136))*lgh_bs!I$33*G$142,0)</f>
        <v>1380754.244723192</v>
      </c>
      <c r="H152" s="253">
        <f>IFERROR((H106/SUM(H$102:H$136))*lgh_bs!J$33*H$142,0)</f>
        <v>1453490.3510306317</v>
      </c>
      <c r="I152" s="253">
        <f>IFERROR((I106/SUM(I$102:I$136))*lgh_bs!K$33*I$142,0)</f>
        <v>1534356.0919844694</v>
      </c>
      <c r="J152" s="253">
        <f>IFERROR((J106/SUM(J$102:J$136))*lgh_bs!L$33*J$142,0)</f>
        <v>1678309.7136665271</v>
      </c>
      <c r="K152" s="253">
        <f>IFERROR((K106/SUM(K$102:K$136))*lgh_bs!M$33*K$142,0)</f>
        <v>1974527.536228047</v>
      </c>
      <c r="L152" s="253">
        <f>IFERROR((L106/SUM(L$102:L$136))*lgh_bs!N$33*L$142,0)</f>
        <v>2404335.8218701915</v>
      </c>
      <c r="M152" s="253">
        <f>IFERROR((M106/SUM(M$102:M$136))*lgh_bs!O$33*M$142,0)</f>
        <v>2907026.178637973</v>
      </c>
      <c r="N152" s="253">
        <f>IFERROR((N106/SUM(N$102:N$136))*lgh_bs!P$33*N$142,0)</f>
        <v>3401788.6903392556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734930.31253204041</v>
      </c>
      <c r="D153" s="253">
        <f>IFERROR((D107/SUM(D$102:D$136))*lgh_bs!F$33*D$142,0)</f>
        <v>197199.81489210611</v>
      </c>
      <c r="E153" s="253">
        <f>IFERROR((E107/SUM(E$102:E$136))*lgh_bs!G$33*E$142,0)</f>
        <v>701751.15796812496</v>
      </c>
      <c r="F153" s="253">
        <f>IFERROR((F107/SUM(F$102:F$136))*lgh_bs!H$33*F$142,0)</f>
        <v>667671.58589818096</v>
      </c>
      <c r="G153" s="253">
        <f>IFERROR((G107/SUM(G$102:G$136))*lgh_bs!I$33*G$142,0)</f>
        <v>690377.12236159598</v>
      </c>
      <c r="H153" s="253">
        <f>IFERROR((H107/SUM(H$102:H$136))*lgh_bs!J$33*H$142,0)</f>
        <v>726745.17551531584</v>
      </c>
      <c r="I153" s="253">
        <f>IFERROR((I107/SUM(I$102:I$136))*lgh_bs!K$33*I$142,0)</f>
        <v>767178.04599223472</v>
      </c>
      <c r="J153" s="253">
        <f>IFERROR((J107/SUM(J$102:J$136))*lgh_bs!L$33*J$142,0)</f>
        <v>839154.85683326353</v>
      </c>
      <c r="K153" s="253">
        <f>IFERROR((K107/SUM(K$102:K$136))*lgh_bs!M$33*K$142,0)</f>
        <v>987263.76811402349</v>
      </c>
      <c r="L153" s="253">
        <f>IFERROR((L107/SUM(L$102:L$136))*lgh_bs!N$33*L$142,0)</f>
        <v>1202167.9109350957</v>
      </c>
      <c r="M153" s="253">
        <f>IFERROR((M107/SUM(M$102:M$136))*lgh_bs!O$33*M$142,0)</f>
        <v>1453513.0893189865</v>
      </c>
      <c r="N153" s="253">
        <f>IFERROR((N107/SUM(N$102:N$136))*lgh_bs!P$33*N$142,0)</f>
        <v>1700894.3451696278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820234.72380808066</v>
      </c>
      <c r="D154" s="253">
        <f>IFERROR((D108/SUM(D$102:D$136))*lgh_bs!F$33*D$142,0)</f>
        <v>220089.07912065406</v>
      </c>
      <c r="E154" s="253">
        <f>IFERROR((E108/SUM(E$102:E$136))*lgh_bs!G$33*E$142,0)</f>
        <v>783204.41737513931</v>
      </c>
      <c r="F154" s="253">
        <f>IFERROR((F108/SUM(F$102:F$136))*lgh_bs!H$33*F$142,0)</f>
        <v>745169.18068993394</v>
      </c>
      <c r="G154" s="253">
        <f>IFERROR((G108/SUM(G$102:G$136))*lgh_bs!I$33*G$142,0)</f>
        <v>770510.18120713823</v>
      </c>
      <c r="H154" s="253">
        <f>IFERROR((H108/SUM(H$102:H$136))*lgh_bs!J$33*H$142,0)</f>
        <v>811099.52624477213</v>
      </c>
      <c r="I154" s="253">
        <f>IFERROR((I108/SUM(I$102:I$136))*lgh_bs!K$33*I$142,0)</f>
        <v>856225.49775919062</v>
      </c>
      <c r="J154" s="253">
        <f>IFERROR((J108/SUM(J$102:J$136))*lgh_bs!L$33*J$142,0)</f>
        <v>936556.75985855306</v>
      </c>
      <c r="K154" s="253">
        <f>IFERROR((K108/SUM(K$102:K$136))*lgh_bs!M$33*K$142,0)</f>
        <v>1101856.8840558296</v>
      </c>
      <c r="L154" s="253">
        <f>IFERROR((L108/SUM(L$102:L$136))*lgh_bs!N$33*L$142,0)</f>
        <v>1341705.257740062</v>
      </c>
      <c r="M154" s="253">
        <f>IFERROR((M108/SUM(M$102:M$136))*lgh_bs!O$33*M$142,0)</f>
        <v>1622224.4300435116</v>
      </c>
      <c r="N154" s="253">
        <f>IFERROR((N108/SUM(N$102:N$136))*lgh_bs!P$33*N$142,0)</f>
        <v>1898319.5816625308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820234.72380808066</v>
      </c>
      <c r="D155" s="253">
        <f>IFERROR((D109/SUM(D$102:D$136))*lgh_bs!F$33*D$142,0)</f>
        <v>220089.07912065406</v>
      </c>
      <c r="E155" s="253">
        <f>IFERROR((E109/SUM(E$102:E$136))*lgh_bs!G$33*E$142,0)</f>
        <v>783204.41737513931</v>
      </c>
      <c r="F155" s="253">
        <f>IFERROR((F109/SUM(F$102:F$136))*lgh_bs!H$33*F$142,0)</f>
        <v>745169.18068993394</v>
      </c>
      <c r="G155" s="253">
        <f>IFERROR((G109/SUM(G$102:G$136))*lgh_bs!I$33*G$142,0)</f>
        <v>770510.18120713823</v>
      </c>
      <c r="H155" s="253">
        <f>IFERROR((H109/SUM(H$102:H$136))*lgh_bs!J$33*H$142,0)</f>
        <v>811099.52624477213</v>
      </c>
      <c r="I155" s="253">
        <f>IFERROR((I109/SUM(I$102:I$136))*lgh_bs!K$33*I$142,0)</f>
        <v>856225.49775919062</v>
      </c>
      <c r="J155" s="253">
        <f>IFERROR((J109/SUM(J$102:J$136))*lgh_bs!L$33*J$142,0)</f>
        <v>936556.75985855306</v>
      </c>
      <c r="K155" s="253">
        <f>IFERROR((K109/SUM(K$102:K$136))*lgh_bs!M$33*K$142,0)</f>
        <v>1101856.8840558296</v>
      </c>
      <c r="L155" s="253">
        <f>IFERROR((L109/SUM(L$102:L$136))*lgh_bs!N$33*L$142,0)</f>
        <v>1341705.257740062</v>
      </c>
      <c r="M155" s="253">
        <f>IFERROR((M109/SUM(M$102:M$136))*lgh_bs!O$33*M$142,0)</f>
        <v>1622224.4300435116</v>
      </c>
      <c r="N155" s="253">
        <f>IFERROR((N109/SUM(N$102:N$136))*lgh_bs!P$33*N$142,0)</f>
        <v>1898319.5816625308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331374.82841846463</v>
      </c>
      <c r="D156" s="253">
        <f>IFERROR((D110/SUM(D$102:D$136))*lgh_bs!F$33*D$142,0)</f>
        <v>88915.987964744258</v>
      </c>
      <c r="E156" s="253">
        <f>IFERROR((E110/SUM(E$102:E$136))*lgh_bs!G$33*E$142,0)</f>
        <v>316414.58461955632</v>
      </c>
      <c r="F156" s="253">
        <f>IFERROR((F110/SUM(F$102:F$136))*lgh_bs!H$33*F$142,0)</f>
        <v>301048.34899873339</v>
      </c>
      <c r="G156" s="253">
        <f>IFERROR((G110/SUM(G$102:G$136))*lgh_bs!I$33*G$142,0)</f>
        <v>311286.11320768384</v>
      </c>
      <c r="H156" s="253">
        <f>IFERROR((H110/SUM(H$102:H$136))*lgh_bs!J$33*H$142,0)</f>
        <v>327684.20860288793</v>
      </c>
      <c r="I156" s="253">
        <f>IFERROR((I110/SUM(I$102:I$136))*lgh_bs!K$33*I$142,0)</f>
        <v>345915.10109471297</v>
      </c>
      <c r="J156" s="253">
        <f>IFERROR((J110/SUM(J$102:J$136))*lgh_bs!L$33*J$142,0)</f>
        <v>378368.93098285544</v>
      </c>
      <c r="K156" s="253">
        <f>IFERROR((K110/SUM(K$102:K$136))*lgh_bs!M$33*K$142,0)</f>
        <v>445150.18115855521</v>
      </c>
      <c r="L156" s="253">
        <f>IFERROR((L110/SUM(L$102:L$136))*lgh_bs!N$33*L$142,0)</f>
        <v>542048.92412698502</v>
      </c>
      <c r="M156" s="253">
        <f>IFERROR((M110/SUM(M$102:M$136))*lgh_bs!O$33*M$142,0)</f>
        <v>655378.66973757872</v>
      </c>
      <c r="N156" s="253">
        <f>IFERROR((N110/SUM(N$102:N$136))*lgh_bs!P$33*N$142,0)</f>
        <v>766921.11099166248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118113.8002283636</v>
      </c>
      <c r="D157" s="253">
        <f>IFERROR((D111/SUM(D$102:D$136))*lgh_bs!F$33*D$142,0)</f>
        <v>31692.827393374184</v>
      </c>
      <c r="E157" s="253">
        <f>IFERROR((E111/SUM(E$102:E$136))*lgh_bs!G$33*E$142,0)</f>
        <v>112781.43610202004</v>
      </c>
      <c r="F157" s="253">
        <f>IFERROR((F111/SUM(F$102:F$136))*lgh_bs!H$33*F$142,0)</f>
        <v>107304.36201935046</v>
      </c>
      <c r="G157" s="253">
        <f>IFERROR((G111/SUM(G$102:G$136))*lgh_bs!I$33*G$142,0)</f>
        <v>110953.46609382788</v>
      </c>
      <c r="H157" s="253">
        <f>IFERROR((H111/SUM(H$102:H$136))*lgh_bs!J$33*H$142,0)</f>
        <v>116798.33177924718</v>
      </c>
      <c r="I157" s="253">
        <f>IFERROR((I111/SUM(I$102:I$136))*lgh_bs!K$33*I$142,0)</f>
        <v>123296.47167732342</v>
      </c>
      <c r="J157" s="253">
        <f>IFERROR((J111/SUM(J$102:J$136))*lgh_bs!L$33*J$142,0)</f>
        <v>134864.17341963158</v>
      </c>
      <c r="K157" s="253">
        <f>IFERROR((K111/SUM(K$102:K$136))*lgh_bs!M$33*K$142,0)</f>
        <v>158667.39130403945</v>
      </c>
      <c r="L157" s="253">
        <f>IFERROR((L111/SUM(L$102:L$136))*lgh_bs!N$33*L$142,0)</f>
        <v>193205.55711456889</v>
      </c>
      <c r="M157" s="253">
        <f>IFERROR((M111/SUM(M$102:M$136))*lgh_bs!O$33*M$142,0)</f>
        <v>233600.31792626562</v>
      </c>
      <c r="N157" s="253">
        <f>IFERROR((N111/SUM(N$102:N$136))*lgh_bs!P$33*N$142,0)</f>
        <v>273358.01975940436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13123.755580929294</v>
      </c>
      <c r="D158" s="253">
        <f>IFERROR((D112/SUM(D$102:D$136))*lgh_bs!F$33*D$142,0)</f>
        <v>3521.4252659304657</v>
      </c>
      <c r="E158" s="253">
        <f>IFERROR((E112/SUM(E$102:E$136))*lgh_bs!G$33*E$142,0)</f>
        <v>12531.270678002229</v>
      </c>
      <c r="F158" s="253">
        <f>IFERROR((F112/SUM(F$102:F$136))*lgh_bs!H$33*F$142,0)</f>
        <v>11922.706891038944</v>
      </c>
      <c r="G158" s="253">
        <f>IFERROR((G112/SUM(G$102:G$136))*lgh_bs!I$33*G$142,0)</f>
        <v>12328.162899314213</v>
      </c>
      <c r="H158" s="253">
        <f>IFERROR((H112/SUM(H$102:H$136))*lgh_bs!J$33*H$142,0)</f>
        <v>12977.592419916355</v>
      </c>
      <c r="I158" s="253">
        <f>IFERROR((I112/SUM(I$102:I$136))*lgh_bs!K$33*I$142,0)</f>
        <v>13699.607964147048</v>
      </c>
      <c r="J158" s="253">
        <f>IFERROR((J112/SUM(J$102:J$136))*lgh_bs!L$33*J$142,0)</f>
        <v>14984.908157736849</v>
      </c>
      <c r="K158" s="253">
        <f>IFERROR((K112/SUM(K$102:K$136))*lgh_bs!M$33*K$142,0)</f>
        <v>17629.710144893277</v>
      </c>
      <c r="L158" s="253">
        <f>IFERROR((L112/SUM(L$102:L$136))*lgh_bs!N$33*L$142,0)</f>
        <v>21467.284123840993</v>
      </c>
      <c r="M158" s="253">
        <f>IFERROR((M112/SUM(M$102:M$136))*lgh_bs!O$33*M$142,0)</f>
        <v>25955.590880696189</v>
      </c>
      <c r="N158" s="253">
        <f>IFERROR((N112/SUM(N$102:N$136))*lgh_bs!P$33*N$142,0)</f>
        <v>30373.113306600495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14050.292724942899</v>
      </c>
      <c r="D159" s="253">
        <f>IFERROR((D113/SUM(D$102:D$136))*lgh_bs!F$33*D$142,0)</f>
        <v>3770.0378897051564</v>
      </c>
      <c r="E159" s="253">
        <f>IFERROR((E113/SUM(E$102:E$136))*lgh_bs!G$33*E$142,0)</f>
        <v>13415.978387869187</v>
      </c>
      <c r="F159" s="253">
        <f>IFERROR((F113/SUM(F$102:F$136))*lgh_bs!H$33*F$142,0)</f>
        <v>12764.449997546293</v>
      </c>
      <c r="G159" s="253">
        <f>IFERROR((G113/SUM(G$102:G$136))*lgh_bs!I$33*G$142,0)</f>
        <v>13198.531200005793</v>
      </c>
      <c r="H159" s="253">
        <f>IFERROR((H113/SUM(H$102:H$136))*lgh_bs!J$33*H$142,0)</f>
        <v>13893.810444762448</v>
      </c>
      <c r="I159" s="253">
        <f>IFERROR((I113/SUM(I$102:I$136))*lgh_bs!K$33*I$142,0)</f>
        <v>14666.80028641583</v>
      </c>
      <c r="J159" s="253">
        <f>IFERROR((J113/SUM(J$102:J$136))*lgh_bs!L$33*J$142,0)</f>
        <v>16042.842673673067</v>
      </c>
      <c r="K159" s="253">
        <f>IFERROR((K113/SUM(K$102:K$136))*lgh_bs!M$33*K$142,0)</f>
        <v>18874.367681122738</v>
      </c>
      <c r="L159" s="253">
        <f>IFERROR((L113/SUM(L$102:L$136))*lgh_bs!N$33*L$142,0)</f>
        <v>22982.874382984166</v>
      </c>
      <c r="M159" s="253">
        <f>IFERROR((M113/SUM(M$102:M$136))*lgh_bs!O$33*M$142,0)</f>
        <v>27788.055596873335</v>
      </c>
      <c r="N159" s="253">
        <f>IFERROR((N113/SUM(N$102:N$136))*lgh_bs!P$33*N$142,0)</f>
        <v>32517.455106046487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42150.878174828693</v>
      </c>
      <c r="D160" s="253">
        <f>IFERROR((D114/SUM(D$102:D$136))*lgh_bs!F$33*D$142,0)</f>
        <v>11310.113669115468</v>
      </c>
      <c r="E160" s="253">
        <f>IFERROR((E114/SUM(E$102:E$136))*lgh_bs!G$33*E$142,0)</f>
        <v>40247.935163607552</v>
      </c>
      <c r="F160" s="253">
        <f>IFERROR((F114/SUM(F$102:F$136))*lgh_bs!H$33*F$142,0)</f>
        <v>38293.349992638869</v>
      </c>
      <c r="G160" s="253">
        <f>IFERROR((G114/SUM(G$102:G$136))*lgh_bs!I$33*G$142,0)</f>
        <v>39595.593600017375</v>
      </c>
      <c r="H160" s="253">
        <f>IFERROR((H114/SUM(H$102:H$136))*lgh_bs!J$33*H$142,0)</f>
        <v>41681.431334287328</v>
      </c>
      <c r="I160" s="253">
        <f>IFERROR((I114/SUM(I$102:I$136))*lgh_bs!K$33*I$142,0)</f>
        <v>44000.400859247478</v>
      </c>
      <c r="J160" s="253">
        <f>IFERROR((J114/SUM(J$102:J$136))*lgh_bs!L$33*J$142,0)</f>
        <v>48128.5280210192</v>
      </c>
      <c r="K160" s="253">
        <f>IFERROR((K114/SUM(K$102:K$136))*lgh_bs!M$33*K$142,0)</f>
        <v>56623.10304336821</v>
      </c>
      <c r="L160" s="253">
        <f>IFERROR((L114/SUM(L$102:L$136))*lgh_bs!N$33*L$142,0)</f>
        <v>68948.62314895248</v>
      </c>
      <c r="M160" s="253">
        <f>IFERROR((M114/SUM(M$102:M$136))*lgh_bs!O$33*M$142,0)</f>
        <v>83364.166790619987</v>
      </c>
      <c r="N160" s="253">
        <f>IFERROR((N114/SUM(N$102:N$136))*lgh_bs!P$33*N$142,0)</f>
        <v>97552.365318139433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84301.7563496574</v>
      </c>
      <c r="D161" s="253">
        <f>IFERROR((D115/SUM(D$102:D$136))*lgh_bs!F$33*D$142,0)</f>
        <v>22620.227338230939</v>
      </c>
      <c r="E161" s="253">
        <f>IFERROR((E115/SUM(E$102:E$136))*lgh_bs!G$33*E$142,0)</f>
        <v>80495.870327215118</v>
      </c>
      <c r="F161" s="253">
        <f>IFERROR((F115/SUM(F$102:F$136))*lgh_bs!H$33*F$142,0)</f>
        <v>76586.699985277752</v>
      </c>
      <c r="G161" s="253">
        <f>IFERROR((G115/SUM(G$102:G$136))*lgh_bs!I$33*G$142,0)</f>
        <v>79191.187200034765</v>
      </c>
      <c r="H161" s="253">
        <f>IFERROR((H115/SUM(H$102:H$136))*lgh_bs!J$33*H$142,0)</f>
        <v>83362.862668574686</v>
      </c>
      <c r="I161" s="253">
        <f>IFERROR((I115/SUM(I$102:I$136))*lgh_bs!K$33*I$142,0)</f>
        <v>88000.801718494971</v>
      </c>
      <c r="J161" s="253">
        <f>IFERROR((J115/SUM(J$102:J$136))*lgh_bs!L$33*J$142,0)</f>
        <v>96257.056042038399</v>
      </c>
      <c r="K161" s="253">
        <f>IFERROR((K115/SUM(K$102:K$136))*lgh_bs!M$33*K$142,0)</f>
        <v>113246.20608673642</v>
      </c>
      <c r="L161" s="253">
        <f>IFERROR((L115/SUM(L$102:L$136))*lgh_bs!N$33*L$142,0)</f>
        <v>137897.24629790499</v>
      </c>
      <c r="M161" s="253">
        <f>IFERROR((M115/SUM(M$102:M$136))*lgh_bs!O$33*M$142,0)</f>
        <v>166728.33358124</v>
      </c>
      <c r="N161" s="253">
        <f>IFERROR((N115/SUM(N$102:N$136))*lgh_bs!P$33*N$142,0)</f>
        <v>195104.73063627889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131237.55580929294</v>
      </c>
      <c r="D162" s="253">
        <f>IFERROR((D116/SUM(D$102:D$136))*lgh_bs!F$33*D$142,0)</f>
        <v>35214.252659304657</v>
      </c>
      <c r="E162" s="253">
        <f>IFERROR((E116/SUM(E$102:E$136))*lgh_bs!G$33*E$142,0)</f>
        <v>125312.70678002229</v>
      </c>
      <c r="F162" s="253">
        <f>IFERROR((F116/SUM(F$102:F$136))*lgh_bs!H$33*F$142,0)</f>
        <v>119227.06891038943</v>
      </c>
      <c r="G162" s="253">
        <f>IFERROR((G116/SUM(G$102:G$136))*lgh_bs!I$33*G$142,0)</f>
        <v>123281.62899314212</v>
      </c>
      <c r="H162" s="253">
        <f>IFERROR((H116/SUM(H$102:H$136))*lgh_bs!J$33*H$142,0)</f>
        <v>129775.92419916354</v>
      </c>
      <c r="I162" s="253">
        <f>IFERROR((I116/SUM(I$102:I$136))*lgh_bs!K$33*I$142,0)</f>
        <v>136996.07964147048</v>
      </c>
      <c r="J162" s="253">
        <f>IFERROR((J116/SUM(J$102:J$136))*lgh_bs!L$33*J$142,0)</f>
        <v>149849.08157736849</v>
      </c>
      <c r="K162" s="253">
        <f>IFERROR((K116/SUM(K$102:K$136))*lgh_bs!M$33*K$142,0)</f>
        <v>176297.10144893275</v>
      </c>
      <c r="L162" s="253">
        <f>IFERROR((L116/SUM(L$102:L$136))*lgh_bs!N$33*L$142,0)</f>
        <v>214672.84123840989</v>
      </c>
      <c r="M162" s="253">
        <f>IFERROR((M116/SUM(M$102:M$136))*lgh_bs!O$33*M$142,0)</f>
        <v>259555.90880696184</v>
      </c>
      <c r="N162" s="253">
        <f>IFERROR((N116/SUM(N$102:N$136))*lgh_bs!P$33*N$142,0)</f>
        <v>303731.1330660049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131237.55580929294</v>
      </c>
      <c r="D163" s="253">
        <f>IFERROR((D117/SUM(D$102:D$136))*lgh_bs!F$33*D$142,0)</f>
        <v>35214.252659304657</v>
      </c>
      <c r="E163" s="253">
        <f>IFERROR((E117/SUM(E$102:E$136))*lgh_bs!G$33*E$142,0)</f>
        <v>125312.70678002229</v>
      </c>
      <c r="F163" s="253">
        <f>IFERROR((F117/SUM(F$102:F$136))*lgh_bs!H$33*F$142,0)</f>
        <v>119227.06891038943</v>
      </c>
      <c r="G163" s="253">
        <f>IFERROR((G117/SUM(G$102:G$136))*lgh_bs!I$33*G$142,0)</f>
        <v>123281.62899314212</v>
      </c>
      <c r="H163" s="253">
        <f>IFERROR((H117/SUM(H$102:H$136))*lgh_bs!J$33*H$142,0)</f>
        <v>129775.92419916354</v>
      </c>
      <c r="I163" s="253">
        <f>IFERROR((I117/SUM(I$102:I$136))*lgh_bs!K$33*I$142,0)</f>
        <v>136996.07964147048</v>
      </c>
      <c r="J163" s="253">
        <f>IFERROR((J117/SUM(J$102:J$136))*lgh_bs!L$33*J$142,0)</f>
        <v>149849.08157736849</v>
      </c>
      <c r="K163" s="253">
        <f>IFERROR((K117/SUM(K$102:K$136))*lgh_bs!M$33*K$142,0)</f>
        <v>176297.10144893275</v>
      </c>
      <c r="L163" s="253">
        <f>IFERROR((L117/SUM(L$102:L$136))*lgh_bs!N$33*L$142,0)</f>
        <v>214672.84123840989</v>
      </c>
      <c r="M163" s="253">
        <f>IFERROR((M117/SUM(M$102:M$136))*lgh_bs!O$33*M$142,0)</f>
        <v>259555.90880696184</v>
      </c>
      <c r="N163" s="253">
        <f>IFERROR((N117/SUM(N$102:N$136))*lgh_bs!P$33*N$142,0)</f>
        <v>303731.1330660049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262475.11161858583</v>
      </c>
      <c r="D164" s="253">
        <f>IFERROR((D118/SUM(D$102:D$136))*lgh_bs!F$33*D$142,0)</f>
        <v>70428.505318609299</v>
      </c>
      <c r="E164" s="253">
        <f>IFERROR((E118/SUM(E$102:E$136))*lgh_bs!G$33*E$142,0)</f>
        <v>250625.41356004452</v>
      </c>
      <c r="F164" s="253">
        <f>IFERROR((F118/SUM(F$102:F$136))*lgh_bs!H$33*F$142,0)</f>
        <v>238454.13782077879</v>
      </c>
      <c r="G164" s="253">
        <f>IFERROR((G118/SUM(G$102:G$136))*lgh_bs!I$33*G$142,0)</f>
        <v>246563.25798628415</v>
      </c>
      <c r="H164" s="253">
        <f>IFERROR((H118/SUM(H$102:H$136))*lgh_bs!J$33*H$142,0)</f>
        <v>259551.84839832698</v>
      </c>
      <c r="I164" s="253">
        <f>IFERROR((I118/SUM(I$102:I$136))*lgh_bs!K$33*I$142,0)</f>
        <v>273992.15928294091</v>
      </c>
      <c r="J164" s="253">
        <f>IFERROR((J118/SUM(J$102:J$136))*lgh_bs!L$33*J$142,0)</f>
        <v>299698.16315473686</v>
      </c>
      <c r="K164" s="253">
        <f>IFERROR((K118/SUM(K$102:K$136))*lgh_bs!M$33*K$142,0)</f>
        <v>352594.20289786538</v>
      </c>
      <c r="L164" s="253">
        <f>IFERROR((L118/SUM(L$102:L$136))*lgh_bs!N$33*L$142,0)</f>
        <v>429345.68247681967</v>
      </c>
      <c r="M164" s="253">
        <f>IFERROR((M118/SUM(M$102:M$136))*lgh_bs!O$33*M$142,0)</f>
        <v>519111.81761392351</v>
      </c>
      <c r="N164" s="253">
        <f>IFERROR((N118/SUM(N$102:N$136))*lgh_bs!P$33*N$142,0)</f>
        <v>607462.26613200968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85304.41127604038</v>
      </c>
      <c r="D165" s="253">
        <f>IFERROR((D119/SUM(D$102:D$136))*lgh_bs!F$33*D$142,0)</f>
        <v>22889.264228548018</v>
      </c>
      <c r="E165" s="253">
        <f>IFERROR((E119/SUM(E$102:E$136))*lgh_bs!G$33*E$142,0)</f>
        <v>81453.25940701447</v>
      </c>
      <c r="F165" s="253">
        <f>IFERROR((F119/SUM(F$102:F$136))*lgh_bs!H$33*F$142,0)</f>
        <v>77497.594791753101</v>
      </c>
      <c r="G165" s="253">
        <f>IFERROR((G119/SUM(G$102:G$136))*lgh_bs!I$33*G$142,0)</f>
        <v>80133.058845542357</v>
      </c>
      <c r="H165" s="253">
        <f>IFERROR((H119/SUM(H$102:H$136))*lgh_bs!J$33*H$142,0)</f>
        <v>84354.350729456273</v>
      </c>
      <c r="I165" s="253">
        <f>IFERROR((I119/SUM(I$102:I$136))*lgh_bs!K$33*I$142,0)</f>
        <v>89047.451766955797</v>
      </c>
      <c r="J165" s="253">
        <f>IFERROR((J119/SUM(J$102:J$136))*lgh_bs!L$33*J$142,0)</f>
        <v>97401.903025289488</v>
      </c>
      <c r="K165" s="253">
        <f>IFERROR((K119/SUM(K$102:K$136))*lgh_bs!M$33*K$142,0)</f>
        <v>114593.11594180626</v>
      </c>
      <c r="L165" s="253">
        <f>IFERROR((L119/SUM(L$102:L$136))*lgh_bs!N$33*L$142,0)</f>
        <v>139537.34680496639</v>
      </c>
      <c r="M165" s="253">
        <f>IFERROR((M119/SUM(M$102:M$136))*lgh_bs!O$33*M$142,0)</f>
        <v>168711.34072452516</v>
      </c>
      <c r="N165" s="253">
        <f>IFERROR((N119/SUM(N$102:N$136))*lgh_bs!P$33*N$142,0)</f>
        <v>197425.23649290318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26247.51116185858</v>
      </c>
      <c r="D166" s="253">
        <f>IFERROR((D120/SUM(D$102:D$136))*lgh_bs!F$33*D$142,0)</f>
        <v>7042.8505318609305</v>
      </c>
      <c r="E166" s="253">
        <f>IFERROR((E120/SUM(E$102:E$136))*lgh_bs!G$33*E$142,0)</f>
        <v>25062.541356004454</v>
      </c>
      <c r="F166" s="253">
        <f>IFERROR((F120/SUM(F$102:F$136))*lgh_bs!H$33*F$142,0)</f>
        <v>23845.413782077885</v>
      </c>
      <c r="G166" s="253">
        <f>IFERROR((G120/SUM(G$102:G$136))*lgh_bs!I$33*G$142,0)</f>
        <v>24656.325798628419</v>
      </c>
      <c r="H166" s="253">
        <f>IFERROR((H120/SUM(H$102:H$136))*lgh_bs!J$33*H$142,0)</f>
        <v>25955.184839832706</v>
      </c>
      <c r="I166" s="253">
        <f>IFERROR((I120/SUM(I$102:I$136))*lgh_bs!K$33*I$142,0)</f>
        <v>27399.215928294092</v>
      </c>
      <c r="J166" s="253">
        <f>IFERROR((J120/SUM(J$102:J$136))*lgh_bs!L$33*J$142,0)</f>
        <v>29969.81631547369</v>
      </c>
      <c r="K166" s="253">
        <f>IFERROR((K120/SUM(K$102:K$136))*lgh_bs!M$33*K$142,0)</f>
        <v>35259.420289786547</v>
      </c>
      <c r="L166" s="253">
        <f>IFERROR((L120/SUM(L$102:L$136))*lgh_bs!N$33*L$142,0)</f>
        <v>42934.568247681971</v>
      </c>
      <c r="M166" s="253">
        <f>IFERROR((M120/SUM(M$102:M$136))*lgh_bs!O$33*M$142,0)</f>
        <v>51911.181761392356</v>
      </c>
      <c r="N166" s="253">
        <f>IFERROR((N120/SUM(N$102:N$136))*lgh_bs!P$33*N$142,0)</f>
        <v>60746.226613200975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150923.1891806869</v>
      </c>
      <c r="D167" s="253">
        <f>IFERROR((D121/SUM(D$102:D$136))*lgh_bs!F$33*D$142,0)</f>
        <v>40496.390558200372</v>
      </c>
      <c r="E167" s="253">
        <f>IFERROR((E121/SUM(E$102:E$136))*lgh_bs!G$33*E$142,0)</f>
        <v>144109.61279702565</v>
      </c>
      <c r="F167" s="253">
        <f>IFERROR((F121/SUM(F$102:F$136))*lgh_bs!H$33*F$142,0)</f>
        <v>137111.12924694788</v>
      </c>
      <c r="G167" s="253">
        <f>IFERROR((G121/SUM(G$102:G$136))*lgh_bs!I$33*G$142,0)</f>
        <v>141773.87334211348</v>
      </c>
      <c r="H167" s="253">
        <f>IFERROR((H121/SUM(H$102:H$136))*lgh_bs!J$33*H$142,0)</f>
        <v>149242.3128290381</v>
      </c>
      <c r="I167" s="253">
        <f>IFERROR((I121/SUM(I$102:I$136))*lgh_bs!K$33*I$142,0)</f>
        <v>157545.4915876911</v>
      </c>
      <c r="J167" s="253">
        <f>IFERROR((J121/SUM(J$102:J$136))*lgh_bs!L$33*J$142,0)</f>
        <v>172326.4438139738</v>
      </c>
      <c r="K167" s="253">
        <f>IFERROR((K121/SUM(K$102:K$136))*lgh_bs!M$33*K$142,0)</f>
        <v>202741.66666627271</v>
      </c>
      <c r="L167" s="253">
        <f>IFERROR((L121/SUM(L$102:L$136))*lgh_bs!N$33*L$142,0)</f>
        <v>246873.76742417144</v>
      </c>
      <c r="M167" s="253">
        <f>IFERROR((M121/SUM(M$102:M$136))*lgh_bs!O$33*M$142,0)</f>
        <v>298489.2951280062</v>
      </c>
      <c r="N167" s="253">
        <f>IFERROR((N121/SUM(N$102:N$136))*lgh_bs!P$33*N$142,0)</f>
        <v>349290.80302590574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262475.11161858583</v>
      </c>
      <c r="D168" s="253">
        <f>IFERROR((D122/SUM(D$102:D$136))*lgh_bs!F$33*D$142,0)</f>
        <v>70428.505318609299</v>
      </c>
      <c r="E168" s="253">
        <f>IFERROR((E122/SUM(E$102:E$136))*lgh_bs!G$33*E$142,0)</f>
        <v>250625.41356004452</v>
      </c>
      <c r="F168" s="253">
        <f>IFERROR((F122/SUM(F$102:F$136))*lgh_bs!H$33*F$142,0)</f>
        <v>238454.13782077879</v>
      </c>
      <c r="G168" s="253">
        <f>IFERROR((G122/SUM(G$102:G$136))*lgh_bs!I$33*G$142,0)</f>
        <v>246563.25798628415</v>
      </c>
      <c r="H168" s="253">
        <f>IFERROR((H122/SUM(H$102:H$136))*lgh_bs!J$33*H$142,0)</f>
        <v>259551.84839832698</v>
      </c>
      <c r="I168" s="253">
        <f>IFERROR((I122/SUM(I$102:I$136))*lgh_bs!K$33*I$142,0)</f>
        <v>273992.15928294091</v>
      </c>
      <c r="J168" s="253">
        <f>IFERROR((J122/SUM(J$102:J$136))*lgh_bs!L$33*J$142,0)</f>
        <v>299698.16315473686</v>
      </c>
      <c r="K168" s="253">
        <f>IFERROR((K122/SUM(K$102:K$136))*lgh_bs!M$33*K$142,0)</f>
        <v>352594.20289786538</v>
      </c>
      <c r="L168" s="253">
        <f>IFERROR((L122/SUM(L$102:L$136))*lgh_bs!N$33*L$142,0)</f>
        <v>429345.68247681967</v>
      </c>
      <c r="M168" s="253">
        <f>IFERROR((M122/SUM(M$102:M$136))*lgh_bs!O$33*M$142,0)</f>
        <v>519111.81761392351</v>
      </c>
      <c r="N168" s="253">
        <f>IFERROR((N122/SUM(N$102:N$136))*lgh_bs!P$33*N$142,0)</f>
        <v>607462.26613200968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262475.11161858583</v>
      </c>
      <c r="D169" s="253">
        <f>IFERROR((D123/SUM(D$102:D$136))*lgh_bs!F$33*D$142,0)</f>
        <v>70428.505318609299</v>
      </c>
      <c r="E169" s="253">
        <f>IFERROR((E123/SUM(E$102:E$136))*lgh_bs!G$33*E$142,0)</f>
        <v>250625.41356004452</v>
      </c>
      <c r="F169" s="253">
        <f>IFERROR((F123/SUM(F$102:F$136))*lgh_bs!H$33*F$142,0)</f>
        <v>238454.13782077879</v>
      </c>
      <c r="G169" s="253">
        <f>IFERROR((G123/SUM(G$102:G$136))*lgh_bs!I$33*G$142,0)</f>
        <v>246563.25798628415</v>
      </c>
      <c r="H169" s="253">
        <f>IFERROR((H123/SUM(H$102:H$136))*lgh_bs!J$33*H$142,0)</f>
        <v>259551.84839832698</v>
      </c>
      <c r="I169" s="253">
        <f>IFERROR((I123/SUM(I$102:I$136))*lgh_bs!K$33*I$142,0)</f>
        <v>273992.15928294091</v>
      </c>
      <c r="J169" s="253">
        <f>IFERROR((J123/SUM(J$102:J$136))*lgh_bs!L$33*J$142,0)</f>
        <v>299698.16315473686</v>
      </c>
      <c r="K169" s="253">
        <f>IFERROR((K123/SUM(K$102:K$136))*lgh_bs!M$33*K$142,0)</f>
        <v>352594.20289786538</v>
      </c>
      <c r="L169" s="253">
        <f>IFERROR((L123/SUM(L$102:L$136))*lgh_bs!N$33*L$142,0)</f>
        <v>429345.68247681967</v>
      </c>
      <c r="M169" s="253">
        <f>IFERROR((M123/SUM(M$102:M$136))*lgh_bs!O$33*M$142,0)</f>
        <v>519111.81761392351</v>
      </c>
      <c r="N169" s="253">
        <f>IFERROR((N123/SUM(N$102:N$136))*lgh_bs!P$33*N$142,0)</f>
        <v>607462.26613200968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70251.463624714495</v>
      </c>
      <c r="D170" s="253">
        <f>IFERROR((D124/SUM(D$102:D$136))*lgh_bs!F$33*D$142,0)</f>
        <v>18850.18944852578</v>
      </c>
      <c r="E170" s="253">
        <f>IFERROR((E124/SUM(E$102:E$136))*lgh_bs!G$33*E$142,0)</f>
        <v>67079.891939345922</v>
      </c>
      <c r="F170" s="253">
        <f>IFERROR((F124/SUM(F$102:F$136))*lgh_bs!H$33*F$142,0)</f>
        <v>63822.249987731455</v>
      </c>
      <c r="G170" s="253">
        <f>IFERROR((G124/SUM(G$102:G$136))*lgh_bs!I$33*G$142,0)</f>
        <v>65992.656000028961</v>
      </c>
      <c r="H170" s="253">
        <f>IFERROR((H124/SUM(H$102:H$136))*lgh_bs!J$33*H$142,0)</f>
        <v>69469.052223812236</v>
      </c>
      <c r="I170" s="253">
        <f>IFERROR((I124/SUM(I$102:I$136))*lgh_bs!K$33*I$142,0)</f>
        <v>73334.001432079138</v>
      </c>
      <c r="J170" s="253">
        <f>IFERROR((J124/SUM(J$102:J$136))*lgh_bs!L$33*J$142,0)</f>
        <v>80214.213368365337</v>
      </c>
      <c r="K170" s="253">
        <f>IFERROR((K124/SUM(K$102:K$136))*lgh_bs!M$33*K$142,0)</f>
        <v>94371.838405613686</v>
      </c>
      <c r="L170" s="253">
        <f>IFERROR((L124/SUM(L$102:L$136))*lgh_bs!N$33*L$142,0)</f>
        <v>114914.3719149208</v>
      </c>
      <c r="M170" s="253">
        <f>IFERROR((M124/SUM(M$102:M$136))*lgh_bs!O$33*M$142,0)</f>
        <v>138940.27798436666</v>
      </c>
      <c r="N170" s="253">
        <f>IFERROR((N124/SUM(N$102:N$136))*lgh_bs!P$33*N$142,0)</f>
        <v>162587.27553023244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17562.865906178624</v>
      </c>
      <c r="D171" s="253">
        <f>IFERROR((D125/SUM(D$102:D$136))*lgh_bs!F$33*D$142,0)</f>
        <v>4712.547362131445</v>
      </c>
      <c r="E171" s="253">
        <f>IFERROR((E125/SUM(E$102:E$136))*lgh_bs!G$33*E$142,0)</f>
        <v>16769.97298483648</v>
      </c>
      <c r="F171" s="253">
        <f>IFERROR((F125/SUM(F$102:F$136))*lgh_bs!H$33*F$142,0)</f>
        <v>15955.562496932864</v>
      </c>
      <c r="G171" s="253">
        <f>IFERROR((G125/SUM(G$102:G$136))*lgh_bs!I$33*G$142,0)</f>
        <v>16498.16400000724</v>
      </c>
      <c r="H171" s="253">
        <f>IFERROR((H125/SUM(H$102:H$136))*lgh_bs!J$33*H$142,0)</f>
        <v>17367.263055953059</v>
      </c>
      <c r="I171" s="253">
        <f>IFERROR((I125/SUM(I$102:I$136))*lgh_bs!K$33*I$142,0)</f>
        <v>18333.500358019784</v>
      </c>
      <c r="J171" s="253">
        <f>IFERROR((J125/SUM(J$102:J$136))*lgh_bs!L$33*J$142,0)</f>
        <v>20053.553342091334</v>
      </c>
      <c r="K171" s="253">
        <f>IFERROR((K125/SUM(K$102:K$136))*lgh_bs!M$33*K$142,0)</f>
        <v>23592.959601403421</v>
      </c>
      <c r="L171" s="253">
        <f>IFERROR((L125/SUM(L$102:L$136))*lgh_bs!N$33*L$142,0)</f>
        <v>28728.592978730201</v>
      </c>
      <c r="M171" s="253">
        <f>IFERROR((M125/SUM(M$102:M$136))*lgh_bs!O$33*M$142,0)</f>
        <v>34735.069496091666</v>
      </c>
      <c r="N171" s="253">
        <f>IFERROR((N125/SUM(N$102:N$136))*lgh_bs!P$33*N$142,0)</f>
        <v>40646.818882558109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35125.731812357248</v>
      </c>
      <c r="D172" s="253">
        <f>IFERROR((D126/SUM(D$102:D$136))*lgh_bs!F$33*D$142,0)</f>
        <v>9425.0947242628899</v>
      </c>
      <c r="E172" s="253">
        <f>IFERROR((E126/SUM(E$102:E$136))*lgh_bs!G$33*E$142,0)</f>
        <v>33539.945969672961</v>
      </c>
      <c r="F172" s="253">
        <f>IFERROR((F126/SUM(F$102:F$136))*lgh_bs!H$33*F$142,0)</f>
        <v>31911.124993865727</v>
      </c>
      <c r="G172" s="253">
        <f>IFERROR((G126/SUM(G$102:G$136))*lgh_bs!I$33*G$142,0)</f>
        <v>32996.32800001448</v>
      </c>
      <c r="H172" s="253">
        <f>IFERROR((H126/SUM(H$102:H$136))*lgh_bs!J$33*H$142,0)</f>
        <v>34734.526111906118</v>
      </c>
      <c r="I172" s="253">
        <f>IFERROR((I126/SUM(I$102:I$136))*lgh_bs!K$33*I$142,0)</f>
        <v>36667.000716039569</v>
      </c>
      <c r="J172" s="253">
        <f>IFERROR((J126/SUM(J$102:J$136))*lgh_bs!L$33*J$142,0)</f>
        <v>40107.106684182669</v>
      </c>
      <c r="K172" s="253">
        <f>IFERROR((K126/SUM(K$102:K$136))*lgh_bs!M$33*K$142,0)</f>
        <v>47185.919202806843</v>
      </c>
      <c r="L172" s="253">
        <f>IFERROR((L126/SUM(L$102:L$136))*lgh_bs!N$33*L$142,0)</f>
        <v>57457.185957460402</v>
      </c>
      <c r="M172" s="253">
        <f>IFERROR((M126/SUM(M$102:M$136))*lgh_bs!O$33*M$142,0)</f>
        <v>69470.138992183332</v>
      </c>
      <c r="N172" s="253">
        <f>IFERROR((N126/SUM(N$102:N$136))*lgh_bs!P$33*N$142,0)</f>
        <v>81293.637765116218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35125.731812357248</v>
      </c>
      <c r="D173" s="253">
        <f>IFERROR((D127/SUM(D$102:D$136))*lgh_bs!F$33*D$142,0)</f>
        <v>9425.0947242628899</v>
      </c>
      <c r="E173" s="253">
        <f>IFERROR((E127/SUM(E$102:E$136))*lgh_bs!G$33*E$142,0)</f>
        <v>33539.945969672961</v>
      </c>
      <c r="F173" s="253">
        <f>IFERROR((F127/SUM(F$102:F$136))*lgh_bs!H$33*F$142,0)</f>
        <v>31911.124993865727</v>
      </c>
      <c r="G173" s="253">
        <f>IFERROR((G127/SUM(G$102:G$136))*lgh_bs!I$33*G$142,0)</f>
        <v>32996.32800001448</v>
      </c>
      <c r="H173" s="253">
        <f>IFERROR((H127/SUM(H$102:H$136))*lgh_bs!J$33*H$142,0)</f>
        <v>34734.526111906118</v>
      </c>
      <c r="I173" s="253">
        <f>IFERROR((I127/SUM(I$102:I$136))*lgh_bs!K$33*I$142,0)</f>
        <v>36667.000716039569</v>
      </c>
      <c r="J173" s="253">
        <f>IFERROR((J127/SUM(J$102:J$136))*lgh_bs!L$33*J$142,0)</f>
        <v>40107.106684182669</v>
      </c>
      <c r="K173" s="253">
        <f>IFERROR((K127/SUM(K$102:K$136))*lgh_bs!M$33*K$142,0)</f>
        <v>47185.919202806843</v>
      </c>
      <c r="L173" s="253">
        <f>IFERROR((L127/SUM(L$102:L$136))*lgh_bs!N$33*L$142,0)</f>
        <v>57457.185957460402</v>
      </c>
      <c r="M173" s="253">
        <f>IFERROR((M127/SUM(M$102:M$136))*lgh_bs!O$33*M$142,0)</f>
        <v>69470.138992183332</v>
      </c>
      <c r="N173" s="253">
        <f>IFERROR((N127/SUM(N$102:N$136))*lgh_bs!P$33*N$142,0)</f>
        <v>81293.637765116218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33137482.841846462</v>
      </c>
      <c r="D174" s="253">
        <f>IFERROR((D128/SUM(D$102:D$136))*lgh_bs!F$33*D$142,0)</f>
        <v>8891598.7964744251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1325499.3136738585</v>
      </c>
      <c r="D175" s="253">
        <f>IFERROR((D129/SUM(D$102:D$136))*lgh_bs!F$33*D$142,0)</f>
        <v>355663.95185897703</v>
      </c>
      <c r="E175" s="253">
        <f>IFERROR((E129/SUM(E$102:E$136))*lgh_bs!G$33*E$142,0)</f>
        <v>1265658.3384782253</v>
      </c>
      <c r="F175" s="253">
        <f>IFERROR((F129/SUM(F$102:F$136))*lgh_bs!H$33*F$142,0)</f>
        <v>1204193.3959949336</v>
      </c>
      <c r="G175" s="253">
        <f>IFERROR((G129/SUM(G$102:G$136))*lgh_bs!I$33*G$142,0)</f>
        <v>1245144.4528307354</v>
      </c>
      <c r="H175" s="253">
        <f>IFERROR((H129/SUM(H$102:H$136))*lgh_bs!J$33*H$142,0)</f>
        <v>1310736.8344115517</v>
      </c>
      <c r="I175" s="253">
        <f>IFERROR((I129/SUM(I$102:I$136))*lgh_bs!K$33*I$142,0)</f>
        <v>1383660.4043788519</v>
      </c>
      <c r="J175" s="253">
        <f>IFERROR((J129/SUM(J$102:J$136))*lgh_bs!L$33*J$142,0)</f>
        <v>1513475.7239314218</v>
      </c>
      <c r="K175" s="253">
        <f>IFERROR((K129/SUM(K$102:K$136))*lgh_bs!M$33*K$142,0)</f>
        <v>1780600.7246342208</v>
      </c>
      <c r="L175" s="253">
        <f>IFERROR((L129/SUM(L$102:L$136))*lgh_bs!N$33*L$142,0)</f>
        <v>2168195.6965079401</v>
      </c>
      <c r="M175" s="253">
        <f>IFERROR((M129/SUM(M$102:M$136))*lgh_bs!O$33*M$142,0)</f>
        <v>2621514.6789503149</v>
      </c>
      <c r="N175" s="253">
        <f>IFERROR((N129/SUM(N$102:N$136))*lgh_bs!P$33*N$142,0)</f>
        <v>3067684.4439666499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1325499.3136738585</v>
      </c>
      <c r="D176" s="253">
        <f>IFERROR((D130/SUM(D$102:D$136))*lgh_bs!F$33*D$142,0)</f>
        <v>355663.95185897703</v>
      </c>
      <c r="E176" s="253">
        <f>IFERROR((E130/SUM(E$102:E$136))*lgh_bs!G$33*E$142,0)</f>
        <v>1265658.3384782253</v>
      </c>
      <c r="F176" s="253">
        <f>IFERROR((F130/SUM(F$102:F$136))*lgh_bs!H$33*F$142,0)</f>
        <v>1204193.3959949336</v>
      </c>
      <c r="G176" s="253">
        <f>IFERROR((G130/SUM(G$102:G$136))*lgh_bs!I$33*G$142,0)</f>
        <v>1245144.4528307354</v>
      </c>
      <c r="H176" s="253">
        <f>IFERROR((H130/SUM(H$102:H$136))*lgh_bs!J$33*H$142,0)</f>
        <v>1310736.8344115517</v>
      </c>
      <c r="I176" s="253">
        <f>IFERROR((I130/SUM(I$102:I$136))*lgh_bs!K$33*I$142,0)</f>
        <v>1383660.4043788519</v>
      </c>
      <c r="J176" s="253">
        <f>IFERROR((J130/SUM(J$102:J$136))*lgh_bs!L$33*J$142,0)</f>
        <v>1513475.7239314218</v>
      </c>
      <c r="K176" s="253">
        <f>IFERROR((K130/SUM(K$102:K$136))*lgh_bs!M$33*K$142,0)</f>
        <v>1780600.7246342208</v>
      </c>
      <c r="L176" s="253">
        <f>IFERROR((L130/SUM(L$102:L$136))*lgh_bs!N$33*L$142,0)</f>
        <v>2168195.6965079401</v>
      </c>
      <c r="M176" s="253">
        <f>IFERROR((M130/SUM(M$102:M$136))*lgh_bs!O$33*M$142,0)</f>
        <v>2621514.6789503149</v>
      </c>
      <c r="N176" s="253">
        <f>IFERROR((N130/SUM(N$102:N$136))*lgh_bs!P$33*N$142,0)</f>
        <v>3067684.4439666499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850042.70985904534</v>
      </c>
      <c r="D177" s="253">
        <f>IFERROR((D131/SUM(D$102:D$136))*lgh_bs!F$33*D$142,0)</f>
        <v>281915.89331637212</v>
      </c>
      <c r="E177" s="253">
        <f>IFERROR((E131/SUM(E$102:E$136))*lgh_bs!G$33*E$142,0)</f>
        <v>1006430.3359901239</v>
      </c>
      <c r="F177" s="253">
        <f>IFERROR((F131/SUM(F$102:F$136))*lgh_bs!H$33*F$142,0)</f>
        <v>957554.44205064955</v>
      </c>
      <c r="G177" s="253">
        <f>IFERROR((G131/SUM(G$102:G$136))*lgh_bs!I$33*G$142,0)</f>
        <v>990118.03732547001</v>
      </c>
      <c r="H177" s="253">
        <f>IFERROR((H131/SUM(H$102:H$136))*lgh_bs!J$33*H$142,0)</f>
        <v>1042276.0017822492</v>
      </c>
      <c r="I177" s="253">
        <f>IFERROR((I131/SUM(I$102:I$136))*lgh_bs!K$33*I$142,0)</f>
        <v>1100263.604591419</v>
      </c>
      <c r="J177" s="253">
        <f>IFERROR((J131/SUM(J$102:J$136))*lgh_bs!L$33*J$142,0)</f>
        <v>1203490.5748581707</v>
      </c>
      <c r="K177" s="253">
        <f>IFERROR((K131/SUM(K$102:K$136))*lgh_bs!M$33*K$142,0)</f>
        <v>1415903.9063516648</v>
      </c>
      <c r="L177" s="253">
        <f>IFERROR((L131/SUM(L$102:L$136))*lgh_bs!N$33*L$142,0)</f>
        <v>1724112.9434287443</v>
      </c>
      <c r="M177" s="253">
        <f>IFERROR((M131/SUM(M$102:M$136))*lgh_bs!O$33*M$142,0)</f>
        <v>2084584.6141315475</v>
      </c>
      <c r="N177" s="253">
        <f>IFERROR((N131/SUM(N$102:N$136))*lgh_bs!P$33*N$142,0)</f>
        <v>2439371.3467452875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168603.51269931477</v>
      </c>
      <c r="D178" s="253">
        <f>IFERROR((D132/SUM(D$102:D$136))*lgh_bs!F$33*D$142,0)</f>
        <v>55917.201980106867</v>
      </c>
      <c r="E178" s="253">
        <f>IFERROR((E132/SUM(E$102:E$136))*lgh_bs!G$33*E$142,0)</f>
        <v>199622.54598151217</v>
      </c>
      <c r="F178" s="253">
        <f>IFERROR((F132/SUM(F$102:F$136))*lgh_bs!H$33*F$142,0)</f>
        <v>189928.15379517016</v>
      </c>
      <c r="G178" s="253">
        <f>IFERROR((G132/SUM(G$102:G$136))*lgh_bs!I$33*G$142,0)</f>
        <v>196387.0487257131</v>
      </c>
      <c r="H178" s="253">
        <f>IFERROR((H132/SUM(H$102:H$136))*lgh_bs!J$33*H$142,0)</f>
        <v>206732.43010557012</v>
      </c>
      <c r="I178" s="253">
        <f>IFERROR((I132/SUM(I$102:I$136))*lgh_bs!K$33*I$142,0)</f>
        <v>218234.10339003359</v>
      </c>
      <c r="J178" s="253">
        <f>IFERROR((J132/SUM(J$102:J$136))*lgh_bs!L$33*J$142,0)</f>
        <v>238708.87435203389</v>
      </c>
      <c r="K178" s="253">
        <f>IFERROR((K132/SUM(K$102:K$136))*lgh_bs!M$33*K$142,0)</f>
        <v>280840.44423504098</v>
      </c>
      <c r="L178" s="253">
        <f>IFERROR((L132/SUM(L$102:L$136))*lgh_bs!N$33*L$142,0)</f>
        <v>341972.81522553606</v>
      </c>
      <c r="M178" s="253">
        <f>IFERROR((M132/SUM(M$102:M$136))*lgh_bs!O$33*M$142,0)</f>
        <v>413471.32842278632</v>
      </c>
      <c r="N178" s="253">
        <f>IFERROR((N132/SUM(N$102:N$136))*lgh_bs!P$33*N$142,0)</f>
        <v>483842.25059410668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245483.81090714133</v>
      </c>
      <c r="H179" s="253">
        <f>IFERROR((H133/SUM(H$102:H$136))*lgh_bs!J$33*H$142,0)</f>
        <v>258415.53763196259</v>
      </c>
      <c r="I179" s="253">
        <f>IFERROR((I133/SUM(I$102:I$136))*lgh_bs!K$33*I$142,0)</f>
        <v>272792.62923754193</v>
      </c>
      <c r="J179" s="253">
        <f>IFERROR((J133/SUM(J$102:J$136))*lgh_bs!L$33*J$142,0)</f>
        <v>298386.09294004232</v>
      </c>
      <c r="K179" s="253">
        <f>IFERROR((K133/SUM(K$102:K$136))*lgh_bs!M$33*K$142,0)</f>
        <v>351050.55529380124</v>
      </c>
      <c r="L179" s="253">
        <f>IFERROR((L133/SUM(L$102:L$136))*lgh_bs!N$33*L$142,0)</f>
        <v>427466.01903192006</v>
      </c>
      <c r="M179" s="253">
        <f>IFERROR((M133/SUM(M$102:M$136))*lgh_bs!O$33*M$142,0)</f>
        <v>516839.16052848287</v>
      </c>
      <c r="N179" s="253">
        <f>IFERROR((N133/SUM(N$102:N$136))*lgh_bs!P$33*N$142,0)</f>
        <v>604802.81324263336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163655.87393809427</v>
      </c>
      <c r="H182" s="253">
        <f>IFERROR((H136/SUM(H$102:H$136))*lgh_bs!J$33*H$142,0)</f>
        <v>172277.02508797511</v>
      </c>
      <c r="I182" s="253">
        <f>IFERROR((I136/SUM(I$102:I$136))*lgh_bs!K$33*I$142,0)</f>
        <v>181861.752825028</v>
      </c>
      <c r="J182" s="253">
        <f>IFERROR((J136/SUM(J$102:J$136))*lgh_bs!L$33*J$142,0)</f>
        <v>198924.06196002825</v>
      </c>
      <c r="K182" s="253">
        <f>IFERROR((K136/SUM(K$102:K$136))*lgh_bs!M$33*K$142,0)</f>
        <v>234033.70352920084</v>
      </c>
      <c r="L182" s="253">
        <f>IFERROR((L136/SUM(L$102:L$136))*lgh_bs!N$33*L$142,0)</f>
        <v>284977.3460212801</v>
      </c>
      <c r="M182" s="253">
        <f>IFERROR((M136/SUM(M$102:M$136))*lgh_bs!O$33*M$142,0)</f>
        <v>344559.44035232201</v>
      </c>
      <c r="N182" s="253">
        <f>IFERROR((N136/SUM(N$102:N$136))*lgh_bs!P$33*N$142,0)</f>
        <v>403201.87549508893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403</v>
      </c>
      <c r="B184" s="252">
        <v>43497765.475407854</v>
      </c>
      <c r="C184" s="254">
        <f t="shared" ref="C184:N184" si="22">SUM(C148:C182)</f>
        <v>49156584.9743459</v>
      </c>
      <c r="D184" s="254">
        <f t="shared" si="22"/>
        <v>13254421.851085743</v>
      </c>
      <c r="E184" s="254">
        <f t="shared" si="22"/>
        <v>15529298.399745852</v>
      </c>
      <c r="F184" s="254">
        <f t="shared" si="22"/>
        <v>14775139.552980056</v>
      </c>
      <c r="G184" s="254">
        <f t="shared" si="22"/>
        <v>15686738.046853291</v>
      </c>
      <c r="H184" s="254">
        <f t="shared" si="22"/>
        <v>16513092.374970261</v>
      </c>
      <c r="I184" s="254">
        <f t="shared" si="22"/>
        <v>17431807.417966098</v>
      </c>
      <c r="J184" s="254">
        <f t="shared" si="22"/>
        <v>19067263.374630526</v>
      </c>
      <c r="K184" s="254">
        <f t="shared" si="22"/>
        <v>22432591.712450262</v>
      </c>
      <c r="L184" s="254">
        <f t="shared" si="22"/>
        <v>27315640.244078763</v>
      </c>
      <c r="M184" s="254">
        <f t="shared" si="22"/>
        <v>33026701.408968583</v>
      </c>
      <c r="N184" s="254">
        <f t="shared" si="22"/>
        <v>38647694.388799824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233</v>
      </c>
      <c r="B185" s="252">
        <v>119773010.1849418</v>
      </c>
      <c r="C185" s="253">
        <f>+lgh_bs!E33</f>
        <v>132549931.36738586</v>
      </c>
      <c r="D185" s="253">
        <f>+lgh_bs!F33</f>
        <v>135556577.85874093</v>
      </c>
      <c r="E185" s="253">
        <f>+lgh_bs!G33</f>
        <v>159330590.70367149</v>
      </c>
      <c r="F185" s="253">
        <f>+lgh_bs!H33</f>
        <v>151592921.46411583</v>
      </c>
      <c r="G185" s="253">
        <f>+lgh_bs!I33</f>
        <v>156685791.67374054</v>
      </c>
      <c r="H185" s="253">
        <f>+lgh_bs!J33</f>
        <v>164939769.12381989</v>
      </c>
      <c r="I185" s="253">
        <f>+lgh_bs!K33</f>
        <v>174116284.56026226</v>
      </c>
      <c r="J185" s="253">
        <f>+lgh_bs!L33</f>
        <v>190451912.18100309</v>
      </c>
      <c r="K185" s="253">
        <f>+lgh_bs!M33</f>
        <v>224066238.70818901</v>
      </c>
      <c r="L185" s="253">
        <f>+lgh_bs!N33</f>
        <v>272840198.13010889</v>
      </c>
      <c r="M185" s="253">
        <f>+lgh_bs!O33</f>
        <v>329884698.8571049</v>
      </c>
      <c r="N185" s="253">
        <f>+lgh_bs!P33</f>
        <v>386029560.35774446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404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405</v>
      </c>
      <c r="B187" s="252">
        <v>43497765.475407854</v>
      </c>
      <c r="C187" s="253">
        <f t="shared" ref="C187:N187" si="24">C185*C186</f>
        <v>49156584.9743459</v>
      </c>
      <c r="D187" s="253">
        <f t="shared" si="24"/>
        <v>13254421.851085745</v>
      </c>
      <c r="E187" s="253">
        <f t="shared" si="24"/>
        <v>15529298.399745848</v>
      </c>
      <c r="F187" s="253">
        <f t="shared" si="24"/>
        <v>14775139.552980049</v>
      </c>
      <c r="G187" s="253">
        <f t="shared" si="24"/>
        <v>15686738.046853282</v>
      </c>
      <c r="H187" s="253">
        <f t="shared" si="24"/>
        <v>16513092.374970248</v>
      </c>
      <c r="I187" s="253">
        <f t="shared" si="24"/>
        <v>17431807.417966083</v>
      </c>
      <c r="J187" s="253">
        <f t="shared" si="24"/>
        <v>19067263.374630526</v>
      </c>
      <c r="K187" s="253">
        <f t="shared" si="24"/>
        <v>22432591.712450247</v>
      </c>
      <c r="L187" s="253">
        <f t="shared" si="24"/>
        <v>27315640.244078755</v>
      </c>
      <c r="M187" s="253">
        <f t="shared" si="24"/>
        <v>33026701.408968586</v>
      </c>
      <c r="N187" s="253">
        <f t="shared" si="24"/>
        <v>38647694.388799794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5" width="9.26953125" style="11" customWidth="1"/>
    <col min="46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406</v>
      </c>
      <c r="I1" s="43"/>
      <c r="J1" s="205" t="s">
        <v>406</v>
      </c>
      <c r="K1" s="43"/>
      <c r="L1" s="205" t="s">
        <v>406</v>
      </c>
      <c r="M1" s="43"/>
      <c r="N1" s="205" t="s">
        <v>406</v>
      </c>
      <c r="O1" s="43"/>
      <c r="P1" s="205" t="s">
        <v>406</v>
      </c>
      <c r="Q1" s="43"/>
      <c r="R1" s="205" t="s">
        <v>406</v>
      </c>
      <c r="S1" s="43"/>
      <c r="T1" s="205" t="s">
        <v>406</v>
      </c>
      <c r="U1" s="43"/>
      <c r="V1" s="205" t="s">
        <v>406</v>
      </c>
      <c r="W1" s="43"/>
      <c r="X1" s="205" t="s">
        <v>406</v>
      </c>
      <c r="Y1" s="43"/>
      <c r="Z1" s="205" t="s">
        <v>406</v>
      </c>
      <c r="AA1" s="43"/>
      <c r="AB1" s="205" t="s">
        <v>406</v>
      </c>
      <c r="AC1" s="43"/>
      <c r="AD1" s="205" t="s">
        <v>406</v>
      </c>
      <c r="AE1" s="43"/>
      <c r="AF1" s="205" t="s">
        <v>406</v>
      </c>
      <c r="AG1" s="43"/>
    </row>
    <row r="2" spans="1:33" s="25" customFormat="1">
      <c r="A2" s="205" t="s">
        <v>313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407</v>
      </c>
    </row>
    <row r="3" spans="1:33">
      <c r="A3" s="205" t="s">
        <v>408</v>
      </c>
      <c r="B3" s="205" t="s">
        <v>315</v>
      </c>
      <c r="C3" s="205" t="s">
        <v>316</v>
      </c>
      <c r="D3" s="205" t="s">
        <v>317</v>
      </c>
      <c r="E3" s="205" t="s">
        <v>319</v>
      </c>
      <c r="F3" s="208" t="s">
        <v>409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410</v>
      </c>
    </row>
    <row r="4" spans="1:33">
      <c r="A4" s="205" t="s">
        <v>411</v>
      </c>
      <c r="B4" s="205" t="s">
        <v>412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413</v>
      </c>
    </row>
    <row r="5" spans="1:33">
      <c r="A5" s="205" t="s">
        <v>414</v>
      </c>
      <c r="B5" s="205" t="s">
        <v>415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416</v>
      </c>
    </row>
    <row r="6" spans="1:33">
      <c r="A6" s="205" t="s">
        <v>417</v>
      </c>
      <c r="B6" s="205" t="s">
        <v>418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419</v>
      </c>
    </row>
    <row r="7" spans="1:33">
      <c r="A7" s="205" t="s">
        <v>420</v>
      </c>
      <c r="B7" s="205" t="s">
        <v>421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422</v>
      </c>
      <c r="B8" s="205" t="s">
        <v>423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424</v>
      </c>
      <c r="B9" s="205" t="s">
        <v>425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426</v>
      </c>
      <c r="B10" s="205" t="s">
        <v>427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428</v>
      </c>
      <c r="B11" s="205" t="s">
        <v>429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430</v>
      </c>
      <c r="B12" s="205" t="s">
        <v>431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432</v>
      </c>
      <c r="B13" s="205" t="s">
        <v>431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433</v>
      </c>
      <c r="B14" s="205" t="s">
        <v>431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434</v>
      </c>
      <c r="B15" s="205" t="s">
        <v>435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436</v>
      </c>
      <c r="B16" s="205" t="s">
        <v>437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438</v>
      </c>
      <c r="B17" s="205" t="s">
        <v>439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440</v>
      </c>
      <c r="B18" s="205" t="s">
        <v>439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441</v>
      </c>
      <c r="B19" s="205" t="s">
        <v>442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443</v>
      </c>
      <c r="B20" s="205" t="s">
        <v>444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445</v>
      </c>
      <c r="B21" s="205" t="s">
        <v>446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447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448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449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450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451</v>
      </c>
      <c r="B26" s="205" t="s">
        <v>452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453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454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455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379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381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137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385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386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381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388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456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381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457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4" width="9.26953125" style="11" customWidth="1"/>
    <col min="45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458</v>
      </c>
      <c r="H2" s="232"/>
      <c r="I2" s="205" t="s">
        <v>458</v>
      </c>
      <c r="J2" s="232"/>
      <c r="K2" s="205" t="s">
        <v>458</v>
      </c>
      <c r="L2" s="232"/>
      <c r="M2" s="205" t="s">
        <v>458</v>
      </c>
      <c r="N2" s="232"/>
      <c r="O2" s="205" t="s">
        <v>458</v>
      </c>
      <c r="P2" s="232"/>
      <c r="Q2" s="205" t="s">
        <v>458</v>
      </c>
      <c r="R2" s="232"/>
      <c r="S2" s="205" t="s">
        <v>458</v>
      </c>
      <c r="T2" s="232"/>
      <c r="U2" s="205" t="s">
        <v>458</v>
      </c>
      <c r="V2" s="232"/>
      <c r="W2" s="205" t="s">
        <v>458</v>
      </c>
      <c r="X2" s="43"/>
      <c r="Y2" s="205" t="s">
        <v>458</v>
      </c>
      <c r="Z2" s="43"/>
      <c r="AA2" s="205" t="s">
        <v>458</v>
      </c>
      <c r="AB2" s="43"/>
      <c r="AC2" s="205" t="s">
        <v>458</v>
      </c>
      <c r="AD2" s="43"/>
      <c r="AE2" s="205" t="s">
        <v>458</v>
      </c>
      <c r="AF2" s="43"/>
    </row>
    <row r="3" spans="1:32" s="25" customFormat="1">
      <c r="A3" s="205" t="s">
        <v>313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407</v>
      </c>
    </row>
    <row r="4" spans="1:32">
      <c r="A4" s="205" t="s">
        <v>459</v>
      </c>
      <c r="B4" s="205" t="s">
        <v>460</v>
      </c>
      <c r="C4" s="205" t="s">
        <v>316</v>
      </c>
      <c r="D4" s="205" t="s">
        <v>317</v>
      </c>
      <c r="E4" s="205" t="s">
        <v>319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410</v>
      </c>
    </row>
    <row r="5" spans="1:32">
      <c r="A5" s="205" t="s">
        <v>461</v>
      </c>
      <c r="B5" s="205" t="s">
        <v>462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463</v>
      </c>
      <c r="B6" s="205" t="s">
        <v>464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465</v>
      </c>
      <c r="B7" s="205" t="s">
        <v>466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467</v>
      </c>
      <c r="B8" s="205" t="s">
        <v>468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469</v>
      </c>
      <c r="B9" s="205" t="s">
        <v>470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471</v>
      </c>
      <c r="B10" s="205" t="s">
        <v>472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473</v>
      </c>
      <c r="B11" s="205" t="s">
        <v>474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475</v>
      </c>
      <c r="B12" s="205" t="s">
        <v>476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477</v>
      </c>
      <c r="B13" s="267" t="s">
        <v>478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479</v>
      </c>
      <c r="B14" s="205" t="s">
        <v>480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481</v>
      </c>
      <c r="B15" s="205" t="s">
        <v>482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483</v>
      </c>
      <c r="B16" s="205" t="s">
        <v>484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485</v>
      </c>
      <c r="B17" s="205" t="s">
        <v>486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487</v>
      </c>
      <c r="B18" s="205" t="s">
        <v>488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489</v>
      </c>
      <c r="B19" s="205" t="s">
        <v>490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491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491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492</v>
      </c>
      <c r="B22" s="46" t="s">
        <v>491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137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382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385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386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493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388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456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381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457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494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495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496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2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498</v>
      </c>
      <c r="P3" s="43"/>
      <c r="Q3" s="43"/>
      <c r="R3" s="43"/>
      <c r="S3" s="43"/>
      <c r="T3" s="43"/>
    </row>
    <row r="4" spans="1:20" s="37" customFormat="1">
      <c r="A4" s="67" t="s">
        <v>499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500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501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502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503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504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505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506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507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508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509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256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510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154</v>
      </c>
      <c r="B23" s="68">
        <v>-1540999</v>
      </c>
      <c r="C23" s="50">
        <f t="shared" ref="C23:N23" si="2">-(C43-B43)</f>
        <v>-530378.98434210522</v>
      </c>
      <c r="D23" s="50">
        <f t="shared" si="2"/>
        <v>-456226.98434210522</v>
      </c>
      <c r="E23" s="50">
        <f t="shared" si="2"/>
        <v>-205774.03697368409</v>
      </c>
      <c r="F23" s="50">
        <f t="shared" si="2"/>
        <v>1094579.5419736844</v>
      </c>
      <c r="G23" s="50">
        <f t="shared" si="2"/>
        <v>97800.463684210088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258</v>
      </c>
      <c r="B24" s="68">
        <v>-1540999</v>
      </c>
      <c r="C24" s="136">
        <f t="shared" ref="C24:N24" si="3">SUM(C19:C23)</f>
        <v>-530378.98434210522</v>
      </c>
      <c r="D24" s="136">
        <f t="shared" si="3"/>
        <v>-456226.98434210522</v>
      </c>
      <c r="E24" s="136">
        <f t="shared" si="3"/>
        <v>-505774.03697368409</v>
      </c>
      <c r="F24" s="136">
        <f t="shared" si="3"/>
        <v>1094579.5419736844</v>
      </c>
      <c r="G24" s="136">
        <f t="shared" si="3"/>
        <v>97800.463684210088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502</v>
      </c>
      <c r="B26" s="140">
        <v>-1540999</v>
      </c>
      <c r="C26" s="141">
        <f t="shared" ref="C26:N26" si="4">C24+C16+C8</f>
        <v>-530378.98434210522</v>
      </c>
      <c r="D26" s="141">
        <f t="shared" si="4"/>
        <v>835605.01565789478</v>
      </c>
      <c r="E26" s="141">
        <f t="shared" si="4"/>
        <v>1194225.9630263159</v>
      </c>
      <c r="F26" s="141">
        <f t="shared" si="4"/>
        <v>1094579.5419736844</v>
      </c>
      <c r="G26" s="141">
        <f t="shared" si="4"/>
        <v>97800.463684210088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511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512</v>
      </c>
      <c r="P29" s="43"/>
      <c r="Q29" s="43"/>
      <c r="R29" s="43"/>
      <c r="S29" s="43"/>
      <c r="T29" s="43"/>
    </row>
    <row r="30" spans="1:20" s="37" customFormat="1">
      <c r="A30" s="67" t="s">
        <v>30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513</v>
      </c>
      <c r="P30" s="43"/>
      <c r="Q30" s="43"/>
      <c r="R30" s="43"/>
      <c r="S30" s="43"/>
      <c r="T30" s="43"/>
    </row>
    <row r="31" spans="1:20" s="37" customFormat="1">
      <c r="A31" s="67" t="s">
        <v>33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142</v>
      </c>
      <c r="P31" s="43"/>
      <c r="Q31" s="43"/>
      <c r="R31" s="43"/>
      <c r="S31" s="43"/>
      <c r="T31" s="43"/>
    </row>
    <row r="32" spans="1:20" s="37" customFormat="1">
      <c r="A32" s="67" t="s">
        <v>514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515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144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516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155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154</v>
      </c>
      <c r="B43" s="50">
        <f>registry!B106</f>
        <v>0</v>
      </c>
      <c r="C43" s="50">
        <f>registry!C106</f>
        <v>530378.98434210522</v>
      </c>
      <c r="D43" s="50">
        <f>registry!D106</f>
        <v>986605.96868421044</v>
      </c>
      <c r="E43" s="50">
        <f>registry!E106</f>
        <v>1192380.0056578945</v>
      </c>
      <c r="F43" s="50">
        <f>registry!F106</f>
        <v>97800.463684210088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156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517</v>
      </c>
      <c r="B45" s="140">
        <v>3570254</v>
      </c>
      <c r="C45" s="194">
        <f t="shared" ref="C45:N45" si="8">SUM(C39:C44)</f>
        <v>2711111.3593421052</v>
      </c>
      <c r="D45" s="194">
        <f t="shared" si="8"/>
        <v>4443815.7186842104</v>
      </c>
      <c r="E45" s="194">
        <f t="shared" si="8"/>
        <v>3209312.1306578945</v>
      </c>
      <c r="F45" s="194">
        <f t="shared" si="8"/>
        <v>2498709.9636842106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518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519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520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521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142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522</v>
      </c>
      <c r="B52" s="50">
        <f t="shared" ref="B52:N52" si="12">B51-B43</f>
        <v>10324255</v>
      </c>
      <c r="C52" s="50">
        <f t="shared" si="12"/>
        <v>2608431.1406578948</v>
      </c>
      <c r="D52" s="50">
        <f t="shared" si="12"/>
        <v>1991759.2813157896</v>
      </c>
      <c r="E52" s="50">
        <f t="shared" si="12"/>
        <v>2488040.3693421055</v>
      </c>
      <c r="F52" s="50">
        <f t="shared" si="12"/>
        <v>4191025.0363157899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523</v>
      </c>
      <c r="B53" s="54">
        <f t="shared" ref="B53:N53" si="13">B43/B51</f>
        <v>0</v>
      </c>
      <c r="C53" s="54">
        <f t="shared" si="13"/>
        <v>0.16897453596117262</v>
      </c>
      <c r="D53" s="54">
        <f t="shared" si="13"/>
        <v>0.33125754763765475</v>
      </c>
      <c r="E53" s="54">
        <f t="shared" si="13"/>
        <v>0.32397929697307865</v>
      </c>
      <c r="F53" s="54">
        <f t="shared" si="13"/>
        <v>2.2803553952990181E-2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524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2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525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29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526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527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528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529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530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531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532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190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533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534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535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536</v>
      </c>
      <c r="P4" s="69"/>
      <c r="Q4" s="111"/>
      <c r="R4" s="43"/>
      <c r="S4" s="59"/>
      <c r="T4" s="43"/>
      <c r="U4" s="43"/>
    </row>
    <row r="5" spans="1:21">
      <c r="A5" s="284" t="s">
        <v>537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538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539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540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541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542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543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544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545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546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547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548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306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549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550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551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552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553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554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555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306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502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556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557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558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559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560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561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562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563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564</v>
      </c>
      <c r="Q37" s="77">
        <v>0.03</v>
      </c>
      <c r="R37" s="43"/>
      <c r="S37" s="43"/>
      <c r="T37" s="43"/>
      <c r="U37" s="43"/>
    </row>
    <row r="38" spans="1:21">
      <c r="A38" s="56" t="s">
        <v>565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566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567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568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569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570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571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572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573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574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575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576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577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578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579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580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581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582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583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584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585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586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587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588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589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590</v>
      </c>
      <c r="C65" s="232"/>
      <c r="D65" s="303"/>
      <c r="E65" s="303"/>
      <c r="F65" s="43"/>
      <c r="G65" s="205" t="s">
        <v>591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592</v>
      </c>
      <c r="C66" s="211">
        <v>0.12</v>
      </c>
      <c r="D66" s="232"/>
      <c r="E66" s="232"/>
      <c r="F66" s="43"/>
      <c r="G66" s="205" t="s">
        <v>592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593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594</v>
      </c>
      <c r="C68" s="305">
        <v>1000000</v>
      </c>
      <c r="D68" s="303">
        <f>C68</f>
        <v>1000000</v>
      </c>
      <c r="E68" s="232"/>
      <c r="F68" s="43"/>
      <c r="G68" s="205" t="s">
        <v>595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596</v>
      </c>
      <c r="C69" s="306">
        <f>+C68*12%</f>
        <v>120000</v>
      </c>
      <c r="D69" s="232"/>
      <c r="E69" s="232"/>
      <c r="F69" s="43"/>
      <c r="G69" s="205" t="s">
        <v>597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598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598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599</v>
      </c>
      <c r="H72" s="95" t="s">
        <v>600</v>
      </c>
      <c r="I72" s="43"/>
      <c r="J72" s="95" t="s">
        <v>600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596</v>
      </c>
      <c r="C73" s="306">
        <f>C71*B75*12%</f>
        <v>79272.328767123297</v>
      </c>
      <c r="D73" s="232"/>
      <c r="E73" s="309" t="s">
        <v>601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602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603</v>
      </c>
      <c r="H78" s="95" t="s">
        <v>600</v>
      </c>
      <c r="I78" s="43"/>
      <c r="J78" s="95" t="s">
        <v>600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596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598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604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605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606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137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598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596</v>
      </c>
      <c r="C88" s="305">
        <v>121474.62838356161</v>
      </c>
      <c r="D88" s="232"/>
      <c r="E88" s="309" t="s">
        <v>607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608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609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610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611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612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613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537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539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614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615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542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616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617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618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619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620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256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621</v>
      </c>
      <c r="B20" s="50"/>
      <c r="C20" s="50"/>
      <c r="D20" s="50"/>
      <c r="E20" s="50"/>
      <c r="F20" s="50"/>
      <c r="G20" s="67" t="s">
        <v>622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623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624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625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258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502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557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558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559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626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627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564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628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629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630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631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632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633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634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635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636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637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638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233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573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639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640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641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642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583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643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644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645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646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647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648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648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587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588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649</v>
      </c>
      <c r="B66" s="333" t="s">
        <v>2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650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651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652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653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654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655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656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657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658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659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660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661</v>
      </c>
      <c r="B2" s="337"/>
      <c r="C2" s="337"/>
      <c r="D2" s="337"/>
      <c r="E2" s="278" t="s">
        <v>2</v>
      </c>
      <c r="F2" s="278" t="s">
        <v>3</v>
      </c>
      <c r="G2" s="278" t="s">
        <v>4</v>
      </c>
      <c r="H2" s="278" t="s">
        <v>5</v>
      </c>
      <c r="I2" s="278" t="s">
        <v>2</v>
      </c>
      <c r="J2" s="278" t="s">
        <v>3</v>
      </c>
      <c r="K2" s="278" t="s">
        <v>4</v>
      </c>
      <c r="L2" s="278" t="s">
        <v>5</v>
      </c>
      <c r="M2" s="278" t="s">
        <v>2</v>
      </c>
      <c r="N2" s="278" t="s">
        <v>2</v>
      </c>
      <c r="O2" s="278" t="s">
        <v>2</v>
      </c>
      <c r="P2" s="278" t="s">
        <v>2</v>
      </c>
      <c r="Q2" s="278" t="s">
        <v>2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534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662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613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663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664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537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539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614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615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542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616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617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504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544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665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666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667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306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510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668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669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670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671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672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673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674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502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557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558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559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626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675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676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677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678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679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680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681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682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564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683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684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685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686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687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688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689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690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691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573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692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574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693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694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695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696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697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580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698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699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583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700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308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701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702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703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704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705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706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707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708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709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710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711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712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713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714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715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716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285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587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588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717</v>
      </c>
      <c r="N90" s="366">
        <f>SUM(N97:N100)</f>
        <v>10847000</v>
      </c>
      <c r="O90" s="367">
        <f>+N90*(1+$B$105)^((N93-D92)/365)</f>
        <v>24292992.068343677</v>
      </c>
      <c r="P90" s="46" t="s">
        <v>718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719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720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721</v>
      </c>
      <c r="P92" s="46" t="s">
        <v>722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723</v>
      </c>
      <c r="B94" s="43"/>
      <c r="C94" s="46" t="s">
        <v>724</v>
      </c>
      <c r="D94" s="62"/>
      <c r="E94" s="96" t="s">
        <v>3</v>
      </c>
      <c r="F94" s="96" t="s">
        <v>4</v>
      </c>
      <c r="G94" s="96" t="s">
        <v>5</v>
      </c>
      <c r="H94" s="96" t="s">
        <v>2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725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726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727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728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729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730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731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732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596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733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734</v>
      </c>
      <c r="B104" s="310">
        <v>46732</v>
      </c>
      <c r="C104" s="46" t="s">
        <v>735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736</v>
      </c>
      <c r="B105" s="105">
        <v>0.22</v>
      </c>
      <c r="C105" s="46" t="s">
        <v>592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194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737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738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739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306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738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739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306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740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741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431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742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743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744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431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742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743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306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197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745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612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613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746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537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747</v>
      </c>
      <c r="P6" s="78">
        <v>0.09</v>
      </c>
      <c r="Q6" s="321"/>
      <c r="R6" s="43"/>
      <c r="S6" s="43"/>
      <c r="T6" s="43"/>
      <c r="U6" s="43"/>
    </row>
    <row r="7" spans="1:21">
      <c r="A7" s="46" t="s">
        <v>539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614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615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542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616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617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504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748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664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749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750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751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306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510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752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753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754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755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306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502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557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558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559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626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756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627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564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757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758</v>
      </c>
      <c r="Q37" s="310">
        <v>46568</v>
      </c>
      <c r="R37" s="50"/>
      <c r="S37" s="50"/>
      <c r="T37" s="50"/>
      <c r="U37" s="50"/>
    </row>
    <row r="38" spans="1:21">
      <c r="A38" s="56" t="s">
        <v>759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760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761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762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632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763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764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642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635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636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637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638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765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573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692</v>
      </c>
      <c r="P53" s="50"/>
      <c r="Q53" s="50"/>
      <c r="R53" s="50"/>
      <c r="S53" s="50"/>
      <c r="T53" s="50"/>
      <c r="U53" s="64"/>
    </row>
    <row r="54" spans="1:21">
      <c r="A54" s="56" t="s">
        <v>766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583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767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643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768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644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645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646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647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769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770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771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648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587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588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772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773</v>
      </c>
      <c r="P74" s="50"/>
      <c r="Q74" s="59"/>
      <c r="R74" s="321"/>
      <c r="S74" s="321"/>
      <c r="T74" s="321"/>
      <c r="U74" s="59"/>
    </row>
    <row r="75" spans="1:21">
      <c r="A75" s="101" t="s">
        <v>774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649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650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651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192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775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654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656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657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658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659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776</v>
      </c>
      <c r="H98" s="43"/>
      <c r="I98" s="377">
        <v>0.4</v>
      </c>
      <c r="J98" s="46" t="s">
        <v>777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778</v>
      </c>
      <c r="H99" s="43"/>
      <c r="I99" s="379">
        <f>+(1-I98)*E91</f>
        <v>90248924.318092078</v>
      </c>
      <c r="J99" s="46" t="s">
        <v>779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780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781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782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513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783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784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785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675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613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537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614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615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542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616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617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504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786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787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788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789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790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256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510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791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792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793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794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795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258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796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557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558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559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626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797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798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799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800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801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635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802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637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803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572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804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805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806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807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808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809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810</v>
      </c>
      <c r="Q47" s="381"/>
      <c r="R47" s="381"/>
      <c r="S47" s="381"/>
      <c r="T47" s="381"/>
      <c r="U47" s="381"/>
    </row>
    <row r="48" spans="1:21" ht="15" customHeight="1">
      <c r="A48" s="56" t="s">
        <v>811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553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812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813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583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767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814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585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113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815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816</v>
      </c>
      <c r="B62" s="43"/>
      <c r="C62" s="95" t="s">
        <v>592</v>
      </c>
      <c r="D62" s="95" t="s">
        <v>817</v>
      </c>
      <c r="E62" s="95" t="s">
        <v>818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819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820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737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740</v>
      </c>
      <c r="B67" s="43"/>
      <c r="C67" s="95" t="s">
        <v>592</v>
      </c>
      <c r="D67" s="95" t="s">
        <v>817</v>
      </c>
      <c r="E67" s="95" t="s">
        <v>818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821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822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737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823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675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613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537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614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615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824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542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825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616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617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504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826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827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828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828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828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256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829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510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830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831</v>
      </c>
      <c r="Q19" s="120">
        <v>5</v>
      </c>
      <c r="R19" s="43"/>
      <c r="S19" s="43"/>
      <c r="T19" s="43"/>
      <c r="U19" s="43"/>
    </row>
    <row r="20" spans="1:21">
      <c r="A20" s="46" t="s">
        <v>832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833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834</v>
      </c>
      <c r="P21" s="43"/>
      <c r="Q21" s="43"/>
      <c r="R21" s="43"/>
      <c r="S21" s="43"/>
      <c r="T21" s="43"/>
      <c r="U21" s="43"/>
    </row>
    <row r="22" spans="1:21">
      <c r="A22" s="46" t="s">
        <v>835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836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825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256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502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557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558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559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626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837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838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692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814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585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113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5"/>
  <cols>
    <col min="1" max="1" width="23.6328125" customWidth="1"/>
    <col min="2" max="2" width="4.453125" style="424" customWidth="1"/>
    <col min="3" max="3" width="19.90625" style="418" customWidth="1"/>
    <col min="4" max="4" width="7.6328125" style="424" customWidth="1"/>
    <col min="5" max="5" width="10.26953125" customWidth="1"/>
  </cols>
  <sheetData>
    <row r="1" spans="1:57" s="426" customFormat="1">
      <c r="A1" s="446"/>
      <c r="B1" s="447"/>
      <c r="C1" s="448"/>
      <c r="D1" s="447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</row>
    <row r="2" spans="1:57">
      <c r="A2" s="449" t="s">
        <v>0</v>
      </c>
      <c r="B2" s="450"/>
      <c r="C2" s="450"/>
      <c r="D2" s="450"/>
      <c r="E2" s="451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</row>
    <row r="3" spans="1:57">
      <c r="A3" s="449" t="s">
        <v>1</v>
      </c>
      <c r="B3" s="450"/>
      <c r="C3" s="450"/>
      <c r="D3" s="450"/>
      <c r="E3" s="454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</row>
    <row r="4" spans="1:57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</row>
    <row r="5" spans="1:57">
      <c r="A5" s="458" t="s">
        <v>839</v>
      </c>
      <c r="B5" s="459" t="s">
        <v>12</v>
      </c>
      <c r="C5" s="460" t="s">
        <v>840</v>
      </c>
      <c r="D5" s="461"/>
      <c r="E5" s="462">
        <v>0.03</v>
      </c>
      <c r="F5" s="463"/>
      <c r="G5" s="463"/>
      <c r="H5" s="463"/>
      <c r="I5" s="463"/>
      <c r="J5" s="463"/>
      <c r="K5" s="463"/>
      <c r="L5" s="463"/>
      <c r="M5" s="463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</row>
    <row r="6" spans="1:57">
      <c r="A6" s="446"/>
      <c r="B6" s="461"/>
      <c r="C6" s="464"/>
      <c r="D6" s="465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</row>
    <row r="7" spans="1:57">
      <c r="A7" s="458" t="s">
        <v>841</v>
      </c>
      <c r="B7" s="459" t="s">
        <v>12</v>
      </c>
      <c r="C7" s="460" t="s">
        <v>842</v>
      </c>
      <c r="D7" s="465"/>
      <c r="E7" s="466">
        <v>0.05</v>
      </c>
      <c r="F7" s="463"/>
      <c r="G7" s="463"/>
      <c r="H7" s="463"/>
      <c r="I7" s="463"/>
      <c r="J7" s="463"/>
      <c r="K7" s="463"/>
      <c r="L7" s="463"/>
      <c r="M7" s="463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</row>
    <row r="8" spans="1:57">
      <c r="A8" s="458" t="s">
        <v>843</v>
      </c>
      <c r="B8" s="459" t="s">
        <v>12</v>
      </c>
      <c r="C8" s="460" t="s">
        <v>844</v>
      </c>
      <c r="D8" s="465"/>
      <c r="E8" s="467">
        <v>0.35</v>
      </c>
      <c r="F8" s="463"/>
      <c r="G8" s="463"/>
      <c r="H8" s="463"/>
      <c r="I8" s="463"/>
      <c r="J8" s="463"/>
      <c r="K8" s="463"/>
      <c r="L8" s="463"/>
      <c r="M8" s="463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</row>
    <row r="9" spans="1:57">
      <c r="A9" s="446"/>
      <c r="B9" s="446"/>
      <c r="C9" s="446"/>
      <c r="D9" s="446"/>
      <c r="E9" s="446"/>
      <c r="F9" s="446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</row>
    <row r="10" spans="1:57">
      <c r="A10" s="446"/>
      <c r="B10" s="446"/>
      <c r="C10" s="446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</row>
    <row r="11" spans="1:57">
      <c r="A11" s="446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</row>
    <row r="12" spans="1:57">
      <c r="A12" s="446"/>
      <c r="B12" s="446"/>
      <c r="C12" s="446"/>
      <c r="D12" s="446"/>
      <c r="E12" s="446"/>
      <c r="F12" s="446"/>
      <c r="G12" s="446"/>
      <c r="H12" s="446"/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</row>
    <row r="13" spans="1:57">
      <c r="A13" s="446"/>
      <c r="B13" s="446"/>
      <c r="C13" s="446"/>
      <c r="D13" s="446"/>
      <c r="E13" s="446"/>
      <c r="F13" s="446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</row>
    <row r="14" spans="1:57">
      <c r="A14" s="446"/>
      <c r="B14" s="446"/>
      <c r="C14" s="446"/>
      <c r="D14" s="446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</row>
    <row r="15" spans="1:57">
      <c r="A15" s="446"/>
      <c r="B15" s="446"/>
      <c r="C15" s="446"/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6"/>
      <c r="O15" s="446"/>
      <c r="P15" s="446"/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</row>
    <row r="16" spans="1:57">
      <c r="A16" s="446"/>
      <c r="B16" s="446"/>
      <c r="C16" s="446"/>
      <c r="D16" s="446"/>
      <c r="E16" s="446"/>
      <c r="F16" s="446"/>
      <c r="G16" s="446"/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</row>
    <row r="17" spans="1:57">
      <c r="A17" s="446"/>
      <c r="B17" s="446"/>
      <c r="C17" s="446"/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</row>
    <row r="18" spans="1:57">
      <c r="A18" s="446"/>
      <c r="B18" s="446"/>
      <c r="C18" s="446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</row>
    <row r="19" spans="1:57">
      <c r="A19" s="446"/>
      <c r="B19" s="446"/>
      <c r="C19" s="446"/>
      <c r="D19" s="446"/>
      <c r="E19" s="446"/>
      <c r="F19" s="446"/>
      <c r="G19" s="446"/>
      <c r="H19" s="446"/>
      <c r="I19" s="446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</row>
    <row r="20" spans="1:57">
      <c r="A20" s="446"/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</row>
    <row r="21" spans="1:57">
      <c r="A21" s="446"/>
      <c r="B21" s="446"/>
      <c r="C21" s="446"/>
      <c r="D21" s="446"/>
      <c r="E21" s="446"/>
      <c r="F21" s="446"/>
      <c r="G21" s="446"/>
      <c r="H21" s="446"/>
      <c r="I21" s="446"/>
      <c r="J21" s="446"/>
      <c r="K21" s="446"/>
      <c r="L21" s="446"/>
      <c r="M21" s="446"/>
      <c r="N21" s="446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</row>
    <row r="22" spans="1:57">
      <c r="A22" s="446"/>
      <c r="B22" s="446"/>
      <c r="C22" s="446"/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</row>
    <row r="23" spans="1:57">
      <c r="A23" s="446"/>
      <c r="B23" s="446"/>
      <c r="C23" s="446"/>
      <c r="D23" s="446"/>
      <c r="E23" s="446"/>
      <c r="F23" s="446"/>
      <c r="G23" s="446"/>
      <c r="H23" s="446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</row>
    <row r="24" spans="1:57">
      <c r="A24" s="446"/>
      <c r="B24" s="446"/>
      <c r="C24" s="446"/>
      <c r="D24" s="446"/>
      <c r="E24" s="446"/>
      <c r="F24" s="446"/>
      <c r="G24" s="446"/>
      <c r="H24" s="446"/>
      <c r="I24" s="446"/>
      <c r="J24" s="446"/>
      <c r="K24" s="446"/>
      <c r="L24" s="446"/>
      <c r="M24" s="446"/>
      <c r="N24" s="446"/>
      <c r="O24" s="446"/>
      <c r="P24" s="446"/>
      <c r="Q24" s="446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</row>
    <row r="25" spans="1:57">
      <c r="A25" s="446"/>
      <c r="B25" s="446"/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</row>
    <row r="26" spans="1:57">
      <c r="A26" s="446"/>
      <c r="B26" s="446"/>
      <c r="C26" s="446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  <c r="O26" s="446"/>
      <c r="P26" s="446"/>
      <c r="Q26" s="446"/>
      <c r="R26" s="446"/>
      <c r="S26" s="446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</row>
    <row r="27" spans="1:57">
      <c r="A27" s="446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</row>
    <row r="28" spans="1:57">
      <c r="A28" s="446"/>
      <c r="B28" s="446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</row>
    <row r="29" spans="1:57">
      <c r="A29" s="446"/>
      <c r="B29" s="446"/>
      <c r="C29" s="446"/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446"/>
      <c r="O29" s="446"/>
      <c r="P29" s="446"/>
      <c r="Q29" s="446"/>
      <c r="R29" s="446"/>
      <c r="S29" s="446"/>
      <c r="T29" s="446"/>
      <c r="U29" s="446"/>
      <c r="V29" s="446"/>
      <c r="W29" s="446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</row>
    <row r="30" spans="1:57">
      <c r="A30" s="446"/>
      <c r="B30" s="446"/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</row>
    <row r="31" spans="1:57">
      <c r="A31" s="446"/>
      <c r="B31" s="446"/>
      <c r="C31" s="446"/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/>
      <c r="T31" s="446"/>
      <c r="U31" s="446"/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</row>
    <row r="32" spans="1:57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</row>
    <row r="33" spans="1:57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</row>
    <row r="34" spans="1:57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</row>
    <row r="35" spans="1:57">
      <c r="A35" s="446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</row>
    <row r="36" spans="1:57">
      <c r="A36" s="446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</row>
    <row r="37" spans="1:57">
      <c r="A37" s="446"/>
      <c r="B37" s="446"/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</row>
    <row r="38" spans="1:57">
      <c r="A38" s="446"/>
      <c r="B38" s="446"/>
      <c r="C38" s="446"/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</row>
    <row r="39" spans="1:57">
      <c r="A39" s="446"/>
      <c r="B39" s="446"/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</row>
    <row r="40" spans="1:57">
      <c r="A40" s="446"/>
      <c r="B40" s="446"/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</row>
    <row r="41" spans="1:57">
      <c r="A41" s="446"/>
      <c r="B41" s="446"/>
      <c r="C41" s="446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</row>
    <row r="42" spans="1:57">
      <c r="A42" s="446"/>
      <c r="B42" s="446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</row>
    <row r="43" spans="1:57">
      <c r="A43" s="446"/>
      <c r="B43" s="446"/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</row>
    <row r="44" spans="1:57">
      <c r="A44" s="446"/>
      <c r="B44" s="446"/>
      <c r="C44" s="446"/>
      <c r="D44" s="446"/>
      <c r="E44" s="446"/>
      <c r="F44" s="446"/>
      <c r="G44" s="446"/>
      <c r="H44" s="446"/>
      <c r="I44" s="446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</row>
    <row r="45" spans="1:57">
      <c r="A45" s="446"/>
      <c r="B45" s="446"/>
      <c r="C45" s="446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</row>
    <row r="46" spans="1:57">
      <c r="A46" s="446"/>
      <c r="B46" s="446"/>
      <c r="C46" s="446"/>
      <c r="D46" s="446"/>
      <c r="E46" s="446"/>
      <c r="F46" s="446"/>
      <c r="G46" s="446"/>
      <c r="H46" s="446"/>
      <c r="I46" s="446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</row>
    <row r="47" spans="1:57">
      <c r="A47" s="446"/>
      <c r="B47" s="446"/>
      <c r="C47" s="446"/>
      <c r="D47" s="446"/>
      <c r="E47" s="446"/>
      <c r="F47" s="446"/>
      <c r="G47" s="446"/>
      <c r="H47" s="446"/>
      <c r="I47" s="446"/>
      <c r="J47" s="446"/>
      <c r="K47" s="446"/>
      <c r="L47" s="446"/>
      <c r="M47" s="446"/>
      <c r="N47" s="446"/>
      <c r="O47" s="446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</row>
    <row r="48" spans="1:57">
      <c r="A48" s="446"/>
      <c r="B48" s="446"/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</row>
    <row r="49" spans="1:57">
      <c r="A49" s="446"/>
      <c r="B49" s="446"/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</row>
    <row r="50" spans="1:57">
      <c r="A50" s="446"/>
      <c r="B50" s="446"/>
      <c r="C50" s="446"/>
      <c r="D50" s="446"/>
      <c r="E50" s="446"/>
      <c r="F50" s="446"/>
      <c r="G50" s="446"/>
      <c r="H50" s="446"/>
      <c r="I50" s="446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</row>
    <row r="51" spans="1:57">
      <c r="A51" s="446"/>
      <c r="B51" s="446"/>
      <c r="C51" s="446"/>
      <c r="D51" s="446"/>
      <c r="E51" s="446"/>
      <c r="F51" s="446"/>
      <c r="G51" s="446"/>
      <c r="H51" s="446"/>
      <c r="I51" s="446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</row>
    <row r="52" spans="1:57">
      <c r="A52" s="446"/>
      <c r="B52" s="446"/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</row>
    <row r="53" spans="1:57">
      <c r="A53" s="446"/>
      <c r="B53" s="446"/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</row>
    <row r="54" spans="1:57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</row>
    <row r="55" spans="1:57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</row>
    <row r="56" spans="1:57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</row>
    <row r="57" spans="1:57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</row>
    <row r="58" spans="1:57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</row>
    <row r="59" spans="1:57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</row>
    <row r="60" spans="1:57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</row>
    <row r="61" spans="1:57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</row>
    <row r="62" spans="1:57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</row>
    <row r="63" spans="1:57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</row>
    <row r="64" spans="1:57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</row>
    <row r="65" spans="1:57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</row>
    <row r="66" spans="1:57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</row>
    <row r="67" spans="1:57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</row>
    <row r="68" spans="1:57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</row>
    <row r="69" spans="1:57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</row>
    <row r="70" spans="1:57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</row>
    <row r="71" spans="1:57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</row>
    <row r="72" spans="1:57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</row>
    <row r="73" spans="1:57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</row>
    <row r="74" spans="1:57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</row>
    <row r="75" spans="1:57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</row>
    <row r="76" spans="1:57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</row>
    <row r="77" spans="1:57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</row>
    <row r="78" spans="1:57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</row>
    <row r="79" spans="1:57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</row>
    <row r="80" spans="1:57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</row>
    <row r="81" spans="1:57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</row>
    <row r="82" spans="1:57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</row>
    <row r="83" spans="1:57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</row>
    <row r="84" spans="1:57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</row>
    <row r="85" spans="1:57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</row>
    <row r="86" spans="1:57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</row>
    <row r="87" spans="1:57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</row>
    <row r="88" spans="1:57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</row>
    <row r="89" spans="1:57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</row>
    <row r="90" spans="1:57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</row>
    <row r="91" spans="1:57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</row>
    <row r="92" spans="1:57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</row>
    <row r="93" spans="1:57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</row>
    <row r="94" spans="1:57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</row>
    <row r="95" spans="1:57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</row>
    <row r="96" spans="1:57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</row>
    <row r="97" spans="1:57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</row>
    <row r="98" spans="1:57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</row>
    <row r="99" spans="1:57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</row>
    <row r="100" spans="1:57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</row>
    <row r="101" spans="1:57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</row>
    <row r="102" spans="1:57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</row>
    <row r="103" spans="1:57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</row>
    <row r="104" spans="1:57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</row>
    <row r="105" spans="1:57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</row>
    <row r="106" spans="1:57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</row>
    <row r="107" spans="1:57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</row>
    <row r="108" spans="1:57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</row>
    <row r="109" spans="1:57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</row>
    <row r="110" spans="1:57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</row>
    <row r="111" spans="1:57">
      <c r="A111" s="446"/>
      <c r="B111" s="446"/>
      <c r="C111" s="446"/>
      <c r="D111" s="446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</row>
    <row r="112" spans="1:57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</row>
    <row r="113" spans="1:57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</row>
    <row r="114" spans="1:57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</row>
    <row r="115" spans="1:57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</row>
    <row r="116" spans="1:57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</row>
    <row r="117" spans="1:57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</row>
    <row r="118" spans="1:57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</row>
    <row r="119" spans="1:57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</row>
    <row r="120" spans="1:57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</row>
    <row r="121" spans="1:57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</row>
    <row r="122" spans="1:57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</row>
    <row r="123" spans="1:57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</row>
    <row r="124" spans="1:57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</row>
    <row r="125" spans="1:57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</row>
    <row r="126" spans="1:57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</row>
    <row r="127" spans="1:57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</row>
    <row r="128" spans="1:57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</row>
    <row r="129" spans="1:57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</row>
    <row r="130" spans="1:57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</row>
    <row r="131" spans="1:57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</row>
    <row r="132" spans="1:57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</row>
    <row r="133" spans="1:57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</row>
    <row r="134" spans="1:57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</row>
    <row r="135" spans="1:57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</row>
    <row r="136" spans="1:57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</row>
    <row r="137" spans="1:57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</row>
    <row r="138" spans="1:57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</row>
    <row r="139" spans="1:57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</row>
    <row r="140" spans="1:57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</row>
    <row r="141" spans="1:57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</row>
    <row r="142" spans="1:57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</row>
    <row r="143" spans="1:57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</row>
    <row r="144" spans="1:57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</row>
    <row r="145" spans="1:57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</row>
    <row r="146" spans="1:57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</row>
    <row r="147" spans="1:57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</row>
    <row r="148" spans="1:57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  <c r="BA148" s="446"/>
      <c r="BB148" s="446"/>
      <c r="BC148" s="446"/>
      <c r="BD148" s="446"/>
      <c r="BE148" s="446"/>
    </row>
    <row r="149" spans="1:57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  <c r="BA149" s="446"/>
      <c r="BB149" s="446"/>
      <c r="BC149" s="446"/>
      <c r="BD149" s="446"/>
      <c r="BE149" s="446"/>
    </row>
    <row r="150" spans="1:57">
      <c r="A150" s="446"/>
      <c r="B150" s="468"/>
      <c r="C150" s="446"/>
      <c r="D150" s="468"/>
      <c r="E150" s="446"/>
      <c r="F150" s="446"/>
      <c r="G150" s="446"/>
      <c r="H150" s="446"/>
      <c r="I150" s="446"/>
      <c r="J150" s="446"/>
      <c r="K150" s="446"/>
      <c r="L150" s="446"/>
      <c r="M150" s="446"/>
      <c r="N150" s="446"/>
      <c r="O150" s="446"/>
      <c r="P150" s="446"/>
      <c r="Q150" s="446"/>
      <c r="R150" s="446"/>
      <c r="S150" s="446"/>
      <c r="T150" s="446"/>
      <c r="U150" s="446"/>
      <c r="V150" s="446"/>
      <c r="W150" s="446"/>
      <c r="X150" s="446"/>
      <c r="Y150" s="446"/>
      <c r="Z150" s="446"/>
      <c r="AA150" s="446"/>
      <c r="AB150" s="446"/>
      <c r="AC150" s="446"/>
      <c r="AD150" s="446"/>
      <c r="AE150" s="446"/>
      <c r="AF150" s="446"/>
      <c r="AG150" s="446"/>
      <c r="AH150" s="446"/>
      <c r="AI150" s="446"/>
      <c r="AJ150" s="446"/>
      <c r="AK150" s="446"/>
      <c r="AL150" s="446"/>
      <c r="AM150" s="446"/>
      <c r="AN150" s="446"/>
      <c r="AO150" s="446"/>
      <c r="AP150" s="446"/>
      <c r="AQ150" s="446"/>
      <c r="AR150" s="446"/>
      <c r="AS150" s="446"/>
      <c r="AT150" s="446"/>
      <c r="AU150" s="446"/>
      <c r="AV150" s="446"/>
      <c r="AW150" s="446"/>
      <c r="AX150" s="446"/>
      <c r="AY150" s="446"/>
      <c r="AZ150" s="446"/>
      <c r="BA150" s="446"/>
      <c r="BB150" s="446"/>
      <c r="BC150" s="446"/>
      <c r="BD150" s="446"/>
      <c r="BE150" s="44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I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3.26953125" style="5" bestFit="1" customWidth="1"/>
    <col min="2" max="2" width="4.453125" style="424" customWidth="1"/>
    <col min="3" max="3" width="19.90625" style="424" customWidth="1"/>
    <col min="4" max="4" width="21.54296875" style="424" customWidth="1"/>
    <col min="5" max="5" width="14.26953125" style="423" customWidth="1"/>
    <col min="6" max="9" width="11.7265625" style="636" customWidth="1"/>
    <col min="10" max="10" width="19.6328125" style="5" customWidth="1"/>
    <col min="11" max="11" width="16" style="5" customWidth="1"/>
    <col min="12" max="12" width="16.26953125" style="5" customWidth="1"/>
    <col min="13" max="13" width="16.26953125" style="5" bestFit="1" customWidth="1"/>
    <col min="14" max="15" width="14.6328125" style="5" bestFit="1" customWidth="1"/>
    <col min="16" max="16" width="16.26953125" style="5" bestFit="1" customWidth="1"/>
    <col min="17" max="17" width="15.6328125" style="5" bestFit="1" customWidth="1"/>
    <col min="18" max="18" width="17.453125" style="5" bestFit="1" customWidth="1"/>
    <col min="19" max="19" width="15.6328125" style="5" bestFit="1" customWidth="1"/>
    <col min="20" max="20" width="16.26953125" style="5" bestFit="1" customWidth="1"/>
    <col min="21" max="21" width="17.453125" style="5" bestFit="1" customWidth="1"/>
    <col min="22" max="25" width="17.453125" bestFit="1" customWidth="1"/>
    <col min="26" max="26" width="18.6328125" bestFit="1" customWidth="1"/>
    <col min="27" max="27" width="24.26953125" bestFit="1" customWidth="1"/>
    <col min="28" max="28" width="18.6328125" bestFit="1" customWidth="1"/>
    <col min="29" max="29" width="28" bestFit="1" customWidth="1"/>
    <col min="30" max="30" width="9.6328125" bestFit="1" customWidth="1"/>
    <col min="31" max="31" width="14.453125" bestFit="1" customWidth="1"/>
    <col min="32" max="32" width="13.453125" bestFit="1" customWidth="1"/>
    <col min="33" max="33" width="14.453125" bestFit="1" customWidth="1"/>
    <col min="34" max="35" width="8.453125" bestFit="1" customWidth="1"/>
    <col min="36" max="36" width="5.26953125" bestFit="1" customWidth="1"/>
    <col min="37" max="37" width="7" bestFit="1" customWidth="1"/>
    <col min="38" max="38" width="5.54296875" bestFit="1" customWidth="1"/>
    <col min="39" max="39" width="6.26953125" bestFit="1" customWidth="1"/>
    <col min="40" max="40" width="7.453125" bestFit="1" customWidth="1"/>
    <col min="41" max="41" width="7" bestFit="1" customWidth="1"/>
    <col min="42" max="42" width="5.54296875" bestFit="1" customWidth="1"/>
    <col min="43" max="43" width="10.453125" bestFit="1" customWidth="1"/>
    <col min="44" max="44" width="5.453125" bestFit="1" customWidth="1"/>
    <col min="45" max="45" width="12.26953125" bestFit="1" customWidth="1"/>
    <col min="46" max="47" width="5.453125" bestFit="1" customWidth="1"/>
    <col min="48" max="48" width="7.54296875" bestFit="1" customWidth="1"/>
    <col min="49" max="49" width="7.453125" bestFit="1" customWidth="1"/>
    <col min="50" max="50" width="7" bestFit="1" customWidth="1"/>
    <col min="51" max="51" width="5.453125" bestFit="1" customWidth="1"/>
    <col min="52" max="52" width="6.26953125" bestFit="1" customWidth="1"/>
    <col min="53" max="55" width="5.453125" bestFit="1" customWidth="1"/>
    <col min="56" max="56" width="5.54296875" bestFit="1" customWidth="1"/>
    <col min="57" max="57" width="7.453125" bestFit="1" customWidth="1"/>
    <col min="58" max="58" width="7" bestFit="1" customWidth="1"/>
    <col min="59" max="59" width="5.26953125" bestFit="1" customWidth="1"/>
    <col min="60" max="60" width="22.6328125" bestFit="1" customWidth="1"/>
  </cols>
  <sheetData>
    <row r="1" spans="1:61" ht="18.399999999999999" customHeight="1">
      <c r="A1" s="469"/>
      <c r="B1" s="469"/>
      <c r="C1" s="469"/>
      <c r="D1" s="469"/>
      <c r="E1" s="470"/>
      <c r="F1" s="446"/>
      <c r="G1" s="446"/>
      <c r="H1" s="446"/>
      <c r="I1" s="446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46"/>
      <c r="W1" s="471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</row>
    <row r="2" spans="1:61">
      <c r="A2" s="449" t="s">
        <v>0</v>
      </c>
      <c r="B2" s="450"/>
      <c r="C2" s="450"/>
      <c r="D2" s="450"/>
      <c r="E2" s="452">
        <v>45657</v>
      </c>
      <c r="F2" s="554"/>
      <c r="G2" s="554"/>
      <c r="H2" s="554"/>
      <c r="I2" s="554"/>
      <c r="J2" s="452">
        <v>45747</v>
      </c>
      <c r="K2" s="452">
        <v>45838</v>
      </c>
      <c r="L2" s="452">
        <v>45930</v>
      </c>
      <c r="M2" s="452">
        <v>46022</v>
      </c>
      <c r="N2" s="452">
        <v>46112</v>
      </c>
      <c r="O2" s="452">
        <v>46203</v>
      </c>
      <c r="P2" s="452">
        <v>46295</v>
      </c>
      <c r="Q2" s="452">
        <v>46387</v>
      </c>
      <c r="R2" s="452">
        <v>46752</v>
      </c>
      <c r="S2" s="452">
        <v>47118</v>
      </c>
      <c r="T2" s="452">
        <v>47483</v>
      </c>
      <c r="U2" s="452">
        <v>47848</v>
      </c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</row>
    <row r="3" spans="1:61">
      <c r="A3" s="449" t="s">
        <v>1</v>
      </c>
      <c r="B3" s="453"/>
      <c r="C3" s="453"/>
      <c r="D3" s="453"/>
      <c r="E3" s="455" t="s">
        <v>2</v>
      </c>
      <c r="F3" s="555"/>
      <c r="G3" s="555"/>
      <c r="H3" s="555"/>
      <c r="I3" s="555"/>
      <c r="J3" s="455" t="s">
        <v>3</v>
      </c>
      <c r="K3" s="455" t="s">
        <v>4</v>
      </c>
      <c r="L3" s="455" t="s">
        <v>5</v>
      </c>
      <c r="M3" s="455" t="s">
        <v>2</v>
      </c>
      <c r="N3" s="455" t="s">
        <v>3</v>
      </c>
      <c r="O3" s="455" t="s">
        <v>4</v>
      </c>
      <c r="P3" s="455" t="s">
        <v>5</v>
      </c>
      <c r="Q3" s="455" t="s">
        <v>2</v>
      </c>
      <c r="R3" s="455" t="s">
        <v>2</v>
      </c>
      <c r="S3" s="455" t="s">
        <v>2</v>
      </c>
      <c r="T3" s="455" t="s">
        <v>2</v>
      </c>
      <c r="U3" s="455" t="s">
        <v>2</v>
      </c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</row>
    <row r="4" spans="1:61" s="426" customFormat="1" ht="18.5" customHeight="1">
      <c r="A4" s="464"/>
      <c r="B4" s="456" t="s">
        <v>6</v>
      </c>
      <c r="C4" s="456" t="s">
        <v>7</v>
      </c>
      <c r="D4" s="456" t="s">
        <v>8</v>
      </c>
      <c r="E4" s="472"/>
      <c r="F4" s="446"/>
      <c r="G4" s="446"/>
      <c r="H4" s="446"/>
      <c r="I4" s="446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</row>
    <row r="5" spans="1:61">
      <c r="A5" s="460" t="s">
        <v>845</v>
      </c>
      <c r="B5" s="461"/>
      <c r="C5" s="461"/>
      <c r="D5" s="461"/>
      <c r="E5" s="464"/>
      <c r="F5" s="446"/>
      <c r="G5" s="446"/>
      <c r="H5" s="446"/>
      <c r="I5" s="446"/>
      <c r="J5" s="472"/>
      <c r="K5" s="472"/>
      <c r="L5" s="472"/>
      <c r="M5" s="472"/>
      <c r="N5" s="473"/>
      <c r="O5" s="473"/>
      <c r="P5" s="473"/>
      <c r="Q5" s="473"/>
      <c r="R5" s="474"/>
      <c r="S5" s="474"/>
      <c r="T5" s="474"/>
      <c r="U5" s="474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</row>
    <row r="6" spans="1:61">
      <c r="A6" s="475" t="s">
        <v>846</v>
      </c>
      <c r="B6" s="461"/>
      <c r="C6" s="465"/>
      <c r="D6" s="465"/>
      <c r="E6" s="476"/>
      <c r="F6" s="446"/>
      <c r="G6" s="446"/>
      <c r="H6" s="446"/>
      <c r="I6" s="446"/>
      <c r="J6" s="476">
        <f>'c12_hm'!J70</f>
        <v>567056.47368421056</v>
      </c>
      <c r="K6" s="476">
        <f>'c12_hm'!K70</f>
        <v>567056.47368421056</v>
      </c>
      <c r="L6" s="476">
        <f>'c12_hm'!L70</f>
        <v>567056.47368421056</v>
      </c>
      <c r="M6" s="476">
        <f>'c12_hm'!M70</f>
        <v>466916.73684210528</v>
      </c>
      <c r="N6" s="476">
        <f>'c12_hm'!N70</f>
        <v>63035.789473684214</v>
      </c>
      <c r="O6" s="476">
        <f>'c12_hm'!O70</f>
        <v>398173.6519736842</v>
      </c>
      <c r="P6" s="476">
        <f>'c12_hm'!P70</f>
        <v>400447.33618421049</v>
      </c>
      <c r="Q6" s="476">
        <f>'c12_hm'!Q70</f>
        <v>662529.63026315777</v>
      </c>
      <c r="R6" s="476">
        <f>'c12_hm'!R70</f>
        <v>1158059.7503684212</v>
      </c>
      <c r="S6" s="476">
        <f>'c12_hm'!S70</f>
        <v>1728329.2744584209</v>
      </c>
      <c r="T6" s="476">
        <f>'c12_hm'!T70</f>
        <v>2694175.9822711209</v>
      </c>
      <c r="U6" s="476">
        <f>'c12_hm'!U70</f>
        <v>2432050.7995836935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</row>
    <row r="7" spans="1:61">
      <c r="A7" s="475" t="s">
        <v>847</v>
      </c>
      <c r="B7" s="461"/>
      <c r="C7" s="465"/>
      <c r="D7" s="465"/>
      <c r="E7" s="476"/>
      <c r="F7" s="446"/>
      <c r="G7" s="446"/>
      <c r="H7" s="446"/>
      <c r="I7" s="446"/>
      <c r="J7" s="476">
        <f>'c12_bi&amp;F'!J70</f>
        <v>2804.2105263157891</v>
      </c>
      <c r="K7" s="476">
        <f>'c12_bi&amp;F'!K70</f>
        <v>2804.2105263157891</v>
      </c>
      <c r="L7" s="476">
        <f>'c12_bi&amp;F'!L70</f>
        <v>6063.1578947368416</v>
      </c>
      <c r="M7" s="476">
        <f>'c12_bi&amp;F'!M70</f>
        <v>8113.8157894736842</v>
      </c>
      <c r="N7" s="476">
        <f>'c12_bi&amp;F'!N70</f>
        <v>16714.736842105263</v>
      </c>
      <c r="O7" s="476">
        <f>'c12_bi&amp;F'!O70</f>
        <v>16714.736842105263</v>
      </c>
      <c r="P7" s="476">
        <f>'c12_bi&amp;F'!P70</f>
        <v>22398.947368421053</v>
      </c>
      <c r="Q7" s="476">
        <f>'c12_bi&amp;F'!Q70</f>
        <v>27047.105263157893</v>
      </c>
      <c r="R7" s="476">
        <f>'c12_bi&amp;F'!R70</f>
        <v>105837.63157894737</v>
      </c>
      <c r="S7" s="476">
        <f>'c12_bi&amp;F'!S70</f>
        <v>137337.63157894736</v>
      </c>
      <c r="T7" s="476">
        <f>'c12_bi&amp;F'!T70</f>
        <v>137337.63157894736</v>
      </c>
      <c r="U7" s="476">
        <f>'c12_bi&amp;F'!U70</f>
        <v>137337.63157894736</v>
      </c>
      <c r="V7" s="446"/>
      <c r="W7" s="471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</row>
    <row r="8" spans="1:61">
      <c r="A8" s="475" t="s">
        <v>848</v>
      </c>
      <c r="B8" s="461"/>
      <c r="C8" s="465"/>
      <c r="D8" s="465"/>
      <c r="E8" s="476"/>
      <c r="F8" s="446"/>
      <c r="G8" s="446"/>
      <c r="H8" s="446"/>
      <c r="I8" s="446"/>
      <c r="J8" s="476">
        <f>'c12_d&amp;s'!J70</f>
        <v>68839.328947368427</v>
      </c>
      <c r="K8" s="476">
        <f>'c12_d&amp;s'!K70</f>
        <v>68839.328947368427</v>
      </c>
      <c r="L8" s="476">
        <f>'c12_d&amp;s'!L70</f>
        <v>354039.32894736843</v>
      </c>
      <c r="M8" s="476">
        <f>'c12_d&amp;s'!M70</f>
        <v>462139.98684210528</v>
      </c>
      <c r="N8" s="476">
        <f>'c12_d&amp;s'!N70</f>
        <v>806580.95035087725</v>
      </c>
      <c r="O8" s="476">
        <f>'c12_d&amp;s'!O70</f>
        <v>1015405.0903508773</v>
      </c>
      <c r="P8" s="476">
        <f>'c12_d&amp;s'!P70</f>
        <v>935314.59035087726</v>
      </c>
      <c r="Q8" s="476">
        <f>'c12_d&amp;s'!Q70</f>
        <v>2208920.6166666662</v>
      </c>
      <c r="R8" s="476">
        <f>'c12_d&amp;s'!R70</f>
        <v>3652224.3497192976</v>
      </c>
      <c r="S8" s="476">
        <f>'c12_d&amp;s'!S70</f>
        <v>2410340.1441059648</v>
      </c>
      <c r="T8" s="476">
        <f>'c12_d&amp;s'!T70</f>
        <v>1422418.8082975647</v>
      </c>
      <c r="U8" s="476">
        <f>'c12_d&amp;s'!U70</f>
        <v>1408540.132414913</v>
      </c>
      <c r="V8" s="446"/>
      <c r="W8" s="471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</row>
    <row r="9" spans="1:61" ht="15" thickBot="1">
      <c r="A9" s="465"/>
      <c r="B9" s="461"/>
      <c r="C9" s="465"/>
      <c r="D9" s="465"/>
      <c r="E9" s="476"/>
      <c r="F9" s="446"/>
      <c r="G9" s="446"/>
      <c r="H9" s="446"/>
      <c r="I9" s="44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46"/>
      <c r="W9" s="471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</row>
    <row r="10" spans="1:61" s="417" customFormat="1" ht="14.65" customHeight="1" thickTop="1" thickBot="1">
      <c r="A10" s="477" t="s">
        <v>849</v>
      </c>
      <c r="B10" s="459" t="s">
        <v>36</v>
      </c>
      <c r="C10" s="459" t="s">
        <v>850</v>
      </c>
      <c r="D10" s="461"/>
      <c r="E10" s="478">
        <v>2452451</v>
      </c>
      <c r="F10" s="540"/>
      <c r="G10" s="540"/>
      <c r="H10" s="540"/>
      <c r="I10" s="540"/>
      <c r="J10" s="479">
        <f t="shared" ref="J10:U10" si="0">SUM(J6:J9)</f>
        <v>638700.01315789483</v>
      </c>
      <c r="K10" s="479">
        <f t="shared" si="0"/>
        <v>638700.01315789483</v>
      </c>
      <c r="L10" s="479">
        <f t="shared" si="0"/>
        <v>927158.96052631584</v>
      </c>
      <c r="M10" s="479">
        <f t="shared" si="0"/>
        <v>937170.53947368427</v>
      </c>
      <c r="N10" s="479">
        <f t="shared" si="0"/>
        <v>886331.47666666668</v>
      </c>
      <c r="O10" s="479">
        <f t="shared" si="0"/>
        <v>1430293.4791666667</v>
      </c>
      <c r="P10" s="479">
        <f t="shared" si="0"/>
        <v>1358160.8739035088</v>
      </c>
      <c r="Q10" s="479">
        <f t="shared" si="0"/>
        <v>2898497.3521929821</v>
      </c>
      <c r="R10" s="480">
        <f t="shared" si="0"/>
        <v>4916121.7316666665</v>
      </c>
      <c r="S10" s="480">
        <f t="shared" si="0"/>
        <v>4276007.0501433332</v>
      </c>
      <c r="T10" s="480">
        <f t="shared" si="0"/>
        <v>4253932.4221476335</v>
      </c>
      <c r="U10" s="480">
        <f t="shared" si="0"/>
        <v>3977928.5635775542</v>
      </c>
      <c r="V10" s="458" t="s">
        <v>851</v>
      </c>
      <c r="W10" s="471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</row>
    <row r="11" spans="1:61" s="28" customFormat="1" ht="15" customHeight="1" thickTop="1">
      <c r="A11" s="473"/>
      <c r="B11" s="461"/>
      <c r="C11" s="461"/>
      <c r="D11" s="461"/>
      <c r="E11" s="464"/>
      <c r="F11" s="446"/>
      <c r="G11" s="446"/>
      <c r="H11" s="446"/>
      <c r="I11" s="446"/>
      <c r="J11" s="476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46"/>
      <c r="W11" s="471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</row>
    <row r="12" spans="1:61" s="30" customFormat="1" ht="15" customHeight="1">
      <c r="A12" s="458" t="s">
        <v>852</v>
      </c>
      <c r="B12" s="481" t="s">
        <v>12</v>
      </c>
      <c r="C12" s="481" t="s">
        <v>853</v>
      </c>
      <c r="D12" s="481" t="s">
        <v>854</v>
      </c>
      <c r="E12" s="482"/>
      <c r="F12" s="624"/>
      <c r="G12" s="624"/>
      <c r="H12" s="624"/>
      <c r="I12" s="624"/>
      <c r="J12" s="483"/>
      <c r="K12" s="483"/>
      <c r="L12" s="483"/>
      <c r="M12" s="483"/>
      <c r="N12" s="484"/>
      <c r="O12" s="485"/>
      <c r="P12" s="484"/>
      <c r="Q12" s="484"/>
      <c r="R12" s="482">
        <v>0</v>
      </c>
      <c r="S12" s="471"/>
      <c r="T12" s="471"/>
      <c r="U12" s="471"/>
      <c r="V12" s="458" t="s">
        <v>855</v>
      </c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</row>
    <row r="13" spans="1:61" s="30" customFormat="1" ht="15" customHeight="1">
      <c r="A13" s="458" t="s">
        <v>856</v>
      </c>
      <c r="B13" s="481" t="s">
        <v>12</v>
      </c>
      <c r="C13" s="481" t="s">
        <v>853</v>
      </c>
      <c r="D13" s="481" t="s">
        <v>857</v>
      </c>
      <c r="E13" s="482"/>
      <c r="F13" s="624"/>
      <c r="G13" s="624"/>
      <c r="H13" s="624"/>
      <c r="I13" s="624"/>
      <c r="J13" s="483"/>
      <c r="K13" s="483"/>
      <c r="L13" s="484"/>
      <c r="M13" s="484"/>
      <c r="N13" s="483"/>
      <c r="O13" s="484">
        <v>100000</v>
      </c>
      <c r="P13" s="484">
        <v>100000</v>
      </c>
      <c r="Q13" s="484"/>
      <c r="R13" s="482">
        <v>100000</v>
      </c>
      <c r="S13" s="471"/>
      <c r="T13" s="471"/>
      <c r="U13" s="482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</row>
    <row r="14" spans="1:61" s="30" customFormat="1">
      <c r="A14" s="458" t="s">
        <v>858</v>
      </c>
      <c r="B14" s="481" t="s">
        <v>12</v>
      </c>
      <c r="C14" s="481" t="s">
        <v>853</v>
      </c>
      <c r="D14" s="481" t="s">
        <v>859</v>
      </c>
      <c r="E14" s="482"/>
      <c r="F14" s="446"/>
      <c r="G14" s="446"/>
      <c r="H14" s="446"/>
      <c r="I14" s="446"/>
      <c r="J14" s="483"/>
      <c r="K14" s="483"/>
      <c r="L14" s="484"/>
      <c r="M14" s="484"/>
      <c r="N14" s="484"/>
      <c r="O14" s="484">
        <v>100000</v>
      </c>
      <c r="P14" s="483"/>
      <c r="Q14" s="483"/>
      <c r="R14" s="471"/>
      <c r="S14" s="471"/>
      <c r="T14" s="471"/>
      <c r="U14" s="471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</row>
    <row r="15" spans="1:61" s="30" customFormat="1">
      <c r="A15" s="458" t="s">
        <v>860</v>
      </c>
      <c r="B15" s="481" t="s">
        <v>12</v>
      </c>
      <c r="C15" s="481" t="s">
        <v>853</v>
      </c>
      <c r="D15" s="481" t="s">
        <v>861</v>
      </c>
      <c r="E15" s="482"/>
      <c r="F15" s="446"/>
      <c r="G15" s="446"/>
      <c r="H15" s="446"/>
      <c r="I15" s="446"/>
      <c r="J15" s="483"/>
      <c r="K15" s="483"/>
      <c r="L15" s="483"/>
      <c r="M15" s="483"/>
      <c r="N15" s="483"/>
      <c r="O15" s="483"/>
      <c r="P15" s="483"/>
      <c r="Q15" s="483"/>
      <c r="R15" s="471"/>
      <c r="S15" s="471"/>
      <c r="T15" s="471"/>
      <c r="U15" s="471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</row>
    <row r="16" spans="1:61" s="30" customFormat="1">
      <c r="A16" s="458" t="s">
        <v>862</v>
      </c>
      <c r="B16" s="481" t="s">
        <v>12</v>
      </c>
      <c r="C16" s="481" t="s">
        <v>853</v>
      </c>
      <c r="D16" s="481" t="s">
        <v>863</v>
      </c>
      <c r="E16" s="482"/>
      <c r="F16" s="446"/>
      <c r="G16" s="446"/>
      <c r="H16" s="446"/>
      <c r="I16" s="446"/>
      <c r="J16" s="483"/>
      <c r="K16" s="483"/>
      <c r="L16" s="483"/>
      <c r="M16" s="483"/>
      <c r="N16" s="484">
        <v>0</v>
      </c>
      <c r="O16" s="484">
        <v>0</v>
      </c>
      <c r="P16" s="483">
        <v>0</v>
      </c>
      <c r="Q16" s="484">
        <v>0</v>
      </c>
      <c r="R16" s="471"/>
      <c r="S16" s="471"/>
      <c r="T16" s="471"/>
      <c r="U16" s="471"/>
      <c r="V16" s="458" t="s">
        <v>864</v>
      </c>
      <c r="W16" s="471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</row>
    <row r="17" spans="1:61" s="30" customFormat="1" ht="15" customHeight="1">
      <c r="A17" s="458" t="s">
        <v>865</v>
      </c>
      <c r="B17" s="481" t="s">
        <v>12</v>
      </c>
      <c r="C17" s="481" t="s">
        <v>853</v>
      </c>
      <c r="D17" s="481" t="s">
        <v>865</v>
      </c>
      <c r="E17" s="482"/>
      <c r="F17" s="614"/>
      <c r="G17" s="614"/>
      <c r="H17" s="614"/>
      <c r="I17" s="614"/>
      <c r="J17" s="483"/>
      <c r="K17" s="483"/>
      <c r="L17" s="483"/>
      <c r="M17" s="483"/>
      <c r="N17" s="484">
        <v>0</v>
      </c>
      <c r="O17" s="484">
        <v>0</v>
      </c>
      <c r="P17" s="484">
        <v>0</v>
      </c>
      <c r="Q17" s="484">
        <v>0</v>
      </c>
      <c r="R17" s="471"/>
      <c r="S17" s="471"/>
      <c r="T17" s="471"/>
      <c r="U17" s="471"/>
      <c r="V17" s="458" t="s">
        <v>866</v>
      </c>
      <c r="W17" s="471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</row>
    <row r="18" spans="1:61" s="30" customFormat="1" ht="14.65" customHeight="1">
      <c r="A18" s="486" t="s">
        <v>306</v>
      </c>
      <c r="B18" s="481" t="s">
        <v>36</v>
      </c>
      <c r="C18" s="481" t="s">
        <v>867</v>
      </c>
      <c r="D18" s="468"/>
      <c r="E18" s="482"/>
      <c r="F18" s="614"/>
      <c r="G18" s="614"/>
      <c r="H18" s="614"/>
      <c r="I18" s="614"/>
      <c r="J18" s="487">
        <f t="shared" ref="J18:U18" si="1">SUM(J12:J17)</f>
        <v>0</v>
      </c>
      <c r="K18" s="487">
        <f t="shared" si="1"/>
        <v>0</v>
      </c>
      <c r="L18" s="487">
        <f t="shared" si="1"/>
        <v>0</v>
      </c>
      <c r="M18" s="487">
        <f t="shared" si="1"/>
        <v>0</v>
      </c>
      <c r="N18" s="487">
        <f t="shared" si="1"/>
        <v>0</v>
      </c>
      <c r="O18" s="487">
        <f t="shared" si="1"/>
        <v>200000</v>
      </c>
      <c r="P18" s="487">
        <f t="shared" si="1"/>
        <v>100000</v>
      </c>
      <c r="Q18" s="487">
        <f t="shared" si="1"/>
        <v>0</v>
      </c>
      <c r="R18" s="482">
        <f t="shared" si="1"/>
        <v>100000</v>
      </c>
      <c r="S18" s="482">
        <f t="shared" si="1"/>
        <v>0</v>
      </c>
      <c r="T18" s="482">
        <f t="shared" si="1"/>
        <v>0</v>
      </c>
      <c r="U18" s="482">
        <f t="shared" si="1"/>
        <v>0</v>
      </c>
      <c r="V18" s="446"/>
      <c r="W18" s="471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</row>
    <row r="19" spans="1:61" s="8" customFormat="1">
      <c r="A19" s="488"/>
      <c r="B19" s="489"/>
      <c r="C19" s="490"/>
      <c r="D19" s="490"/>
      <c r="E19" s="476"/>
      <c r="F19" s="540"/>
      <c r="G19" s="540"/>
      <c r="H19" s="540"/>
      <c r="I19" s="540"/>
      <c r="J19" s="476"/>
      <c r="K19" s="476"/>
      <c r="L19" s="476"/>
      <c r="M19" s="476"/>
      <c r="N19" s="476"/>
      <c r="O19" s="476"/>
      <c r="P19" s="476"/>
      <c r="Q19" s="476"/>
      <c r="R19" s="476"/>
      <c r="S19" s="476"/>
      <c r="T19" s="476"/>
      <c r="U19" s="476"/>
      <c r="V19" s="446"/>
      <c r="W19" s="471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</row>
    <row r="20" spans="1:61">
      <c r="A20" s="460" t="s">
        <v>868</v>
      </c>
      <c r="B20" s="461"/>
      <c r="C20" s="461"/>
      <c r="D20" s="461"/>
      <c r="E20" s="476"/>
      <c r="F20" s="446"/>
      <c r="G20" s="446"/>
      <c r="H20" s="446"/>
      <c r="I20" s="446"/>
      <c r="J20" s="476">
        <f t="shared" ref="J20:U20" si="2">-J40</f>
        <v>1262185</v>
      </c>
      <c r="K20" s="476">
        <f t="shared" si="2"/>
        <v>1358476</v>
      </c>
      <c r="L20" s="476">
        <f t="shared" si="2"/>
        <v>1319123</v>
      </c>
      <c r="M20" s="476">
        <f t="shared" si="2"/>
        <v>2542272</v>
      </c>
      <c r="N20" s="476">
        <f t="shared" si="2"/>
        <v>4047806</v>
      </c>
      <c r="O20" s="476">
        <f t="shared" si="2"/>
        <v>4448476</v>
      </c>
      <c r="P20" s="476">
        <f t="shared" si="2"/>
        <v>2825676</v>
      </c>
      <c r="Q20" s="476">
        <f t="shared" si="2"/>
        <v>4921862.25</v>
      </c>
      <c r="R20" s="476">
        <f t="shared" si="2"/>
        <v>11990350.510000002</v>
      </c>
      <c r="S20" s="476">
        <f t="shared" si="2"/>
        <v>11692833.475299999</v>
      </c>
      <c r="T20" s="476">
        <f t="shared" si="2"/>
        <v>12043618.479559001</v>
      </c>
      <c r="U20" s="476">
        <f t="shared" si="2"/>
        <v>12404927.033945773</v>
      </c>
      <c r="V20" s="446"/>
      <c r="W20" s="471"/>
      <c r="X20" s="446"/>
      <c r="Y20" s="491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</row>
    <row r="21" spans="1:61">
      <c r="A21" s="464"/>
      <c r="B21" s="461"/>
      <c r="C21" s="461"/>
      <c r="D21" s="461"/>
      <c r="E21" s="476"/>
      <c r="F21" s="491"/>
      <c r="G21" s="491"/>
      <c r="H21" s="491"/>
      <c r="I21" s="491"/>
      <c r="J21" s="476"/>
      <c r="K21" s="476"/>
      <c r="L21" s="476"/>
      <c r="M21" s="476"/>
      <c r="N21" s="476"/>
      <c r="O21" s="476"/>
      <c r="P21" s="476"/>
      <c r="Q21" s="476"/>
      <c r="R21" s="476"/>
      <c r="S21" s="476"/>
      <c r="T21" s="476"/>
      <c r="U21" s="476"/>
      <c r="V21" s="446"/>
      <c r="W21" s="471"/>
      <c r="X21" s="446"/>
      <c r="Y21" s="491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</row>
    <row r="22" spans="1:61">
      <c r="A22" s="460" t="s">
        <v>869</v>
      </c>
      <c r="B22" s="461"/>
      <c r="C22" s="461"/>
      <c r="D22" s="461"/>
      <c r="E22" s="476"/>
      <c r="F22" s="540"/>
      <c r="G22" s="540"/>
      <c r="H22" s="540"/>
      <c r="I22" s="540"/>
      <c r="J22" s="476">
        <f t="shared" ref="J22:U22" si="3">J20+J10</f>
        <v>1900885.0131578948</v>
      </c>
      <c r="K22" s="476">
        <f t="shared" si="3"/>
        <v>1997176.0131578948</v>
      </c>
      <c r="L22" s="476">
        <f t="shared" si="3"/>
        <v>2246281.960526316</v>
      </c>
      <c r="M22" s="476">
        <f t="shared" si="3"/>
        <v>3479442.5394736845</v>
      </c>
      <c r="N22" s="476">
        <f t="shared" si="3"/>
        <v>4934137.4766666666</v>
      </c>
      <c r="O22" s="476">
        <f t="shared" si="3"/>
        <v>5878769.479166667</v>
      </c>
      <c r="P22" s="476">
        <f t="shared" si="3"/>
        <v>4183836.8739035088</v>
      </c>
      <c r="Q22" s="476">
        <f t="shared" si="3"/>
        <v>7820359.6021929821</v>
      </c>
      <c r="R22" s="476">
        <f t="shared" si="3"/>
        <v>16906472.241666667</v>
      </c>
      <c r="S22" s="476">
        <f t="shared" si="3"/>
        <v>15968840.525443332</v>
      </c>
      <c r="T22" s="476">
        <f t="shared" si="3"/>
        <v>16297550.901706634</v>
      </c>
      <c r="U22" s="476">
        <f t="shared" si="3"/>
        <v>16382855.597523328</v>
      </c>
      <c r="V22" s="446"/>
      <c r="W22" s="471"/>
      <c r="X22" s="446"/>
      <c r="Y22" s="491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</row>
    <row r="23" spans="1:61">
      <c r="A23" s="464"/>
      <c r="B23" s="461"/>
      <c r="C23" s="461"/>
      <c r="D23" s="461"/>
      <c r="E23" s="476"/>
      <c r="F23" s="540"/>
      <c r="G23" s="540"/>
      <c r="H23" s="540"/>
      <c r="I23" s="540"/>
      <c r="J23" s="476"/>
      <c r="K23" s="476"/>
      <c r="L23" s="476"/>
      <c r="M23" s="476"/>
      <c r="N23" s="476"/>
      <c r="O23" s="476"/>
      <c r="P23" s="476"/>
      <c r="Q23" s="476"/>
      <c r="R23" s="476"/>
      <c r="S23" s="476"/>
      <c r="T23" s="476"/>
      <c r="U23" s="476"/>
      <c r="V23" s="446"/>
      <c r="W23" s="471"/>
      <c r="X23" s="446"/>
      <c r="Y23" s="491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</row>
    <row r="24" spans="1:61">
      <c r="A24" s="460" t="s">
        <v>870</v>
      </c>
      <c r="B24" s="461"/>
      <c r="C24" s="461"/>
      <c r="D24" s="461"/>
      <c r="E24" s="476"/>
      <c r="F24" s="540"/>
      <c r="G24" s="540"/>
      <c r="H24" s="540"/>
      <c r="I24" s="540"/>
      <c r="J24" s="476"/>
      <c r="K24" s="476"/>
      <c r="L24" s="476"/>
      <c r="M24" s="476"/>
      <c r="N24" s="476"/>
      <c r="O24" s="476"/>
      <c r="P24" s="476"/>
      <c r="Q24" s="476"/>
      <c r="R24" s="476"/>
      <c r="S24" s="476"/>
      <c r="T24" s="476"/>
      <c r="U24" s="476"/>
      <c r="V24" s="446"/>
      <c r="W24" s="471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</row>
    <row r="25" spans="1:61">
      <c r="A25" s="475" t="s">
        <v>871</v>
      </c>
      <c r="B25" s="461"/>
      <c r="C25" s="465"/>
      <c r="D25" s="465"/>
      <c r="E25" s="476"/>
      <c r="F25" s="540"/>
      <c r="G25" s="540"/>
      <c r="H25" s="540"/>
      <c r="I25" s="540"/>
      <c r="J25" s="476">
        <f>-('c12_hm'!J78+'c12_hm'!J79)</f>
        <v>-298080</v>
      </c>
      <c r="K25" s="476">
        <f>-('c12_hm'!K78+'c12_hm'!K79)</f>
        <v>-298080</v>
      </c>
      <c r="L25" s="476">
        <f>-('c12_hm'!L78+'c12_hm'!L79)</f>
        <v>-298080</v>
      </c>
      <c r="M25" s="476">
        <f>-('c12_hm'!M78+'c12_hm'!M79)</f>
        <v>-770825</v>
      </c>
      <c r="N25" s="476">
        <f>-('c12_hm'!N78+'c12_hm'!N79)</f>
        <v>-391680</v>
      </c>
      <c r="O25" s="476">
        <f>-('c12_hm'!O78+'c12_hm'!O79)</f>
        <v>-391680</v>
      </c>
      <c r="P25" s="476">
        <f>-('c12_hm'!P78+'c12_hm'!P79)</f>
        <v>-434880</v>
      </c>
      <c r="Q25" s="476">
        <f>-('c12_hm'!Q78+'c12_hm'!Q79)</f>
        <v>-949185</v>
      </c>
      <c r="R25" s="476">
        <f>-('c12_hm'!R78+'c12_hm'!R79)</f>
        <v>-2518770</v>
      </c>
      <c r="S25" s="476">
        <f>-('c12_hm'!S78+'c12_hm'!S79)</f>
        <v>-2518770</v>
      </c>
      <c r="T25" s="476">
        <f>-('c12_hm'!T78+'c12_hm'!T79)</f>
        <v>-2518770</v>
      </c>
      <c r="U25" s="476">
        <f>-('c12_hm'!U78+'c12_hm'!U79)</f>
        <v>-2518770</v>
      </c>
      <c r="V25" s="446"/>
      <c r="W25" s="471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  <c r="BF25" s="446"/>
      <c r="BG25" s="446"/>
      <c r="BH25" s="446"/>
      <c r="BI25" s="446"/>
    </row>
    <row r="26" spans="1:61">
      <c r="A26" s="475" t="s">
        <v>872</v>
      </c>
      <c r="B26" s="461"/>
      <c r="C26" s="465"/>
      <c r="D26" s="465"/>
      <c r="E26" s="476"/>
      <c r="F26" s="540"/>
      <c r="G26" s="540"/>
      <c r="H26" s="540"/>
      <c r="I26" s="540"/>
      <c r="J26" s="476">
        <f>-('c12_bi&amp;F'!J78+'c12_bi&amp;F'!J79)</f>
        <v>-250560</v>
      </c>
      <c r="K26" s="476">
        <f>-('c12_bi&amp;F'!K78+'c12_bi&amp;F'!K79)</f>
        <v>-250560</v>
      </c>
      <c r="L26" s="476">
        <f>-('c12_bi&amp;F'!L78+'c12_bi&amp;F'!L79)</f>
        <v>-336959.99999999994</v>
      </c>
      <c r="M26" s="476">
        <f>-('c12_bi&amp;F'!M78+'c12_bi&amp;F'!M79)</f>
        <v>-602497.5</v>
      </c>
      <c r="N26" s="476">
        <f>-('c12_bi&amp;F'!N78+'c12_bi&amp;F'!N79)</f>
        <v>-296639.99999999994</v>
      </c>
      <c r="O26" s="476">
        <f>-('c12_bi&amp;F'!O78+'c12_bi&amp;F'!O79)</f>
        <v>-476890</v>
      </c>
      <c r="P26" s="476">
        <f>-('c12_bi&amp;F'!P78+'c12_bi&amp;F'!P79)</f>
        <v>-671290</v>
      </c>
      <c r="Q26" s="476">
        <f>-('c12_bi&amp;F'!Q78+'c12_bi&amp;F'!Q79)</f>
        <v>-1172607.5</v>
      </c>
      <c r="R26" s="476">
        <f>-('c12_bi&amp;F'!R78+'c12_bi&amp;F'!R79)</f>
        <v>-3285967.5</v>
      </c>
      <c r="S26" s="476">
        <f>-('c12_bi&amp;F'!S78+'c12_bi&amp;F'!S79)</f>
        <v>-3285967.5</v>
      </c>
      <c r="T26" s="476">
        <f>-('c12_bi&amp;F'!T78+'c12_bi&amp;F'!T79)</f>
        <v>-3285967.5</v>
      </c>
      <c r="U26" s="476">
        <f>-('c12_bi&amp;F'!U78+'c12_bi&amp;F'!U79)</f>
        <v>-3285967.5</v>
      </c>
      <c r="V26" s="446"/>
      <c r="W26" s="471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  <c r="BF26" s="446"/>
      <c r="BG26" s="446"/>
      <c r="BH26" s="446"/>
      <c r="BI26" s="446"/>
    </row>
    <row r="27" spans="1:61">
      <c r="A27" s="475" t="s">
        <v>873</v>
      </c>
      <c r="B27" s="461"/>
      <c r="C27" s="465"/>
      <c r="D27" s="465"/>
      <c r="E27" s="476"/>
      <c r="F27" s="540"/>
      <c r="G27" s="540"/>
      <c r="H27" s="540"/>
      <c r="I27" s="540"/>
      <c r="J27" s="476">
        <f>-('c12_d&amp;s'!J78+'c12_d&amp;s'!J79)</f>
        <v>-515520</v>
      </c>
      <c r="K27" s="476">
        <f>-('c12_d&amp;s'!K78+'c12_d&amp;s'!K79)</f>
        <v>-515520</v>
      </c>
      <c r="L27" s="476">
        <f>-('c12_d&amp;s'!L78+'c12_d&amp;s'!L79)</f>
        <v>-515520</v>
      </c>
      <c r="M27" s="476">
        <f>-('c12_d&amp;s'!M78+'c12_d&amp;s'!M79)</f>
        <v>-1652177.5</v>
      </c>
      <c r="N27" s="476">
        <f>-('c12_d&amp;s'!N78+'c12_d&amp;s'!N79)</f>
        <v>-560160</v>
      </c>
      <c r="O27" s="476">
        <f>-('c12_d&amp;s'!O78+'c12_d&amp;s'!O79)</f>
        <v>-520560</v>
      </c>
      <c r="P27" s="476">
        <f>-('c12_d&amp;s'!P78+'c12_d&amp;s'!P79)</f>
        <v>-560160</v>
      </c>
      <c r="Q27" s="476">
        <f>-('c12_d&amp;s'!Q78+'c12_d&amp;s'!Q79)</f>
        <v>-1221223.75</v>
      </c>
      <c r="R27" s="476">
        <f>-('c12_d&amp;s'!R78+'c12_d&amp;s'!R79)</f>
        <v>-2809492.4999999995</v>
      </c>
      <c r="S27" s="476">
        <f>-('c12_d&amp;s'!S78+'c12_d&amp;s'!S79)</f>
        <v>-2809492.4999999995</v>
      </c>
      <c r="T27" s="476">
        <f>-('c12_d&amp;s'!T78+'c12_d&amp;s'!T79)</f>
        <v>-2809492.4999999995</v>
      </c>
      <c r="U27" s="476">
        <f>-('c12_d&amp;s'!U78+'c12_d&amp;s'!U79)</f>
        <v>-2809492.4999999995</v>
      </c>
      <c r="V27" s="446"/>
      <c r="W27" s="471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6"/>
    </row>
    <row r="28" spans="1:61" s="8" customFormat="1">
      <c r="A28" s="492" t="s">
        <v>874</v>
      </c>
      <c r="B28" s="489"/>
      <c r="C28" s="490"/>
      <c r="D28" s="490"/>
      <c r="E28" s="476"/>
      <c r="F28" s="540"/>
      <c r="G28" s="540"/>
      <c r="H28" s="540"/>
      <c r="I28" s="540"/>
      <c r="J28" s="476">
        <f t="shared" ref="J28:U28" si="4">-(J79-J82)</f>
        <v>-462500</v>
      </c>
      <c r="K28" s="476">
        <f t="shared" si="4"/>
        <v>-462500</v>
      </c>
      <c r="L28" s="476">
        <f t="shared" si="4"/>
        <v>-462500</v>
      </c>
      <c r="M28" s="476">
        <f t="shared" si="4"/>
        <v>-462500</v>
      </c>
      <c r="N28" s="476">
        <f t="shared" si="4"/>
        <v>-794980</v>
      </c>
      <c r="O28" s="476">
        <f t="shared" si="4"/>
        <v>-375000</v>
      </c>
      <c r="P28" s="476">
        <f t="shared" si="4"/>
        <v>-375000</v>
      </c>
      <c r="Q28" s="476">
        <f t="shared" si="4"/>
        <v>-894500</v>
      </c>
      <c r="R28" s="476">
        <f t="shared" si="4"/>
        <v>-2019500</v>
      </c>
      <c r="S28" s="476">
        <f t="shared" si="4"/>
        <v>-1500000</v>
      </c>
      <c r="T28" s="476">
        <f t="shared" si="4"/>
        <v>-1500000</v>
      </c>
      <c r="U28" s="476">
        <f t="shared" si="4"/>
        <v>-1500000</v>
      </c>
      <c r="V28" s="458" t="s">
        <v>875</v>
      </c>
      <c r="W28" s="471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  <c r="BF28" s="446"/>
      <c r="BG28" s="446"/>
      <c r="BH28" s="446"/>
      <c r="BI28" s="446"/>
    </row>
    <row r="29" spans="1:61">
      <c r="A29" s="459" t="s">
        <v>876</v>
      </c>
      <c r="B29" s="461"/>
      <c r="C29" s="461"/>
      <c r="D29" s="461"/>
      <c r="E29" s="476"/>
      <c r="F29" s="540"/>
      <c r="G29" s="540"/>
      <c r="H29" s="540"/>
      <c r="I29" s="540"/>
      <c r="J29" s="476"/>
      <c r="K29" s="47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46"/>
      <c r="W29" s="471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  <c r="BF29" s="446"/>
      <c r="BG29" s="446"/>
      <c r="BH29" s="446"/>
      <c r="BI29" s="446"/>
    </row>
    <row r="30" spans="1:61">
      <c r="A30" s="492" t="s">
        <v>877</v>
      </c>
      <c r="B30" s="493" t="s">
        <v>12</v>
      </c>
      <c r="C30" s="492" t="s">
        <v>878</v>
      </c>
      <c r="D30" s="492" t="s">
        <v>879</v>
      </c>
      <c r="E30" s="476"/>
      <c r="F30" s="540"/>
      <c r="G30" s="540"/>
      <c r="H30" s="540"/>
      <c r="I30" s="540"/>
      <c r="J30" s="494">
        <f>-189940/4</f>
        <v>-47485</v>
      </c>
      <c r="K30" s="494">
        <f>-189940/4</f>
        <v>-47485</v>
      </c>
      <c r="L30" s="494">
        <f>-189940/4</f>
        <v>-47485</v>
      </c>
      <c r="M30" s="494">
        <f>-189940/4</f>
        <v>-47485</v>
      </c>
      <c r="N30" s="494">
        <f>-540000/4</f>
        <v>-135000</v>
      </c>
      <c r="O30" s="494">
        <f>-540000/4</f>
        <v>-135000</v>
      </c>
      <c r="P30" s="494">
        <f>-540000/4</f>
        <v>-135000</v>
      </c>
      <c r="Q30" s="494">
        <f>-540000/4</f>
        <v>-135000</v>
      </c>
      <c r="R30" s="476">
        <f>Q30</f>
        <v>-135000</v>
      </c>
      <c r="S30" s="476">
        <f>R30</f>
        <v>-135000</v>
      </c>
      <c r="T30" s="476">
        <f>S30</f>
        <v>-135000</v>
      </c>
      <c r="U30" s="476">
        <f>T30</f>
        <v>-135000</v>
      </c>
      <c r="V30" s="458" t="s">
        <v>880</v>
      </c>
      <c r="W30" s="471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46"/>
    </row>
    <row r="31" spans="1:61" s="18" customFormat="1">
      <c r="A31" s="495" t="s">
        <v>881</v>
      </c>
      <c r="B31" s="481" t="s">
        <v>12</v>
      </c>
      <c r="C31" s="495" t="s">
        <v>878</v>
      </c>
      <c r="D31" s="495" t="s">
        <v>882</v>
      </c>
      <c r="E31" s="476"/>
      <c r="F31" s="540"/>
      <c r="G31" s="540"/>
      <c r="H31" s="540"/>
      <c r="I31" s="540"/>
      <c r="J31" s="496">
        <v>-112553</v>
      </c>
      <c r="K31" s="496">
        <v>-186705</v>
      </c>
      <c r="L31" s="496">
        <v>-148699</v>
      </c>
      <c r="M31" s="496">
        <v>-249431</v>
      </c>
      <c r="N31" s="494">
        <v>-174347</v>
      </c>
      <c r="O31" s="496">
        <v>-174347</v>
      </c>
      <c r="P31" s="496">
        <v>-174347</v>
      </c>
      <c r="Q31" s="496">
        <v>-174347</v>
      </c>
      <c r="R31" s="497">
        <v>-697388</v>
      </c>
      <c r="S31" s="497">
        <v>-697388</v>
      </c>
      <c r="T31" s="497">
        <v>-697388</v>
      </c>
      <c r="U31" s="497">
        <v>-697388</v>
      </c>
      <c r="V31" s="458" t="s">
        <v>883</v>
      </c>
      <c r="W31" s="471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  <c r="BF31" s="446"/>
      <c r="BG31" s="446"/>
      <c r="BH31" s="446"/>
      <c r="BI31" s="446"/>
    </row>
    <row r="32" spans="1:61" s="18" customFormat="1">
      <c r="A32" s="495" t="s">
        <v>884</v>
      </c>
      <c r="B32" s="481" t="s">
        <v>12</v>
      </c>
      <c r="C32" s="495" t="s">
        <v>878</v>
      </c>
      <c r="D32" s="495" t="s">
        <v>885</v>
      </c>
      <c r="E32" s="476"/>
      <c r="F32" s="540"/>
      <c r="G32" s="540"/>
      <c r="H32" s="540"/>
      <c r="I32" s="540"/>
      <c r="J32" s="496"/>
      <c r="K32" s="496"/>
      <c r="L32" s="496"/>
      <c r="M32" s="496"/>
      <c r="N32" s="494">
        <v>-75000</v>
      </c>
      <c r="O32" s="494">
        <v>-75000</v>
      </c>
      <c r="P32" s="494">
        <v>-75000</v>
      </c>
      <c r="Q32" s="494">
        <v>-75000</v>
      </c>
      <c r="R32" s="476">
        <v>-75000</v>
      </c>
      <c r="S32" s="476">
        <v>-75000</v>
      </c>
      <c r="T32" s="476">
        <v>-75000</v>
      </c>
      <c r="U32" s="476">
        <v>-75000</v>
      </c>
      <c r="V32" s="458" t="s">
        <v>886</v>
      </c>
      <c r="W32" s="471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</row>
    <row r="33" spans="1:61" s="30" customFormat="1">
      <c r="A33" s="492" t="s">
        <v>887</v>
      </c>
      <c r="B33" s="493" t="s">
        <v>12</v>
      </c>
      <c r="C33" s="492" t="s">
        <v>878</v>
      </c>
      <c r="D33" s="492" t="s">
        <v>888</v>
      </c>
      <c r="E33" s="497"/>
      <c r="F33" s="614"/>
      <c r="G33" s="614"/>
      <c r="H33" s="614"/>
      <c r="I33" s="614"/>
      <c r="J33" s="496">
        <f t="shared" ref="J33:U33" si="5">-J18</f>
        <v>0</v>
      </c>
      <c r="K33" s="496">
        <f t="shared" si="5"/>
        <v>0</v>
      </c>
      <c r="L33" s="496">
        <f t="shared" si="5"/>
        <v>0</v>
      </c>
      <c r="M33" s="496">
        <f t="shared" si="5"/>
        <v>0</v>
      </c>
      <c r="N33" s="496">
        <f t="shared" si="5"/>
        <v>0</v>
      </c>
      <c r="O33" s="496">
        <f t="shared" si="5"/>
        <v>-200000</v>
      </c>
      <c r="P33" s="496">
        <f t="shared" si="5"/>
        <v>-100000</v>
      </c>
      <c r="Q33" s="496">
        <f t="shared" si="5"/>
        <v>0</v>
      </c>
      <c r="R33" s="497">
        <f t="shared" si="5"/>
        <v>-100000</v>
      </c>
      <c r="S33" s="497">
        <f t="shared" si="5"/>
        <v>0</v>
      </c>
      <c r="T33" s="497">
        <f t="shared" si="5"/>
        <v>0</v>
      </c>
      <c r="U33" s="497">
        <f t="shared" si="5"/>
        <v>0</v>
      </c>
      <c r="V33" s="446"/>
      <c r="W33" s="471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</row>
    <row r="34" spans="1:61">
      <c r="A34" s="492" t="s">
        <v>889</v>
      </c>
      <c r="B34" s="493" t="s">
        <v>12</v>
      </c>
      <c r="C34" s="492" t="s">
        <v>878</v>
      </c>
      <c r="D34" s="492" t="s">
        <v>890</v>
      </c>
      <c r="E34" s="476"/>
      <c r="F34" s="540"/>
      <c r="G34" s="540"/>
      <c r="H34" s="540"/>
      <c r="I34" s="540"/>
      <c r="J34" s="494"/>
      <c r="K34" s="494"/>
      <c r="L34" s="494">
        <v>-45000</v>
      </c>
      <c r="M34" s="494">
        <v>-599728</v>
      </c>
      <c r="N34" s="494">
        <v>-1620000</v>
      </c>
      <c r="O34" s="494">
        <v>-2100000</v>
      </c>
      <c r="P34" s="494">
        <v>-300000</v>
      </c>
      <c r="Q34" s="494">
        <v>-300000</v>
      </c>
      <c r="R34" s="476">
        <v>0</v>
      </c>
      <c r="S34" s="476">
        <v>0</v>
      </c>
      <c r="T34" s="476">
        <v>0</v>
      </c>
      <c r="U34" s="476">
        <v>0</v>
      </c>
      <c r="V34" s="458" t="s">
        <v>891</v>
      </c>
      <c r="W34" s="471"/>
      <c r="X34" s="446"/>
      <c r="Y34" s="491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</row>
    <row r="35" spans="1:61" s="36" customFormat="1">
      <c r="A35" s="498" t="s">
        <v>892</v>
      </c>
      <c r="B35" s="493" t="s">
        <v>12</v>
      </c>
      <c r="C35" s="499" t="s">
        <v>893</v>
      </c>
      <c r="D35" s="500"/>
      <c r="E35" s="501"/>
      <c r="F35" s="446"/>
      <c r="G35" s="446"/>
      <c r="H35" s="446"/>
      <c r="I35" s="446"/>
      <c r="J35" s="502">
        <v>1</v>
      </c>
      <c r="K35" s="502">
        <v>1</v>
      </c>
      <c r="L35" s="502">
        <v>1</v>
      </c>
      <c r="M35" s="502">
        <v>1</v>
      </c>
      <c r="N35" s="502">
        <v>1</v>
      </c>
      <c r="O35" s="502">
        <v>1</v>
      </c>
      <c r="P35" s="502">
        <v>1</v>
      </c>
      <c r="Q35" s="502">
        <v>1</v>
      </c>
      <c r="R35" s="501">
        <f>(1+'c12_inputs'!$E$5)</f>
        <v>1.03</v>
      </c>
      <c r="S35" s="501">
        <f>R35*(1+'c12_inputs'!$E$5)</f>
        <v>1.0609</v>
      </c>
      <c r="T35" s="501">
        <f>S35*(1+'c12_inputs'!$E$5)</f>
        <v>1.092727</v>
      </c>
      <c r="U35" s="501">
        <f>T35*(1+'c12_inputs'!$E$5)</f>
        <v>1.1255088100000001</v>
      </c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</row>
    <row r="36" spans="1:61" s="30" customFormat="1">
      <c r="A36" s="492" t="s">
        <v>182</v>
      </c>
      <c r="B36" s="493" t="s">
        <v>36</v>
      </c>
      <c r="C36" s="492" t="s">
        <v>894</v>
      </c>
      <c r="D36" s="490"/>
      <c r="E36" s="476"/>
      <c r="F36" s="544"/>
      <c r="G36" s="544"/>
      <c r="H36" s="544"/>
      <c r="I36" s="544"/>
      <c r="J36" s="503">
        <f t="shared" ref="J36:U36" si="6">(J35-1)*SUM(J25:J34)</f>
        <v>0</v>
      </c>
      <c r="K36" s="503">
        <f t="shared" si="6"/>
        <v>0</v>
      </c>
      <c r="L36" s="503">
        <f t="shared" si="6"/>
        <v>0</v>
      </c>
      <c r="M36" s="503">
        <f t="shared" si="6"/>
        <v>0</v>
      </c>
      <c r="N36" s="503">
        <f t="shared" si="6"/>
        <v>0</v>
      </c>
      <c r="O36" s="503">
        <f t="shared" si="6"/>
        <v>0</v>
      </c>
      <c r="P36" s="503">
        <f t="shared" si="6"/>
        <v>0</v>
      </c>
      <c r="Q36" s="503">
        <f t="shared" si="6"/>
        <v>0</v>
      </c>
      <c r="R36" s="476">
        <f t="shared" si="6"/>
        <v>-349233.54000000033</v>
      </c>
      <c r="S36" s="476">
        <f t="shared" si="6"/>
        <v>-671216.53619999951</v>
      </c>
      <c r="T36" s="476">
        <f t="shared" si="6"/>
        <v>-1022001.572286</v>
      </c>
      <c r="U36" s="476">
        <f t="shared" si="6"/>
        <v>-1383310.1594545816</v>
      </c>
      <c r="V36" s="458" t="s">
        <v>895</v>
      </c>
      <c r="W36" s="471"/>
      <c r="X36" s="446"/>
      <c r="Y36" s="491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</row>
    <row r="37" spans="1:61">
      <c r="A37" s="492" t="s">
        <v>896</v>
      </c>
      <c r="B37" s="493" t="s">
        <v>12</v>
      </c>
      <c r="C37" s="492" t="s">
        <v>897</v>
      </c>
      <c r="D37" s="490"/>
      <c r="E37" s="504">
        <v>-3970569</v>
      </c>
      <c r="F37" s="544"/>
      <c r="G37" s="544"/>
      <c r="H37" s="544"/>
      <c r="I37" s="544"/>
      <c r="J37" s="494">
        <v>-1102148</v>
      </c>
      <c r="K37" s="494">
        <v>-1124287</v>
      </c>
      <c r="L37" s="494">
        <v>-1077940</v>
      </c>
      <c r="M37" s="494">
        <v>-1645629</v>
      </c>
      <c r="N37" s="494"/>
      <c r="O37" s="494"/>
      <c r="P37" s="494"/>
      <c r="Q37" s="494"/>
      <c r="R37" s="476"/>
      <c r="S37" s="476"/>
      <c r="T37" s="476"/>
      <c r="U37" s="476"/>
      <c r="V37" s="446"/>
      <c r="W37" s="471"/>
      <c r="X37" s="446"/>
      <c r="Y37" s="491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</row>
    <row r="38" spans="1:61">
      <c r="A38" s="492" t="s">
        <v>898</v>
      </c>
      <c r="B38" s="493" t="s">
        <v>36</v>
      </c>
      <c r="C38" s="492" t="s">
        <v>899</v>
      </c>
      <c r="D38" s="490"/>
      <c r="E38" s="482"/>
      <c r="F38" s="544"/>
      <c r="G38" s="544"/>
      <c r="H38" s="544"/>
      <c r="I38" s="544"/>
      <c r="J38" s="503">
        <f t="shared" ref="J38:U38" si="7">-IF(J37&lt;&gt;0,(SUM(J25:J28)-J37),0)</f>
        <v>424512</v>
      </c>
      <c r="K38" s="503">
        <f t="shared" si="7"/>
        <v>402373</v>
      </c>
      <c r="L38" s="503">
        <f t="shared" si="7"/>
        <v>535120</v>
      </c>
      <c r="M38" s="503">
        <f t="shared" si="7"/>
        <v>1842371</v>
      </c>
      <c r="N38" s="503">
        <f t="shared" si="7"/>
        <v>0</v>
      </c>
      <c r="O38" s="503">
        <f t="shared" si="7"/>
        <v>0</v>
      </c>
      <c r="P38" s="503">
        <f t="shared" si="7"/>
        <v>0</v>
      </c>
      <c r="Q38" s="503">
        <f t="shared" si="7"/>
        <v>0</v>
      </c>
      <c r="R38" s="476">
        <f t="shared" si="7"/>
        <v>0</v>
      </c>
      <c r="S38" s="476">
        <f t="shared" si="7"/>
        <v>0</v>
      </c>
      <c r="T38" s="476">
        <f t="shared" si="7"/>
        <v>0</v>
      </c>
      <c r="U38" s="476">
        <f t="shared" si="7"/>
        <v>0</v>
      </c>
      <c r="V38" s="446"/>
      <c r="W38" s="471"/>
      <c r="X38" s="446"/>
      <c r="Y38" s="491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</row>
    <row r="39" spans="1:61" ht="15" thickBot="1">
      <c r="A39" s="465"/>
      <c r="B39" s="461"/>
      <c r="C39" s="465"/>
      <c r="D39" s="465"/>
      <c r="E39" s="476"/>
      <c r="F39" s="544"/>
      <c r="G39" s="544"/>
      <c r="H39" s="544"/>
      <c r="I39" s="544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46"/>
      <c r="W39" s="471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505"/>
      <c r="BE39" s="446"/>
      <c r="BF39" s="446"/>
      <c r="BG39" s="446"/>
      <c r="BH39" s="446"/>
      <c r="BI39" s="446"/>
    </row>
    <row r="40" spans="1:61" s="42" customFormat="1" ht="15.5" customHeight="1" thickTop="1" thickBot="1">
      <c r="A40" s="460" t="s">
        <v>900</v>
      </c>
      <c r="B40" s="459" t="s">
        <v>36</v>
      </c>
      <c r="C40" s="459" t="s">
        <v>901</v>
      </c>
      <c r="D40" s="461"/>
      <c r="E40" s="478">
        <v>-5450569</v>
      </c>
      <c r="F40" s="544"/>
      <c r="G40" s="544"/>
      <c r="H40" s="544"/>
      <c r="I40" s="544"/>
      <c r="J40" s="479">
        <f t="shared" ref="J40:U40" si="8">SUM(J25:J36)+J38</f>
        <v>-1262185</v>
      </c>
      <c r="K40" s="479">
        <f t="shared" si="8"/>
        <v>-1358476</v>
      </c>
      <c r="L40" s="479">
        <f t="shared" si="8"/>
        <v>-1319123</v>
      </c>
      <c r="M40" s="479">
        <f t="shared" si="8"/>
        <v>-2542272</v>
      </c>
      <c r="N40" s="479">
        <f t="shared" si="8"/>
        <v>-4047806</v>
      </c>
      <c r="O40" s="479">
        <f t="shared" si="8"/>
        <v>-4448476</v>
      </c>
      <c r="P40" s="479">
        <f t="shared" si="8"/>
        <v>-2825676</v>
      </c>
      <c r="Q40" s="479">
        <f t="shared" si="8"/>
        <v>-4921862.25</v>
      </c>
      <c r="R40" s="480">
        <f t="shared" si="8"/>
        <v>-11990350.510000002</v>
      </c>
      <c r="S40" s="480">
        <f t="shared" si="8"/>
        <v>-11692833.475299999</v>
      </c>
      <c r="T40" s="480">
        <f t="shared" si="8"/>
        <v>-12043618.479559001</v>
      </c>
      <c r="U40" s="480">
        <f t="shared" si="8"/>
        <v>-12404927.033945773</v>
      </c>
      <c r="V40" s="446"/>
      <c r="W40" s="471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</row>
    <row r="41" spans="1:61" s="42" customFormat="1" ht="15" customHeight="1" thickTop="1">
      <c r="A41" s="464"/>
      <c r="B41" s="461"/>
      <c r="C41" s="461"/>
      <c r="D41" s="461"/>
      <c r="E41" s="476"/>
      <c r="F41" s="540"/>
      <c r="G41" s="540"/>
      <c r="H41" s="540"/>
      <c r="I41" s="540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46"/>
      <c r="W41" s="471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</row>
    <row r="42" spans="1:61">
      <c r="A42" s="493" t="s">
        <v>902</v>
      </c>
      <c r="B42" s="489"/>
      <c r="C42" s="489"/>
      <c r="D42" s="489"/>
      <c r="E42" s="505"/>
      <c r="F42" s="544"/>
      <c r="G42" s="544"/>
      <c r="H42" s="544"/>
      <c r="I42" s="544"/>
      <c r="J42" s="505">
        <f t="shared" ref="J42:U42" si="9">-J82</f>
        <v>-31250</v>
      </c>
      <c r="K42" s="505">
        <f t="shared" si="9"/>
        <v>-31250</v>
      </c>
      <c r="L42" s="505">
        <f t="shared" si="9"/>
        <v>-31250</v>
      </c>
      <c r="M42" s="505">
        <f t="shared" si="9"/>
        <v>-41640</v>
      </c>
      <c r="N42" s="505">
        <f t="shared" si="9"/>
        <v>-57000</v>
      </c>
      <c r="O42" s="505">
        <f t="shared" si="9"/>
        <v>-57000</v>
      </c>
      <c r="P42" s="505">
        <f t="shared" si="9"/>
        <v>-57000</v>
      </c>
      <c r="Q42" s="505">
        <f t="shared" si="9"/>
        <v>-77780</v>
      </c>
      <c r="R42" s="505">
        <f t="shared" si="9"/>
        <v>-248780</v>
      </c>
      <c r="S42" s="505">
        <f t="shared" si="9"/>
        <v>-248780</v>
      </c>
      <c r="T42" s="505">
        <f t="shared" si="9"/>
        <v>-248780</v>
      </c>
      <c r="U42" s="505">
        <f t="shared" si="9"/>
        <v>-248780</v>
      </c>
      <c r="V42" s="446"/>
      <c r="W42" s="471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</row>
    <row r="43" spans="1:61" s="8" customFormat="1">
      <c r="A43" s="493" t="s">
        <v>903</v>
      </c>
      <c r="B43" s="493" t="s">
        <v>12</v>
      </c>
      <c r="C43" s="493" t="s">
        <v>904</v>
      </c>
      <c r="D43" s="489"/>
      <c r="E43" s="482"/>
      <c r="F43" s="544"/>
      <c r="G43" s="544"/>
      <c r="H43" s="544"/>
      <c r="I43" s="544"/>
      <c r="J43" s="494"/>
      <c r="K43" s="494"/>
      <c r="L43" s="494"/>
      <c r="M43" s="494"/>
      <c r="N43" s="494"/>
      <c r="O43" s="494"/>
      <c r="P43" s="494"/>
      <c r="Q43" s="494">
        <v>-200000</v>
      </c>
      <c r="R43" s="476">
        <v>-200000</v>
      </c>
      <c r="S43" s="476">
        <v>-200000</v>
      </c>
      <c r="T43" s="476">
        <v>-200000</v>
      </c>
      <c r="U43" s="476">
        <v>-200000</v>
      </c>
      <c r="V43" s="446"/>
      <c r="W43" s="471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</row>
    <row r="44" spans="1:61">
      <c r="A44" s="460" t="s">
        <v>905</v>
      </c>
      <c r="B44" s="459" t="s">
        <v>36</v>
      </c>
      <c r="C44" s="459" t="s">
        <v>906</v>
      </c>
      <c r="D44" s="461"/>
      <c r="E44" s="476"/>
      <c r="F44" s="544"/>
      <c r="G44" s="544"/>
      <c r="H44" s="544"/>
      <c r="I44" s="544"/>
      <c r="J44" s="503">
        <f t="shared" ref="J44:U44" si="10">SUM(J42:J43)</f>
        <v>-31250</v>
      </c>
      <c r="K44" s="503">
        <f t="shared" si="10"/>
        <v>-31250</v>
      </c>
      <c r="L44" s="503">
        <f t="shared" si="10"/>
        <v>-31250</v>
      </c>
      <c r="M44" s="503">
        <f t="shared" si="10"/>
        <v>-41640</v>
      </c>
      <c r="N44" s="503">
        <f t="shared" si="10"/>
        <v>-57000</v>
      </c>
      <c r="O44" s="503">
        <f t="shared" si="10"/>
        <v>-57000</v>
      </c>
      <c r="P44" s="503">
        <f t="shared" si="10"/>
        <v>-57000</v>
      </c>
      <c r="Q44" s="503">
        <f t="shared" si="10"/>
        <v>-277780</v>
      </c>
      <c r="R44" s="476">
        <f t="shared" si="10"/>
        <v>-448780</v>
      </c>
      <c r="S44" s="476">
        <f t="shared" si="10"/>
        <v>-448780</v>
      </c>
      <c r="T44" s="476">
        <f t="shared" si="10"/>
        <v>-448780</v>
      </c>
      <c r="U44" s="476">
        <f t="shared" si="10"/>
        <v>-448780</v>
      </c>
      <c r="V44" s="446"/>
      <c r="W44" s="471"/>
      <c r="X44" s="446"/>
      <c r="Y44" s="491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</row>
    <row r="45" spans="1:61">
      <c r="A45" s="464"/>
      <c r="B45" s="461"/>
      <c r="C45" s="461"/>
      <c r="D45" s="461"/>
      <c r="E45" s="476"/>
      <c r="F45" s="544"/>
      <c r="G45" s="544"/>
      <c r="H45" s="544"/>
      <c r="I45" s="544"/>
      <c r="J45" s="476"/>
      <c r="K45" s="476"/>
      <c r="L45" s="476"/>
      <c r="M45" s="476"/>
      <c r="N45" s="476"/>
      <c r="O45" s="476"/>
      <c r="P45" s="476"/>
      <c r="Q45" s="476"/>
      <c r="R45" s="476"/>
      <c r="S45" s="476"/>
      <c r="T45" s="476"/>
      <c r="U45" s="476"/>
      <c r="V45" s="446"/>
      <c r="W45" s="471"/>
      <c r="X45" s="446"/>
      <c r="Y45" s="491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</row>
    <row r="46" spans="1:61">
      <c r="A46" s="460" t="s">
        <v>907</v>
      </c>
      <c r="B46" s="459" t="s">
        <v>36</v>
      </c>
      <c r="C46" s="459" t="s">
        <v>908</v>
      </c>
      <c r="D46" s="461"/>
      <c r="E46" s="476"/>
      <c r="F46" s="544"/>
      <c r="G46" s="544"/>
      <c r="H46" s="544"/>
      <c r="I46" s="544"/>
      <c r="J46" s="503">
        <f t="shared" ref="J46:U46" si="11">J44+J40</f>
        <v>-1293435</v>
      </c>
      <c r="K46" s="503">
        <f t="shared" si="11"/>
        <v>-1389726</v>
      </c>
      <c r="L46" s="503">
        <f t="shared" si="11"/>
        <v>-1350373</v>
      </c>
      <c r="M46" s="503">
        <f t="shared" si="11"/>
        <v>-2583912</v>
      </c>
      <c r="N46" s="503">
        <f t="shared" si="11"/>
        <v>-4104806</v>
      </c>
      <c r="O46" s="503">
        <f t="shared" si="11"/>
        <v>-4505476</v>
      </c>
      <c r="P46" s="503">
        <f t="shared" si="11"/>
        <v>-2882676</v>
      </c>
      <c r="Q46" s="503">
        <f t="shared" si="11"/>
        <v>-5199642.25</v>
      </c>
      <c r="R46" s="476">
        <f t="shared" si="11"/>
        <v>-12439130.510000002</v>
      </c>
      <c r="S46" s="476">
        <f t="shared" si="11"/>
        <v>-12141613.475299999</v>
      </c>
      <c r="T46" s="476">
        <f t="shared" si="11"/>
        <v>-12492398.479559001</v>
      </c>
      <c r="U46" s="476">
        <f t="shared" si="11"/>
        <v>-12853707.033945773</v>
      </c>
      <c r="V46" s="446"/>
      <c r="W46" s="471"/>
      <c r="X46" s="446"/>
      <c r="Y46" s="491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</row>
    <row r="47" spans="1:61">
      <c r="A47" s="464"/>
      <c r="B47" s="461"/>
      <c r="C47" s="461"/>
      <c r="D47" s="461"/>
      <c r="E47" s="476"/>
      <c r="F47" s="544"/>
      <c r="G47" s="544"/>
      <c r="H47" s="544"/>
      <c r="I47" s="544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46"/>
      <c r="W47" s="471"/>
      <c r="X47" s="446"/>
      <c r="Y47" s="491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</row>
    <row r="48" spans="1:61" ht="14.65" customHeight="1">
      <c r="A48" s="460" t="s">
        <v>909</v>
      </c>
      <c r="B48" s="459" t="s">
        <v>36</v>
      </c>
      <c r="C48" s="459" t="s">
        <v>910</v>
      </c>
      <c r="D48" s="461"/>
      <c r="E48" s="506">
        <v>3119951</v>
      </c>
      <c r="F48" s="544"/>
      <c r="G48" s="544"/>
      <c r="H48" s="544"/>
      <c r="I48" s="544"/>
      <c r="J48" s="507">
        <f t="shared" ref="J48:U48" si="12">J22+J46</f>
        <v>607450.01315789483</v>
      </c>
      <c r="K48" s="507">
        <f t="shared" si="12"/>
        <v>607450.01315789483</v>
      </c>
      <c r="L48" s="507">
        <f t="shared" si="12"/>
        <v>895908.96052631596</v>
      </c>
      <c r="M48" s="507">
        <f t="shared" si="12"/>
        <v>895530.5394736845</v>
      </c>
      <c r="N48" s="507">
        <f t="shared" si="12"/>
        <v>829331.47666666657</v>
      </c>
      <c r="O48" s="507">
        <f t="shared" si="12"/>
        <v>1373293.479166667</v>
      </c>
      <c r="P48" s="507">
        <f t="shared" si="12"/>
        <v>1301160.8739035088</v>
      </c>
      <c r="Q48" s="507">
        <f t="shared" si="12"/>
        <v>2620717.3521929821</v>
      </c>
      <c r="R48" s="508">
        <f t="shared" si="12"/>
        <v>4467341.7316666655</v>
      </c>
      <c r="S48" s="508">
        <f t="shared" si="12"/>
        <v>3827227.0501433332</v>
      </c>
      <c r="T48" s="508">
        <f t="shared" si="12"/>
        <v>3805152.4221476335</v>
      </c>
      <c r="U48" s="508">
        <f t="shared" si="12"/>
        <v>3529148.5635775551</v>
      </c>
      <c r="V48" s="446"/>
      <c r="W48" s="471"/>
      <c r="X48" s="446"/>
      <c r="Y48" s="446"/>
      <c r="Z48" s="446"/>
      <c r="AA48" s="446"/>
      <c r="AB48" s="446"/>
      <c r="AC48" s="446"/>
      <c r="AD48" s="446"/>
      <c r="AE48" s="509"/>
      <c r="AF48" s="509"/>
      <c r="AG48" s="510"/>
      <c r="AH48" s="510"/>
      <c r="AI48" s="510"/>
      <c r="AJ48" s="510"/>
      <c r="AK48" s="510"/>
      <c r="AL48" s="510"/>
      <c r="AM48" s="510"/>
      <c r="AN48" s="510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</row>
    <row r="49" spans="1:61" s="39" customFormat="1">
      <c r="A49" s="511" t="s">
        <v>911</v>
      </c>
      <c r="B49" s="512" t="s">
        <v>36</v>
      </c>
      <c r="C49" s="512" t="s">
        <v>912</v>
      </c>
      <c r="D49" s="513"/>
      <c r="E49" s="482"/>
      <c r="F49" s="565"/>
      <c r="G49" s="565"/>
      <c r="H49" s="565"/>
      <c r="I49" s="565"/>
      <c r="J49" s="514">
        <f t="shared" ref="J49:U49" si="13">J48/J22</f>
        <v>0.31956168256003692</v>
      </c>
      <c r="K49" s="514">
        <f t="shared" si="13"/>
        <v>0.30415447069054619</v>
      </c>
      <c r="L49" s="514">
        <f t="shared" si="13"/>
        <v>0.39884082954412353</v>
      </c>
      <c r="M49" s="514">
        <f t="shared" si="13"/>
        <v>0.25737759118423215</v>
      </c>
      <c r="N49" s="514">
        <f t="shared" si="13"/>
        <v>0.16808033432155894</v>
      </c>
      <c r="O49" s="514">
        <f t="shared" si="13"/>
        <v>0.23360219924141937</v>
      </c>
      <c r="P49" s="514">
        <f t="shared" si="13"/>
        <v>0.31099703767597636</v>
      </c>
      <c r="Q49" s="514">
        <f t="shared" si="13"/>
        <v>0.33511468596125449</v>
      </c>
      <c r="R49" s="515">
        <f t="shared" si="13"/>
        <v>0.26423855123700646</v>
      </c>
      <c r="S49" s="515">
        <f t="shared" si="13"/>
        <v>0.23966843704434079</v>
      </c>
      <c r="T49" s="515">
        <f t="shared" si="13"/>
        <v>0.23348001457993106</v>
      </c>
      <c r="U49" s="515">
        <f t="shared" si="13"/>
        <v>0.21541718063553419</v>
      </c>
      <c r="V49" s="446"/>
      <c r="W49" s="471"/>
      <c r="X49" s="446"/>
      <c r="Y49" s="446"/>
      <c r="Z49" s="446"/>
      <c r="AA49" s="446"/>
      <c r="AB49" s="446"/>
      <c r="AC49" s="446"/>
      <c r="AD49" s="446"/>
      <c r="AE49" s="516"/>
      <c r="AF49" s="516"/>
      <c r="AG49" s="517"/>
      <c r="AH49" s="517"/>
      <c r="AI49" s="517"/>
      <c r="AJ49" s="517"/>
      <c r="AK49" s="518"/>
      <c r="AL49" s="515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</row>
    <row r="50" spans="1:61" s="38" customFormat="1">
      <c r="A50" s="519"/>
      <c r="B50" s="513"/>
      <c r="C50" s="513"/>
      <c r="D50" s="513"/>
      <c r="E50" s="520"/>
      <c r="F50" s="565"/>
      <c r="G50" s="565"/>
      <c r="H50" s="565"/>
      <c r="I50" s="565"/>
      <c r="J50" s="515"/>
      <c r="K50" s="515"/>
      <c r="L50" s="515"/>
      <c r="M50" s="515"/>
      <c r="N50" s="515"/>
      <c r="O50" s="515"/>
      <c r="P50" s="515"/>
      <c r="Q50" s="515"/>
      <c r="R50" s="515"/>
      <c r="S50" s="515"/>
      <c r="T50" s="515"/>
      <c r="U50" s="515"/>
      <c r="V50" s="446"/>
      <c r="W50" s="471"/>
      <c r="X50" s="446"/>
      <c r="Y50" s="446"/>
      <c r="Z50" s="446"/>
      <c r="AA50" s="446"/>
      <c r="AB50" s="446"/>
      <c r="AC50" s="446"/>
      <c r="AD50" s="446"/>
      <c r="AE50" s="516"/>
      <c r="AF50" s="516"/>
      <c r="AG50" s="517"/>
      <c r="AH50" s="517"/>
      <c r="AI50" s="517"/>
      <c r="AJ50" s="517"/>
      <c r="AK50" s="518"/>
      <c r="AL50" s="515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</row>
    <row r="51" spans="1:61" s="38" customFormat="1">
      <c r="A51" s="519"/>
      <c r="B51" s="513"/>
      <c r="C51" s="513"/>
      <c r="D51" s="513"/>
      <c r="E51" s="520"/>
      <c r="F51" s="565"/>
      <c r="G51" s="565"/>
      <c r="H51" s="565"/>
      <c r="I51" s="56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5"/>
      <c r="U51" s="515"/>
      <c r="V51" s="446"/>
      <c r="W51" s="471"/>
      <c r="X51" s="446"/>
      <c r="Y51" s="446"/>
      <c r="Z51" s="446"/>
      <c r="AA51" s="446"/>
      <c r="AB51" s="446"/>
      <c r="AC51" s="446"/>
      <c r="AD51" s="446"/>
      <c r="AE51" s="516"/>
      <c r="AF51" s="516"/>
      <c r="AG51" s="517"/>
      <c r="AH51" s="517"/>
      <c r="AI51" s="517"/>
      <c r="AJ51" s="517"/>
      <c r="AK51" s="518"/>
      <c r="AL51" s="515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</row>
    <row r="52" spans="1:61" s="16" customFormat="1">
      <c r="A52" s="511" t="s">
        <v>913</v>
      </c>
      <c r="B52" s="513"/>
      <c r="C52" s="513"/>
      <c r="D52" s="513"/>
      <c r="E52" s="520"/>
      <c r="F52" s="565"/>
      <c r="G52" s="565"/>
      <c r="H52" s="565"/>
      <c r="I52" s="565"/>
      <c r="J52" s="521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71"/>
      <c r="X52" s="446"/>
      <c r="Y52" s="446"/>
      <c r="Z52" s="446"/>
      <c r="AA52" s="446"/>
      <c r="AB52" s="446"/>
      <c r="AC52" s="446"/>
      <c r="AD52" s="446"/>
      <c r="AE52" s="516"/>
      <c r="AF52" s="516"/>
      <c r="AG52" s="517"/>
      <c r="AH52" s="517"/>
      <c r="AI52" s="517"/>
      <c r="AJ52" s="517"/>
      <c r="AK52" s="518"/>
      <c r="AL52" s="515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</row>
    <row r="53" spans="1:61" s="425" customFormat="1">
      <c r="A53" s="522" t="s">
        <v>914</v>
      </c>
      <c r="B53" s="523" t="s">
        <v>12</v>
      </c>
      <c r="C53" s="523" t="s">
        <v>915</v>
      </c>
      <c r="D53" s="446"/>
      <c r="E53" s="446"/>
      <c r="F53" s="565"/>
      <c r="G53" s="565"/>
      <c r="H53" s="565"/>
      <c r="I53" s="565"/>
      <c r="J53" s="524">
        <f>-7701527.99/4</f>
        <v>-1925381.9975000001</v>
      </c>
      <c r="K53" s="524">
        <f>J53</f>
        <v>-1925381.9975000001</v>
      </c>
      <c r="L53" s="524">
        <f>K53</f>
        <v>-1925381.9975000001</v>
      </c>
      <c r="M53" s="524">
        <f>L53</f>
        <v>-1925381.9975000001</v>
      </c>
      <c r="N53" s="524">
        <f>+N52</f>
        <v>0</v>
      </c>
      <c r="O53" s="524">
        <f>+O52</f>
        <v>0</v>
      </c>
      <c r="P53" s="524">
        <f>+P52</f>
        <v>0</v>
      </c>
      <c r="Q53" s="524">
        <f>+Q52</f>
        <v>0</v>
      </c>
      <c r="R53" s="505">
        <v>-5500000</v>
      </c>
      <c r="S53" s="505">
        <v>-5500000</v>
      </c>
      <c r="T53" s="505">
        <v>-5500000</v>
      </c>
      <c r="U53" s="505">
        <v>-5500000</v>
      </c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</row>
    <row r="54" spans="1:61" s="425" customFormat="1">
      <c r="A54" s="522" t="s">
        <v>916</v>
      </c>
      <c r="B54" s="446"/>
      <c r="C54" s="446"/>
      <c r="D54" s="446"/>
      <c r="E54" s="446"/>
      <c r="F54" s="446"/>
      <c r="G54" s="446"/>
      <c r="H54" s="446"/>
      <c r="I54" s="446"/>
      <c r="J54" s="505">
        <f t="shared" ref="J54:U54" si="14">-J31</f>
        <v>112553</v>
      </c>
      <c r="K54" s="505">
        <f t="shared" si="14"/>
        <v>186705</v>
      </c>
      <c r="L54" s="505">
        <f t="shared" si="14"/>
        <v>148699</v>
      </c>
      <c r="M54" s="505">
        <f t="shared" si="14"/>
        <v>249431</v>
      </c>
      <c r="N54" s="505">
        <f t="shared" si="14"/>
        <v>174347</v>
      </c>
      <c r="O54" s="505">
        <f t="shared" si="14"/>
        <v>174347</v>
      </c>
      <c r="P54" s="505">
        <f t="shared" si="14"/>
        <v>174347</v>
      </c>
      <c r="Q54" s="505">
        <f t="shared" si="14"/>
        <v>174347</v>
      </c>
      <c r="R54" s="505">
        <f t="shared" si="14"/>
        <v>697388</v>
      </c>
      <c r="S54" s="505">
        <f t="shared" si="14"/>
        <v>697388</v>
      </c>
      <c r="T54" s="505">
        <f t="shared" si="14"/>
        <v>697388</v>
      </c>
      <c r="U54" s="505">
        <f t="shared" si="14"/>
        <v>697388</v>
      </c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</row>
    <row r="55" spans="1:61" s="425" customFormat="1">
      <c r="A55" s="522" t="s">
        <v>917</v>
      </c>
      <c r="B55" s="446"/>
      <c r="C55" s="446"/>
      <c r="D55" s="446"/>
      <c r="E55" s="446"/>
      <c r="F55" s="446"/>
      <c r="G55" s="446"/>
      <c r="H55" s="446"/>
      <c r="I55" s="446"/>
      <c r="J55" s="505">
        <f>registry!C60</f>
        <v>50000</v>
      </c>
      <c r="K55" s="505">
        <f>registry!D60</f>
        <v>50000</v>
      </c>
      <c r="L55" s="505">
        <f>registry!E60</f>
        <v>50000</v>
      </c>
      <c r="M55" s="505">
        <f>registry!F60</f>
        <v>50000</v>
      </c>
      <c r="N55" s="505">
        <f>registry!G60</f>
        <v>50000</v>
      </c>
      <c r="O55" s="505">
        <f>registry!H60</f>
        <v>50000</v>
      </c>
      <c r="P55" s="505">
        <f>registry!I60</f>
        <v>50000</v>
      </c>
      <c r="Q55" s="505">
        <f>registry!J60</f>
        <v>50000</v>
      </c>
      <c r="R55" s="505">
        <f>registry!K60</f>
        <v>250000</v>
      </c>
      <c r="S55" s="505">
        <f>registry!L60</f>
        <v>250000</v>
      </c>
      <c r="T55" s="505">
        <f>registry!M60</f>
        <v>250000</v>
      </c>
      <c r="U55" s="505">
        <f>registry!N60</f>
        <v>250000</v>
      </c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</row>
    <row r="56" spans="1:61" s="425" customFormat="1">
      <c r="A56" s="522" t="s">
        <v>918</v>
      </c>
      <c r="B56" s="446"/>
      <c r="C56" s="446"/>
      <c r="D56" s="446"/>
      <c r="E56" s="446"/>
      <c r="F56" s="446"/>
      <c r="G56" s="446"/>
      <c r="H56" s="446"/>
      <c r="I56" s="446"/>
      <c r="J56" s="505">
        <f>'.c12_oc_hr'!J6</f>
        <v>375000</v>
      </c>
      <c r="K56" s="505">
        <f>'.c12_oc_hr'!K6</f>
        <v>375000</v>
      </c>
      <c r="L56" s="505">
        <f>'.c12_oc_hr'!L6</f>
        <v>375000</v>
      </c>
      <c r="M56" s="505">
        <f>'.c12_oc_hr'!M6</f>
        <v>375000</v>
      </c>
      <c r="N56" s="505">
        <f>'.c12_oc_hr'!N6</f>
        <v>375000</v>
      </c>
      <c r="O56" s="505">
        <f>'.c12_oc_hr'!O6</f>
        <v>375000</v>
      </c>
      <c r="P56" s="505">
        <f>'.c12_oc_hr'!P6</f>
        <v>375000</v>
      </c>
      <c r="Q56" s="505">
        <f>'.c12_oc_hr'!Q6</f>
        <v>375000</v>
      </c>
      <c r="R56" s="505">
        <f>'.c12_oc_hr'!R6</f>
        <v>1500000</v>
      </c>
      <c r="S56" s="505">
        <f>'.c12_oc_hr'!S6</f>
        <v>1500000</v>
      </c>
      <c r="T56" s="505">
        <f>'.c12_oc_hr'!T6</f>
        <v>1500000</v>
      </c>
      <c r="U56" s="505">
        <f>'.c12_oc_hr'!U6</f>
        <v>1500000</v>
      </c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</row>
    <row r="57" spans="1:61" s="425" customFormat="1">
      <c r="A57" s="522" t="s">
        <v>919</v>
      </c>
      <c r="B57" s="446"/>
      <c r="C57" s="446"/>
      <c r="D57" s="446"/>
      <c r="E57" s="446"/>
      <c r="F57" s="446"/>
      <c r="G57" s="446"/>
      <c r="H57" s="446"/>
      <c r="I57" s="446"/>
      <c r="J57" s="505">
        <f>-registry!C83</f>
        <v>250000</v>
      </c>
      <c r="K57" s="505">
        <f>-registry!D83</f>
        <v>250000</v>
      </c>
      <c r="L57" s="505">
        <f>-registry!E83</f>
        <v>250000</v>
      </c>
      <c r="M57" s="505">
        <f>-registry!F83</f>
        <v>250000</v>
      </c>
      <c r="N57" s="505">
        <f>-registry!G83</f>
        <v>250000</v>
      </c>
      <c r="O57" s="505">
        <f>-registry!H83</f>
        <v>250000</v>
      </c>
      <c r="P57" s="505">
        <f>-registry!I83</f>
        <v>250000</v>
      </c>
      <c r="Q57" s="505">
        <f>-registry!J83</f>
        <v>250000</v>
      </c>
      <c r="R57" s="505">
        <f>-registry!K83</f>
        <v>1000000</v>
      </c>
      <c r="S57" s="505">
        <f>-registry!L83</f>
        <v>1000000</v>
      </c>
      <c r="T57" s="505">
        <f>-registry!M83</f>
        <v>1000000</v>
      </c>
      <c r="U57" s="505">
        <f>-registry!N83</f>
        <v>1000000</v>
      </c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</row>
    <row r="58" spans="1:61" s="29" customFormat="1">
      <c r="A58" s="525"/>
      <c r="B58" s="513"/>
      <c r="C58" s="513"/>
      <c r="D58" s="513"/>
      <c r="E58" s="515"/>
      <c r="F58" s="446"/>
      <c r="G58" s="446"/>
      <c r="H58" s="446"/>
      <c r="I58" s="446"/>
      <c r="J58" s="526"/>
      <c r="K58" s="527"/>
      <c r="L58" s="515"/>
      <c r="M58" s="526"/>
      <c r="N58" s="527"/>
      <c r="O58" s="527"/>
      <c r="P58" s="527"/>
      <c r="Q58" s="527"/>
      <c r="R58" s="527"/>
      <c r="S58" s="527"/>
      <c r="T58" s="527"/>
      <c r="U58" s="527"/>
      <c r="V58" s="446"/>
      <c r="W58" s="471"/>
      <c r="X58" s="446"/>
      <c r="Y58" s="446"/>
      <c r="Z58" s="446"/>
      <c r="AA58" s="446"/>
      <c r="AB58" s="446"/>
      <c r="AC58" s="446"/>
      <c r="AD58" s="446"/>
      <c r="AE58" s="516"/>
      <c r="AF58" s="516"/>
      <c r="AG58" s="517"/>
      <c r="AH58" s="517"/>
      <c r="AI58" s="517"/>
      <c r="AJ58" s="517"/>
      <c r="AK58" s="518"/>
      <c r="AL58" s="515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</row>
    <row r="59" spans="1:61" s="29" customFormat="1">
      <c r="A59" s="528" t="s">
        <v>920</v>
      </c>
      <c r="B59" s="513"/>
      <c r="C59" s="513"/>
      <c r="D59" s="513"/>
      <c r="E59" s="515"/>
      <c r="F59" s="446"/>
      <c r="G59" s="446"/>
      <c r="H59" s="446"/>
      <c r="I59" s="446"/>
      <c r="J59" s="526"/>
      <c r="K59" s="526">
        <f>registry!B102</f>
        <v>0</v>
      </c>
      <c r="L59" s="526">
        <f>registry!C102</f>
        <v>0</v>
      </c>
      <c r="M59" s="526">
        <f>-registry!D102</f>
        <v>1200000</v>
      </c>
      <c r="N59" s="526">
        <f>registry!C102</f>
        <v>0</v>
      </c>
      <c r="O59" s="446"/>
      <c r="P59" s="526">
        <f>registry!E102</f>
        <v>0</v>
      </c>
      <c r="Q59" s="526"/>
      <c r="R59" s="526">
        <f>registry!G102</f>
        <v>0</v>
      </c>
      <c r="S59" s="526">
        <f>registry!H102</f>
        <v>0</v>
      </c>
      <c r="T59" s="526">
        <f>registry!I102</f>
        <v>0</v>
      </c>
      <c r="U59" s="526">
        <f>registry!J102</f>
        <v>0</v>
      </c>
      <c r="V59" s="446"/>
      <c r="W59" s="471"/>
      <c r="X59" s="446"/>
      <c r="Y59" s="446"/>
      <c r="Z59" s="446"/>
      <c r="AA59" s="446"/>
      <c r="AB59" s="446"/>
      <c r="AC59" s="446"/>
      <c r="AD59" s="446"/>
      <c r="AE59" s="516"/>
      <c r="AF59" s="516"/>
      <c r="AG59" s="517"/>
      <c r="AH59" s="517"/>
      <c r="AI59" s="517"/>
      <c r="AJ59" s="517"/>
      <c r="AK59" s="518"/>
      <c r="AL59" s="515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</row>
    <row r="60" spans="1:61" s="16" customFormat="1">
      <c r="A60" s="511" t="s">
        <v>921</v>
      </c>
      <c r="B60" s="512" t="s">
        <v>36</v>
      </c>
      <c r="C60" s="512" t="s">
        <v>922</v>
      </c>
      <c r="D60" s="513"/>
      <c r="E60" s="529">
        <v>-4651000</v>
      </c>
      <c r="F60" s="446"/>
      <c r="G60" s="446"/>
      <c r="H60" s="446"/>
      <c r="I60" s="446"/>
      <c r="J60" s="530">
        <f t="shared" ref="J60:U60" si="15">SUM(J53:J59)</f>
        <v>-1137828.9975000001</v>
      </c>
      <c r="K60" s="530">
        <f t="shared" si="15"/>
        <v>-1063676.9975000001</v>
      </c>
      <c r="L60" s="530">
        <f t="shared" si="15"/>
        <v>-1101682.9975000001</v>
      </c>
      <c r="M60" s="530">
        <f t="shared" si="15"/>
        <v>199049.00249999994</v>
      </c>
      <c r="N60" s="530">
        <f t="shared" si="15"/>
        <v>849347</v>
      </c>
      <c r="O60" s="530">
        <f t="shared" si="15"/>
        <v>849347</v>
      </c>
      <c r="P60" s="530">
        <f t="shared" si="15"/>
        <v>849347</v>
      </c>
      <c r="Q60" s="530">
        <f t="shared" si="15"/>
        <v>849347</v>
      </c>
      <c r="R60" s="531">
        <f t="shared" si="15"/>
        <v>-2052612</v>
      </c>
      <c r="S60" s="531">
        <f t="shared" si="15"/>
        <v>-2052612</v>
      </c>
      <c r="T60" s="531">
        <f t="shared" si="15"/>
        <v>-2052612</v>
      </c>
      <c r="U60" s="531">
        <f t="shared" si="15"/>
        <v>-2052612</v>
      </c>
      <c r="V60" s="446"/>
      <c r="W60" s="471"/>
      <c r="X60" s="446"/>
      <c r="Y60" s="446"/>
      <c r="Z60" s="446"/>
      <c r="AA60" s="446"/>
      <c r="AB60" s="446"/>
      <c r="AC60" s="446"/>
      <c r="AD60" s="446"/>
      <c r="AE60" s="516"/>
      <c r="AF60" s="516"/>
      <c r="AG60" s="517"/>
      <c r="AH60" s="517"/>
      <c r="AI60" s="517"/>
      <c r="AJ60" s="517"/>
      <c r="AK60" s="518"/>
      <c r="AL60" s="515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</row>
    <row r="61" spans="1:61" s="16" customFormat="1">
      <c r="A61" s="511" t="s">
        <v>923</v>
      </c>
      <c r="B61" s="512" t="s">
        <v>36</v>
      </c>
      <c r="C61" s="512" t="s">
        <v>924</v>
      </c>
      <c r="D61" s="513"/>
      <c r="E61" s="529">
        <v>-1531049</v>
      </c>
      <c r="F61" s="446"/>
      <c r="G61" s="446"/>
      <c r="H61" s="446"/>
      <c r="I61" s="446"/>
      <c r="J61" s="530">
        <f t="shared" ref="J61:U61" si="16">+(J48+J60)</f>
        <v>-530378.98434210522</v>
      </c>
      <c r="K61" s="530">
        <f t="shared" si="16"/>
        <v>-456226.98434210522</v>
      </c>
      <c r="L61" s="530">
        <f t="shared" si="16"/>
        <v>-205774.03697368409</v>
      </c>
      <c r="M61" s="530">
        <f t="shared" si="16"/>
        <v>1094579.5419736844</v>
      </c>
      <c r="N61" s="530">
        <f t="shared" si="16"/>
        <v>1678678.4766666666</v>
      </c>
      <c r="O61" s="530">
        <f t="shared" si="16"/>
        <v>2222640.479166667</v>
      </c>
      <c r="P61" s="530">
        <f t="shared" si="16"/>
        <v>2150507.8739035088</v>
      </c>
      <c r="Q61" s="530">
        <f t="shared" si="16"/>
        <v>3470064.3521929821</v>
      </c>
      <c r="R61" s="531">
        <f t="shared" si="16"/>
        <v>2414729.7316666655</v>
      </c>
      <c r="S61" s="531">
        <f t="shared" si="16"/>
        <v>1774615.0501433332</v>
      </c>
      <c r="T61" s="531">
        <f t="shared" si="16"/>
        <v>1752540.4221476335</v>
      </c>
      <c r="U61" s="531">
        <f t="shared" si="16"/>
        <v>1476536.5635775551</v>
      </c>
      <c r="V61" s="446"/>
      <c r="W61" s="471"/>
      <c r="X61" s="446"/>
      <c r="Y61" s="446"/>
      <c r="Z61" s="446"/>
      <c r="AA61" s="446"/>
      <c r="AB61" s="446"/>
      <c r="AC61" s="446"/>
      <c r="AD61" s="446"/>
      <c r="AE61" s="516"/>
      <c r="AF61" s="516"/>
      <c r="AG61" s="517"/>
      <c r="AH61" s="517"/>
      <c r="AI61" s="517"/>
      <c r="AJ61" s="517"/>
      <c r="AK61" s="518"/>
      <c r="AL61" s="515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</row>
    <row r="62" spans="1:61" s="33" customFormat="1" ht="15" thickBot="1">
      <c r="A62" s="511" t="s">
        <v>925</v>
      </c>
      <c r="B62" s="512" t="s">
        <v>36</v>
      </c>
      <c r="C62" s="512" t="s">
        <v>926</v>
      </c>
      <c r="D62" s="513"/>
      <c r="E62" s="531"/>
      <c r="F62" s="446"/>
      <c r="G62" s="446"/>
      <c r="H62" s="446"/>
      <c r="I62" s="446"/>
      <c r="J62" s="530"/>
      <c r="K62" s="530"/>
      <c r="L62" s="530"/>
      <c r="M62" s="530"/>
      <c r="N62" s="530">
        <f>-E63</f>
        <v>0</v>
      </c>
      <c r="O62" s="530"/>
      <c r="P62" s="530"/>
      <c r="Q62" s="530"/>
      <c r="R62" s="531"/>
      <c r="S62" s="531"/>
      <c r="T62" s="531"/>
      <c r="U62" s="531"/>
      <c r="V62" s="446"/>
      <c r="W62" s="471"/>
      <c r="X62" s="446"/>
      <c r="Y62" s="446"/>
      <c r="Z62" s="446"/>
      <c r="AA62" s="446"/>
      <c r="AB62" s="446"/>
      <c r="AC62" s="446"/>
      <c r="AD62" s="446"/>
      <c r="AE62" s="516"/>
      <c r="AF62" s="516"/>
      <c r="AG62" s="517"/>
      <c r="AH62" s="517"/>
      <c r="AI62" s="517"/>
      <c r="AJ62" s="517"/>
      <c r="AK62" s="518"/>
      <c r="AL62" s="515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</row>
    <row r="63" spans="1:61" s="419" customFormat="1" ht="15.5" thickTop="1" thickBot="1">
      <c r="A63" s="511" t="s">
        <v>927</v>
      </c>
      <c r="B63" s="512" t="s">
        <v>36</v>
      </c>
      <c r="C63" s="512" t="s">
        <v>928</v>
      </c>
      <c r="D63" s="513"/>
      <c r="E63" s="532"/>
      <c r="F63" s="446"/>
      <c r="G63" s="446"/>
      <c r="H63" s="446"/>
      <c r="I63" s="446"/>
      <c r="J63" s="533">
        <f>MIN(J61+E63+J62,0)</f>
        <v>-530378.98434210522</v>
      </c>
      <c r="K63" s="533">
        <f t="shared" ref="K63:U63" si="17">MIN(K61+J63+K62,0)</f>
        <v>-986605.96868421044</v>
      </c>
      <c r="L63" s="533">
        <f t="shared" si="17"/>
        <v>-1192380.0056578945</v>
      </c>
      <c r="M63" s="533">
        <f t="shared" si="17"/>
        <v>-97800.463684210088</v>
      </c>
      <c r="N63" s="533">
        <f t="shared" si="17"/>
        <v>0</v>
      </c>
      <c r="O63" s="533">
        <f t="shared" si="17"/>
        <v>0</v>
      </c>
      <c r="P63" s="533">
        <f t="shared" si="17"/>
        <v>0</v>
      </c>
      <c r="Q63" s="533">
        <f t="shared" si="17"/>
        <v>0</v>
      </c>
      <c r="R63" s="532">
        <f t="shared" si="17"/>
        <v>0</v>
      </c>
      <c r="S63" s="532">
        <f t="shared" si="17"/>
        <v>0</v>
      </c>
      <c r="T63" s="532">
        <f t="shared" si="17"/>
        <v>0</v>
      </c>
      <c r="U63" s="532">
        <f t="shared" si="17"/>
        <v>0</v>
      </c>
      <c r="V63" s="446"/>
      <c r="W63" s="471"/>
      <c r="X63" s="446"/>
      <c r="Y63" s="446"/>
      <c r="Z63" s="446"/>
      <c r="AA63" s="446"/>
      <c r="AB63" s="446"/>
      <c r="AC63" s="446"/>
      <c r="AD63" s="446"/>
      <c r="AE63" s="516"/>
      <c r="AF63" s="516"/>
      <c r="AG63" s="517"/>
      <c r="AH63" s="517"/>
      <c r="AI63" s="517"/>
      <c r="AJ63" s="517"/>
      <c r="AK63" s="518"/>
      <c r="AL63" s="515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</row>
    <row r="64" spans="1:61" ht="15" thickTop="1">
      <c r="A64" s="446"/>
      <c r="B64" s="468"/>
      <c r="C64" s="468"/>
      <c r="D64" s="468"/>
      <c r="E64" s="534"/>
      <c r="F64" s="446"/>
      <c r="G64" s="446"/>
      <c r="H64" s="446"/>
      <c r="I64" s="446"/>
      <c r="J64" s="534"/>
      <c r="K64" s="534"/>
      <c r="L64" s="534"/>
      <c r="M64" s="534"/>
      <c r="N64" s="534"/>
      <c r="O64" s="534"/>
      <c r="P64" s="534"/>
      <c r="Q64" s="534"/>
      <c r="R64" s="534"/>
      <c r="S64" s="534"/>
      <c r="T64" s="534"/>
      <c r="U64" s="534"/>
      <c r="V64" s="446"/>
      <c r="W64" s="471"/>
      <c r="X64" s="446"/>
      <c r="Y64" s="446"/>
      <c r="Z64" s="446"/>
      <c r="AA64" s="446"/>
      <c r="AB64" s="446"/>
      <c r="AC64" s="446"/>
      <c r="AD64" s="446"/>
      <c r="AE64" s="510"/>
      <c r="AF64" s="510"/>
      <c r="AG64" s="535"/>
      <c r="AH64" s="535"/>
      <c r="AI64" s="535"/>
      <c r="AJ64" s="535"/>
      <c r="AK64" s="536"/>
      <c r="AL64" s="534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</row>
    <row r="65" spans="1:61">
      <c r="A65" s="458" t="s">
        <v>929</v>
      </c>
      <c r="B65" s="468"/>
      <c r="C65" s="468"/>
      <c r="D65" s="468"/>
      <c r="E65" s="505"/>
      <c r="F65" s="446"/>
      <c r="G65" s="446"/>
      <c r="H65" s="446"/>
      <c r="I65" s="446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446"/>
      <c r="W65" s="471"/>
      <c r="X65" s="446"/>
      <c r="Y65" s="446"/>
      <c r="Z65" s="446"/>
      <c r="AA65" s="446"/>
      <c r="AB65" s="446"/>
      <c r="AC65" s="446"/>
      <c r="AD65" s="446"/>
      <c r="AE65" s="510"/>
      <c r="AF65" s="510"/>
      <c r="AG65" s="535"/>
      <c r="AH65" s="535"/>
      <c r="AI65" s="535"/>
      <c r="AJ65" s="535"/>
      <c r="AK65" s="536"/>
      <c r="AL65" s="534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</row>
    <row r="66" spans="1:61">
      <c r="A66" s="458" t="s">
        <v>871</v>
      </c>
      <c r="B66" s="468"/>
      <c r="C66" s="468"/>
      <c r="D66" s="468"/>
      <c r="E66" s="505"/>
      <c r="F66" s="446"/>
      <c r="G66" s="446"/>
      <c r="H66" s="446"/>
      <c r="I66" s="446"/>
      <c r="J66" s="505">
        <f>-'c12_hm'!J62</f>
        <v>113077.75</v>
      </c>
      <c r="K66" s="505">
        <f>-'c12_hm'!K62</f>
        <v>226155.5</v>
      </c>
      <c r="L66" s="505">
        <f>-'c12_hm'!L62</f>
        <v>339233.25</v>
      </c>
      <c r="M66" s="505">
        <f>-'c12_hm'!M62</f>
        <v>563661</v>
      </c>
      <c r="N66" s="505">
        <f>-'c12_hm'!N62</f>
        <v>1162988.5925</v>
      </c>
      <c r="O66" s="505">
        <f>-'c12_hm'!O62</f>
        <v>1170394.6850000001</v>
      </c>
      <c r="P66" s="505">
        <f>-'c12_hm'!P62</f>
        <v>1177800.7775000001</v>
      </c>
      <c r="Q66" s="505">
        <f>-'c12_hm'!Q62</f>
        <v>16206.870000000112</v>
      </c>
      <c r="R66" s="505">
        <f>-'c12_hm'!R62</f>
        <v>1046719.9711</v>
      </c>
      <c r="S66" s="505">
        <f>-'c12_hm'!S62</f>
        <v>1078148.4652329998</v>
      </c>
      <c r="T66" s="505">
        <f>-'c12_hm'!T62</f>
        <v>110519.81418999005</v>
      </c>
      <c r="U66" s="505">
        <f>-'c12_hm'!U62</f>
        <v>0</v>
      </c>
      <c r="V66" s="446"/>
      <c r="W66" s="471"/>
      <c r="X66" s="446"/>
      <c r="Y66" s="446"/>
      <c r="Z66" s="446"/>
      <c r="AA66" s="446"/>
      <c r="AB66" s="446"/>
      <c r="AC66" s="446"/>
      <c r="AD66" s="446"/>
      <c r="AE66" s="510"/>
      <c r="AF66" s="510"/>
      <c r="AG66" s="535"/>
      <c r="AH66" s="535"/>
      <c r="AI66" s="535"/>
      <c r="AJ66" s="535"/>
      <c r="AK66" s="536"/>
      <c r="AL66" s="534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</row>
    <row r="67" spans="1:61">
      <c r="A67" s="458" t="s">
        <v>872</v>
      </c>
      <c r="B67" s="468"/>
      <c r="C67" s="468"/>
      <c r="D67" s="468"/>
      <c r="E67" s="505"/>
      <c r="F67" s="446"/>
      <c r="G67" s="446"/>
      <c r="H67" s="446"/>
      <c r="I67" s="446"/>
      <c r="J67" s="505">
        <f>'c12_bi&amp;F'!J62</f>
        <v>0</v>
      </c>
      <c r="K67" s="505">
        <f>'c12_bi&amp;F'!K62</f>
        <v>0</v>
      </c>
      <c r="L67" s="505">
        <f>'c12_bi&amp;F'!L62</f>
        <v>0</v>
      </c>
      <c r="M67" s="505">
        <f>'c12_bi&amp;F'!M62</f>
        <v>0</v>
      </c>
      <c r="N67" s="505">
        <f>'c12_bi&amp;F'!N62</f>
        <v>0</v>
      </c>
      <c r="O67" s="505">
        <f>'c12_bi&amp;F'!O62</f>
        <v>0</v>
      </c>
      <c r="P67" s="505">
        <f>'c12_bi&amp;F'!P62</f>
        <v>0</v>
      </c>
      <c r="Q67" s="505">
        <f>'c12_bi&amp;F'!Q62</f>
        <v>0</v>
      </c>
      <c r="R67" s="505">
        <f>'c12_bi&amp;F'!R62</f>
        <v>0</v>
      </c>
      <c r="S67" s="505">
        <f>'c12_bi&amp;F'!S62</f>
        <v>0</v>
      </c>
      <c r="T67" s="505">
        <f>'c12_bi&amp;F'!T62</f>
        <v>0</v>
      </c>
      <c r="U67" s="505">
        <f>'c12_bi&amp;F'!U62</f>
        <v>0</v>
      </c>
      <c r="V67" s="446"/>
      <c r="W67" s="471"/>
      <c r="X67" s="446"/>
      <c r="Y67" s="446"/>
      <c r="Z67" s="446"/>
      <c r="AA67" s="446"/>
      <c r="AB67" s="446"/>
      <c r="AC67" s="446"/>
      <c r="AD67" s="446"/>
      <c r="AE67" s="510"/>
      <c r="AF67" s="510"/>
      <c r="AG67" s="535"/>
      <c r="AH67" s="535"/>
      <c r="AI67" s="535"/>
      <c r="AJ67" s="535"/>
      <c r="AK67" s="536"/>
      <c r="AL67" s="534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</row>
    <row r="68" spans="1:61" ht="15" thickBot="1">
      <c r="A68" s="458" t="s">
        <v>930</v>
      </c>
      <c r="B68" s="468"/>
      <c r="C68" s="468"/>
      <c r="D68" s="468"/>
      <c r="E68" s="505"/>
      <c r="F68" s="446"/>
      <c r="G68" s="446"/>
      <c r="H68" s="446"/>
      <c r="I68" s="446"/>
      <c r="J68" s="505">
        <f>-'c12_d&amp;s'!J62</f>
        <v>302954.75</v>
      </c>
      <c r="K68" s="505">
        <f>-'c12_d&amp;s'!K62</f>
        <v>2855909.5</v>
      </c>
      <c r="L68" s="505">
        <f>-'c12_d&amp;s'!L62</f>
        <v>4033864.25</v>
      </c>
      <c r="M68" s="505">
        <f>-'c12_d&amp;s'!M62</f>
        <v>4801819</v>
      </c>
      <c r="N68" s="505">
        <f>-'c12_d&amp;s'!N62</f>
        <v>4957879.68</v>
      </c>
      <c r="O68" s="505">
        <f>-'c12_d&amp;s'!O62</f>
        <v>4470379.68</v>
      </c>
      <c r="P68" s="505">
        <f>-'c12_d&amp;s'!P62</f>
        <v>4201060.68</v>
      </c>
      <c r="Q68" s="505">
        <f>-'c12_d&amp;s'!Q62</f>
        <v>4929060.68</v>
      </c>
      <c r="R68" s="505">
        <f>-'c12_d&amp;s'!R62</f>
        <v>3750000</v>
      </c>
      <c r="S68" s="505">
        <f>-'c12_d&amp;s'!S62</f>
        <v>2650000</v>
      </c>
      <c r="T68" s="505">
        <f>-'c12_d&amp;s'!T62</f>
        <v>6000000</v>
      </c>
      <c r="U68" s="505">
        <f>-'c12_d&amp;s'!U62</f>
        <v>8000000.333333333</v>
      </c>
      <c r="V68" s="446"/>
      <c r="W68" s="471"/>
      <c r="X68" s="446"/>
      <c r="Y68" s="446"/>
      <c r="Z68" s="446"/>
      <c r="AA68" s="446"/>
      <c r="AB68" s="446"/>
      <c r="AC68" s="446"/>
      <c r="AD68" s="446"/>
      <c r="AE68" s="510"/>
      <c r="AF68" s="510"/>
      <c r="AG68" s="535"/>
      <c r="AH68" s="535"/>
      <c r="AI68" s="535"/>
      <c r="AJ68" s="535"/>
      <c r="AK68" s="536"/>
      <c r="AL68" s="534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</row>
    <row r="69" spans="1:61" s="417" customFormat="1" ht="15.5" thickTop="1" thickBot="1">
      <c r="A69" s="486" t="s">
        <v>306</v>
      </c>
      <c r="B69" s="481" t="s">
        <v>36</v>
      </c>
      <c r="C69" s="481" t="s">
        <v>931</v>
      </c>
      <c r="D69" s="468"/>
      <c r="E69" s="537"/>
      <c r="F69" s="446"/>
      <c r="G69" s="446"/>
      <c r="H69" s="446"/>
      <c r="I69" s="446"/>
      <c r="J69" s="538">
        <f t="shared" ref="J69:U69" si="18">SUM(J66:J68)</f>
        <v>416032.5</v>
      </c>
      <c r="K69" s="538">
        <f t="shared" si="18"/>
        <v>3082065</v>
      </c>
      <c r="L69" s="538">
        <f t="shared" si="18"/>
        <v>4373097.5</v>
      </c>
      <c r="M69" s="538">
        <f t="shared" si="18"/>
        <v>5365480</v>
      </c>
      <c r="N69" s="538">
        <f t="shared" si="18"/>
        <v>6120868.2725</v>
      </c>
      <c r="O69" s="538">
        <f t="shared" si="18"/>
        <v>5640774.3650000002</v>
      </c>
      <c r="P69" s="538">
        <f t="shared" si="18"/>
        <v>5378861.4574999996</v>
      </c>
      <c r="Q69" s="538">
        <f t="shared" si="18"/>
        <v>4945267.55</v>
      </c>
      <c r="R69" s="537">
        <f t="shared" si="18"/>
        <v>4796719.9710999997</v>
      </c>
      <c r="S69" s="537">
        <f t="shared" si="18"/>
        <v>3728148.465233</v>
      </c>
      <c r="T69" s="537">
        <f t="shared" si="18"/>
        <v>6110519.8141899901</v>
      </c>
      <c r="U69" s="537">
        <f t="shared" si="18"/>
        <v>8000000.333333333</v>
      </c>
      <c r="V69" s="446"/>
      <c r="W69" s="471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</row>
    <row r="70" spans="1:61" ht="15" thickTop="1">
      <c r="A70" s="539"/>
      <c r="B70" s="468"/>
      <c r="C70" s="468"/>
      <c r="D70" s="468"/>
      <c r="E70" s="505"/>
      <c r="F70" s="446"/>
      <c r="G70" s="446"/>
      <c r="H70" s="446"/>
      <c r="I70" s="446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446"/>
      <c r="W70" s="471"/>
      <c r="X70" s="446"/>
      <c r="Y70" s="446"/>
      <c r="Z70" s="446"/>
      <c r="AA70" s="446"/>
      <c r="AB70" s="446"/>
      <c r="AC70" s="446"/>
      <c r="AD70" s="446"/>
      <c r="AE70" s="510"/>
      <c r="AF70" s="510"/>
      <c r="AG70" s="535"/>
      <c r="AH70" s="535"/>
      <c r="AI70" s="535"/>
      <c r="AJ70" s="535"/>
      <c r="AK70" s="535"/>
      <c r="AL70" s="536"/>
      <c r="AM70" s="534"/>
      <c r="AN70" s="540"/>
      <c r="AO70" s="540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</row>
    <row r="71" spans="1:61">
      <c r="A71" s="481" t="s">
        <v>932</v>
      </c>
      <c r="B71" s="468"/>
      <c r="C71" s="468"/>
      <c r="D71" s="468"/>
      <c r="E71" s="505"/>
      <c r="F71" s="446"/>
      <c r="G71" s="446"/>
      <c r="H71" s="446"/>
      <c r="I71" s="446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446"/>
      <c r="W71" s="471"/>
      <c r="X71" s="446"/>
      <c r="Y71" s="446"/>
      <c r="Z71" s="446"/>
      <c r="AA71" s="446"/>
      <c r="AB71" s="446"/>
      <c r="AC71" s="446"/>
      <c r="AD71" s="446"/>
      <c r="AE71" s="510"/>
      <c r="AF71" s="510"/>
      <c r="AG71" s="535"/>
      <c r="AH71" s="535"/>
      <c r="AI71" s="535"/>
      <c r="AJ71" s="535"/>
      <c r="AK71" s="535"/>
      <c r="AL71" s="536"/>
      <c r="AM71" s="534"/>
      <c r="AN71" s="540"/>
      <c r="AO71" s="540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</row>
    <row r="72" spans="1:61">
      <c r="A72" s="458" t="s">
        <v>871</v>
      </c>
      <c r="B72" s="468"/>
      <c r="C72" s="468"/>
      <c r="D72" s="468"/>
      <c r="E72" s="505"/>
      <c r="F72" s="446"/>
      <c r="G72" s="446"/>
      <c r="H72" s="446"/>
      <c r="I72" s="446"/>
      <c r="J72" s="505">
        <f>+'c12_hm'!J74</f>
        <v>113077.75</v>
      </c>
      <c r="K72" s="505">
        <f>+'c12_hm'!K74</f>
        <v>226155.5</v>
      </c>
      <c r="L72" s="505">
        <f>+'c12_hm'!L74</f>
        <v>339233.25</v>
      </c>
      <c r="M72" s="505">
        <f>+'c12_hm'!M74</f>
        <v>563661</v>
      </c>
      <c r="N72" s="505">
        <f>+'c12_hm'!N74</f>
        <v>740925.65737499995</v>
      </c>
      <c r="O72" s="505">
        <f>+'c12_hm'!O74</f>
        <v>583052.45224999997</v>
      </c>
      <c r="P72" s="505">
        <f>+'c12_hm'!P74</f>
        <v>425179.24712499999</v>
      </c>
      <c r="Q72" s="505">
        <f>+'c12_hm'!Q74</f>
        <v>18621.379500000039</v>
      </c>
      <c r="R72" s="505">
        <f>+'c12_hm'!R74</f>
        <v>379300.96488499996</v>
      </c>
      <c r="S72" s="505">
        <f>+'c12_hm'!S74</f>
        <v>390300.93783154996</v>
      </c>
      <c r="T72" s="505">
        <f>+'c12_hm'!T74</f>
        <v>51630.909966496518</v>
      </c>
      <c r="U72" s="505">
        <f>+'c12_hm'!U74</f>
        <v>12948.975000000006</v>
      </c>
      <c r="V72" s="446"/>
      <c r="W72" s="471"/>
      <c r="X72" s="446"/>
      <c r="Y72" s="446"/>
      <c r="Z72" s="446"/>
      <c r="AA72" s="446"/>
      <c r="AB72" s="446"/>
      <c r="AC72" s="446"/>
      <c r="AD72" s="446"/>
      <c r="AE72" s="510"/>
      <c r="AF72" s="510"/>
      <c r="AG72" s="535"/>
      <c r="AH72" s="535"/>
      <c r="AI72" s="535"/>
      <c r="AJ72" s="535"/>
      <c r="AK72" s="535"/>
      <c r="AL72" s="536"/>
      <c r="AM72" s="534"/>
      <c r="AN72" s="540"/>
      <c r="AO72" s="540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</row>
    <row r="73" spans="1:61">
      <c r="A73" s="458" t="s">
        <v>933</v>
      </c>
      <c r="B73" s="468"/>
      <c r="C73" s="468"/>
      <c r="D73" s="468"/>
      <c r="E73" s="505"/>
      <c r="F73" s="446"/>
      <c r="G73" s="446"/>
      <c r="H73" s="446"/>
      <c r="I73" s="446"/>
      <c r="J73" s="505">
        <f>'c12_bi&amp;F'!J74</f>
        <v>0</v>
      </c>
      <c r="K73" s="505">
        <f>'c12_bi&amp;F'!K74</f>
        <v>0</v>
      </c>
      <c r="L73" s="505">
        <f>'c12_bi&amp;F'!L74</f>
        <v>0</v>
      </c>
      <c r="M73" s="505">
        <f>'c12_bi&amp;F'!M74</f>
        <v>0</v>
      </c>
      <c r="N73" s="505">
        <f>'c12_bi&amp;F'!N74</f>
        <v>0</v>
      </c>
      <c r="O73" s="505">
        <f>'c12_bi&amp;F'!O74</f>
        <v>0</v>
      </c>
      <c r="P73" s="505">
        <f>'c12_bi&amp;F'!P74</f>
        <v>0</v>
      </c>
      <c r="Q73" s="505">
        <f>'c12_bi&amp;F'!Q74</f>
        <v>0</v>
      </c>
      <c r="R73" s="505">
        <f>'c12_bi&amp;F'!R74</f>
        <v>0</v>
      </c>
      <c r="S73" s="505">
        <f>'c12_bi&amp;F'!S74</f>
        <v>0</v>
      </c>
      <c r="T73" s="505">
        <f>'c12_bi&amp;F'!T74</f>
        <v>0</v>
      </c>
      <c r="U73" s="505">
        <f>'c12_bi&amp;F'!U74</f>
        <v>0</v>
      </c>
      <c r="V73" s="446"/>
      <c r="W73" s="471"/>
      <c r="X73" s="446"/>
      <c r="Y73" s="446"/>
      <c r="Z73" s="446"/>
      <c r="AA73" s="446"/>
      <c r="AB73" s="446"/>
      <c r="AC73" s="446"/>
      <c r="AD73" s="446"/>
      <c r="AE73" s="510"/>
      <c r="AF73" s="510"/>
      <c r="AG73" s="535"/>
      <c r="AH73" s="535"/>
      <c r="AI73" s="535"/>
      <c r="AJ73" s="535"/>
      <c r="AK73" s="535"/>
      <c r="AL73" s="536"/>
      <c r="AM73" s="534"/>
      <c r="AN73" s="540"/>
      <c r="AO73" s="540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</row>
    <row r="74" spans="1:61" ht="15" thickBot="1">
      <c r="A74" s="458" t="s">
        <v>930</v>
      </c>
      <c r="B74" s="468"/>
      <c r="C74" s="468"/>
      <c r="D74" s="468"/>
      <c r="E74" s="497"/>
      <c r="F74" s="446"/>
      <c r="G74" s="446"/>
      <c r="H74" s="446"/>
      <c r="I74" s="446"/>
      <c r="J74" s="497">
        <f>'c12_d&amp;s'!J74</f>
        <v>151477.375</v>
      </c>
      <c r="K74" s="497">
        <f>'c12_d&amp;s'!K74</f>
        <v>1427954.75</v>
      </c>
      <c r="L74" s="497">
        <f>'c12_d&amp;s'!L74</f>
        <v>2016932.125</v>
      </c>
      <c r="M74" s="497">
        <f>'c12_d&amp;s'!M74</f>
        <v>2400909.5</v>
      </c>
      <c r="N74" s="497">
        <f>'c12_d&amp;s'!N74</f>
        <v>2229233.6399999997</v>
      </c>
      <c r="O74" s="497">
        <f>'c12_d&amp;s'!O74</f>
        <v>1881983.6399999997</v>
      </c>
      <c r="P74" s="497">
        <f>'c12_d&amp;s'!P74</f>
        <v>1597324.1399999997</v>
      </c>
      <c r="Q74" s="497">
        <f>'c12_d&amp;s'!Q74</f>
        <v>1646324.1399999997</v>
      </c>
      <c r="R74" s="497">
        <f>'c12_d&amp;s'!R74</f>
        <v>1233652.9019999998</v>
      </c>
      <c r="S74" s="497">
        <f>'c12_d&amp;s'!S74</f>
        <v>848652.90199999965</v>
      </c>
      <c r="T74" s="497">
        <f>'c12_d&amp;s'!T74</f>
        <v>2021152.9019999998</v>
      </c>
      <c r="U74" s="497">
        <f>'c12_d&amp;s'!U74</f>
        <v>2721153.0186666665</v>
      </c>
      <c r="V74" s="497"/>
      <c r="W74" s="471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505"/>
      <c r="AN74" s="505"/>
      <c r="AO74" s="505"/>
      <c r="AP74" s="505"/>
      <c r="AQ74" s="505"/>
      <c r="AR74" s="505"/>
      <c r="AS74" s="505"/>
      <c r="AT74" s="505"/>
      <c r="AU74" s="505"/>
      <c r="AV74" s="446"/>
      <c r="AW74" s="505"/>
      <c r="AX74" s="505"/>
      <c r="AY74" s="505"/>
      <c r="AZ74" s="505"/>
      <c r="BA74" s="505"/>
      <c r="BB74" s="505"/>
      <c r="BC74" s="505"/>
      <c r="BD74" s="446"/>
      <c r="BE74" s="446"/>
      <c r="BF74" s="446"/>
      <c r="BG74" s="446"/>
      <c r="BH74" s="446"/>
      <c r="BI74" s="446"/>
    </row>
    <row r="75" spans="1:61" s="417" customFormat="1" ht="15.5" thickTop="1" thickBot="1">
      <c r="A75" s="486" t="s">
        <v>306</v>
      </c>
      <c r="B75" s="481" t="s">
        <v>36</v>
      </c>
      <c r="C75" s="481" t="s">
        <v>934</v>
      </c>
      <c r="D75" s="468"/>
      <c r="E75" s="541"/>
      <c r="F75" s="446"/>
      <c r="G75" s="446"/>
      <c r="H75" s="446"/>
      <c r="I75" s="446"/>
      <c r="J75" s="542">
        <f t="shared" ref="J75:U75" si="19">SUM(J72:J74)</f>
        <v>264555.125</v>
      </c>
      <c r="K75" s="542">
        <f t="shared" si="19"/>
        <v>1654110.25</v>
      </c>
      <c r="L75" s="542">
        <f t="shared" si="19"/>
        <v>2356165.375</v>
      </c>
      <c r="M75" s="542">
        <f t="shared" si="19"/>
        <v>2964570.5</v>
      </c>
      <c r="N75" s="542">
        <f t="shared" si="19"/>
        <v>2970159.2973749996</v>
      </c>
      <c r="O75" s="542">
        <f t="shared" si="19"/>
        <v>2465036.0922499998</v>
      </c>
      <c r="P75" s="542">
        <f t="shared" si="19"/>
        <v>2022503.3871249997</v>
      </c>
      <c r="Q75" s="542">
        <f t="shared" si="19"/>
        <v>1664945.5194999997</v>
      </c>
      <c r="R75" s="541">
        <f t="shared" si="19"/>
        <v>1612953.8668849997</v>
      </c>
      <c r="S75" s="541">
        <f t="shared" si="19"/>
        <v>1238953.8398315497</v>
      </c>
      <c r="T75" s="541">
        <f t="shared" si="19"/>
        <v>2072783.8119664963</v>
      </c>
      <c r="U75" s="541">
        <f t="shared" si="19"/>
        <v>2734101.9936666666</v>
      </c>
      <c r="V75" s="446"/>
      <c r="W75" s="471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505"/>
      <c r="AP75" s="505"/>
      <c r="AQ75" s="505"/>
      <c r="AR75" s="505"/>
      <c r="AS75" s="505"/>
      <c r="AT75" s="505"/>
      <c r="AU75" s="505"/>
      <c r="AV75" s="446"/>
      <c r="AW75" s="505"/>
      <c r="AX75" s="505"/>
      <c r="AY75" s="505"/>
      <c r="AZ75" s="505"/>
      <c r="BA75" s="505"/>
      <c r="BB75" s="505"/>
      <c r="BC75" s="505"/>
      <c r="BD75" s="446"/>
      <c r="BE75" s="446"/>
      <c r="BF75" s="446"/>
      <c r="BG75" s="446"/>
      <c r="BH75" s="446"/>
      <c r="BI75" s="446"/>
    </row>
    <row r="76" spans="1:61" ht="15" thickTop="1">
      <c r="A76" s="539"/>
      <c r="B76" s="468"/>
      <c r="C76" s="468"/>
      <c r="D76" s="468"/>
      <c r="E76" s="497"/>
      <c r="F76" s="446"/>
      <c r="G76" s="446"/>
      <c r="H76" s="446"/>
      <c r="I76" s="446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497"/>
      <c r="U76" s="497"/>
      <c r="V76" s="446"/>
      <c r="W76" s="471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505"/>
      <c r="AP76" s="505"/>
      <c r="AQ76" s="505"/>
      <c r="AR76" s="505"/>
      <c r="AS76" s="505"/>
      <c r="AT76" s="505"/>
      <c r="AU76" s="505"/>
      <c r="AV76" s="446"/>
      <c r="AW76" s="505"/>
      <c r="AX76" s="505"/>
      <c r="AY76" s="505"/>
      <c r="AZ76" s="505"/>
      <c r="BA76" s="505"/>
      <c r="BB76" s="505"/>
      <c r="BC76" s="505"/>
      <c r="BD76" s="446"/>
      <c r="BE76" s="446"/>
      <c r="BF76" s="446"/>
      <c r="BG76" s="446"/>
      <c r="BH76" s="446"/>
      <c r="BI76" s="446"/>
    </row>
    <row r="77" spans="1:61">
      <c r="A77" s="539"/>
      <c r="B77" s="468"/>
      <c r="C77" s="468"/>
      <c r="D77" s="468"/>
      <c r="E77" s="446"/>
      <c r="F77" s="446"/>
      <c r="G77" s="446"/>
      <c r="H77" s="446"/>
      <c r="I77" s="446"/>
      <c r="J77" s="446"/>
      <c r="K77" s="446"/>
      <c r="L77" s="446"/>
      <c r="M77" s="497"/>
      <c r="N77" s="497"/>
      <c r="O77" s="497"/>
      <c r="P77" s="497"/>
      <c r="Q77" s="497"/>
      <c r="R77" s="446"/>
      <c r="S77" s="446"/>
      <c r="T77" s="446"/>
      <c r="U77" s="446"/>
      <c r="V77" s="446"/>
      <c r="W77" s="446"/>
      <c r="X77" s="446"/>
      <c r="Y77" s="446"/>
      <c r="Z77" s="446"/>
      <c r="AA77" s="471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505"/>
      <c r="AT77" s="505"/>
      <c r="AU77" s="505"/>
      <c r="AV77" s="505"/>
      <c r="AW77" s="505"/>
      <c r="AX77" s="505"/>
      <c r="AY77" s="505"/>
      <c r="AZ77" s="446"/>
      <c r="BA77" s="505"/>
      <c r="BB77" s="505"/>
      <c r="BC77" s="505"/>
      <c r="BD77" s="505"/>
      <c r="BE77" s="505"/>
      <c r="BF77" s="505"/>
      <c r="BG77" s="505"/>
      <c r="BH77" s="446"/>
      <c r="BI77" s="446"/>
    </row>
    <row r="78" spans="1:61">
      <c r="A78" s="481" t="s">
        <v>935</v>
      </c>
      <c r="B78" s="468"/>
      <c r="C78" s="468"/>
      <c r="D78" s="468"/>
      <c r="E78" s="446"/>
      <c r="F78" s="446"/>
      <c r="G78" s="446"/>
      <c r="H78" s="446"/>
      <c r="I78" s="446"/>
      <c r="J78" s="446"/>
      <c r="K78" s="446"/>
      <c r="L78" s="446"/>
      <c r="M78" s="497"/>
      <c r="N78" s="497"/>
      <c r="O78" s="497"/>
      <c r="P78" s="497"/>
      <c r="Q78" s="497"/>
      <c r="R78" s="446"/>
      <c r="S78" s="446"/>
      <c r="T78" s="446"/>
      <c r="U78" s="446"/>
      <c r="V78" s="446"/>
      <c r="W78" s="446"/>
      <c r="X78" s="446"/>
      <c r="Y78" s="446"/>
      <c r="Z78" s="446"/>
      <c r="AA78" s="471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505"/>
      <c r="AT78" s="505"/>
      <c r="AU78" s="505"/>
      <c r="AV78" s="505"/>
      <c r="AW78" s="505"/>
      <c r="AX78" s="505"/>
      <c r="AY78" s="505"/>
      <c r="AZ78" s="446"/>
      <c r="BA78" s="505"/>
      <c r="BB78" s="505"/>
      <c r="BC78" s="505"/>
      <c r="BD78" s="505"/>
      <c r="BE78" s="505"/>
      <c r="BF78" s="505"/>
      <c r="BG78" s="505"/>
      <c r="BH78" s="446"/>
      <c r="BI78" s="446"/>
    </row>
    <row r="79" spans="1:61" s="30" customFormat="1" ht="14.65" customHeight="1">
      <c r="A79" s="505" t="str">
        <f>'.c12_oc_hr'!A30</f>
        <v>Grand Total</v>
      </c>
      <c r="B79" s="543"/>
      <c r="C79" s="543"/>
      <c r="D79" s="543"/>
      <c r="E79" s="505"/>
      <c r="F79" s="446"/>
      <c r="G79" s="446"/>
      <c r="H79" s="446"/>
      <c r="I79" s="446"/>
      <c r="J79" s="505">
        <f>'.c12_oc_hr'!J30</f>
        <v>493750</v>
      </c>
      <c r="K79" s="505">
        <f>'.c12_oc_hr'!K30</f>
        <v>493750</v>
      </c>
      <c r="L79" s="505">
        <f>'.c12_oc_hr'!L30</f>
        <v>493750</v>
      </c>
      <c r="M79" s="505">
        <f>'.c12_oc_hr'!M30</f>
        <v>504140</v>
      </c>
      <c r="N79" s="505">
        <f>'.c12_oc_hr'!N30</f>
        <v>851980</v>
      </c>
      <c r="O79" s="505">
        <f>'.c12_oc_hr'!O30</f>
        <v>432000</v>
      </c>
      <c r="P79" s="505">
        <f>'.c12_oc_hr'!P30</f>
        <v>432000</v>
      </c>
      <c r="Q79" s="505">
        <f>'.c12_oc_hr'!Q30</f>
        <v>972280</v>
      </c>
      <c r="R79" s="505">
        <f>'.c12_oc_hr'!R30</f>
        <v>2268280</v>
      </c>
      <c r="S79" s="505">
        <f>'.c12_oc_hr'!S30</f>
        <v>1748780</v>
      </c>
      <c r="T79" s="505">
        <f>'.c12_oc_hr'!T30</f>
        <v>1748780</v>
      </c>
      <c r="U79" s="505">
        <f>'.c12_oc_hr'!U30</f>
        <v>1748780</v>
      </c>
      <c r="V79" s="544"/>
      <c r="W79" s="545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</row>
    <row r="80" spans="1:61" s="30" customFormat="1" ht="14.65" customHeight="1">
      <c r="A80" s="505" t="str">
        <f>'.c12_oc_hr'!A31</f>
        <v>reimbersable to hotel</v>
      </c>
      <c r="B80" s="543"/>
      <c r="C80" s="543"/>
      <c r="D80" s="543"/>
      <c r="E80" s="505"/>
      <c r="F80" s="446"/>
      <c r="G80" s="446"/>
      <c r="H80" s="446"/>
      <c r="I80" s="446"/>
      <c r="J80" s="505">
        <f>'.c12_oc_hr'!J31</f>
        <v>0</v>
      </c>
      <c r="K80" s="505">
        <f>'.c12_oc_hr'!K31</f>
        <v>0</v>
      </c>
      <c r="L80" s="505">
        <f>'.c12_oc_hr'!L31</f>
        <v>0</v>
      </c>
      <c r="M80" s="505">
        <f>'.c12_oc_hr'!M31</f>
        <v>0</v>
      </c>
      <c r="N80" s="505">
        <f>'.c12_oc_hr'!N31</f>
        <v>0</v>
      </c>
      <c r="O80" s="505">
        <f>'.c12_oc_hr'!O31</f>
        <v>0</v>
      </c>
      <c r="P80" s="505">
        <f>'.c12_oc_hr'!P31</f>
        <v>0</v>
      </c>
      <c r="Q80" s="505">
        <f>'.c12_oc_hr'!Q31</f>
        <v>0</v>
      </c>
      <c r="R80" s="505">
        <f>'.c12_oc_hr'!R31</f>
        <v>0</v>
      </c>
      <c r="S80" s="505">
        <f>'.c12_oc_hr'!S31</f>
        <v>0</v>
      </c>
      <c r="T80" s="505">
        <f>'.c12_oc_hr'!T31</f>
        <v>0</v>
      </c>
      <c r="U80" s="505">
        <f>'.c12_oc_hr'!U31</f>
        <v>0</v>
      </c>
      <c r="V80" s="544"/>
      <c r="W80" s="545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  <c r="BF80" s="446"/>
      <c r="BG80" s="446"/>
      <c r="BH80" s="446"/>
      <c r="BI80" s="446"/>
    </row>
    <row r="81" spans="1:61" s="30" customFormat="1">
      <c r="A81" s="505" t="str">
        <f>'.c12_oc_hr'!A32</f>
        <v>not reimbersable by hotel, but paid by lgh</v>
      </c>
      <c r="B81" s="543"/>
      <c r="C81" s="543"/>
      <c r="D81" s="543"/>
      <c r="E81" s="505"/>
      <c r="F81" s="446"/>
      <c r="G81" s="446"/>
      <c r="H81" s="446"/>
      <c r="I81" s="446"/>
      <c r="J81" s="505">
        <f>'.c12_oc_hr'!J32</f>
        <v>462500</v>
      </c>
      <c r="K81" s="505">
        <f>'.c12_oc_hr'!K32</f>
        <v>462500</v>
      </c>
      <c r="L81" s="505">
        <f>'.c12_oc_hr'!L32</f>
        <v>462500</v>
      </c>
      <c r="M81" s="505">
        <f>'.c12_oc_hr'!M32</f>
        <v>462500</v>
      </c>
      <c r="N81" s="505">
        <f>'.c12_oc_hr'!N32</f>
        <v>794980</v>
      </c>
      <c r="O81" s="505">
        <f>'.c12_oc_hr'!O32</f>
        <v>375000</v>
      </c>
      <c r="P81" s="505">
        <f>'.c12_oc_hr'!P32</f>
        <v>375000</v>
      </c>
      <c r="Q81" s="505">
        <f>'.c12_oc_hr'!Q32</f>
        <v>894500</v>
      </c>
      <c r="R81" s="505">
        <f>'.c12_oc_hr'!R32</f>
        <v>2019500</v>
      </c>
      <c r="S81" s="505">
        <f>'.c12_oc_hr'!S32</f>
        <v>1500000</v>
      </c>
      <c r="T81" s="505">
        <f>'.c12_oc_hr'!T32</f>
        <v>1500000</v>
      </c>
      <c r="U81" s="505">
        <f>'.c12_oc_hr'!U32</f>
        <v>1500000</v>
      </c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91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  <c r="BF81" s="446"/>
      <c r="BG81" s="446"/>
      <c r="BH81" s="446"/>
      <c r="BI81" s="446"/>
    </row>
    <row r="82" spans="1:61" s="30" customFormat="1">
      <c r="A82" s="505" t="str">
        <f>'.c12_oc_hr'!A33</f>
        <v>only paid by c12</v>
      </c>
      <c r="B82" s="543"/>
      <c r="C82" s="543"/>
      <c r="D82" s="543"/>
      <c r="E82" s="505"/>
      <c r="F82" s="446"/>
      <c r="G82" s="446"/>
      <c r="H82" s="446"/>
      <c r="I82" s="446"/>
      <c r="J82" s="505">
        <f>'.c12_oc_hr'!J33</f>
        <v>31250</v>
      </c>
      <c r="K82" s="505">
        <f>'.c12_oc_hr'!K33</f>
        <v>31250</v>
      </c>
      <c r="L82" s="505">
        <f>'.c12_oc_hr'!L33</f>
        <v>31250</v>
      </c>
      <c r="M82" s="505">
        <f>'.c12_oc_hr'!M33</f>
        <v>41640</v>
      </c>
      <c r="N82" s="505">
        <f>'.c12_oc_hr'!N33</f>
        <v>57000</v>
      </c>
      <c r="O82" s="505">
        <f>'.c12_oc_hr'!O33</f>
        <v>57000</v>
      </c>
      <c r="P82" s="505">
        <f>'.c12_oc_hr'!P33</f>
        <v>57000</v>
      </c>
      <c r="Q82" s="505">
        <f>'.c12_oc_hr'!Q33</f>
        <v>77780</v>
      </c>
      <c r="R82" s="505">
        <f>'.c12_oc_hr'!R33</f>
        <v>248780</v>
      </c>
      <c r="S82" s="505">
        <f>'.c12_oc_hr'!S33</f>
        <v>248780</v>
      </c>
      <c r="T82" s="505">
        <f>'.c12_oc_hr'!T33</f>
        <v>248780</v>
      </c>
      <c r="U82" s="505">
        <f>'.c12_oc_hr'!U33</f>
        <v>248780</v>
      </c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91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  <c r="BF82" s="446"/>
      <c r="BG82" s="446"/>
      <c r="BH82" s="446"/>
      <c r="BI82" s="446"/>
    </row>
    <row r="83" spans="1:61">
      <c r="A83" s="446"/>
      <c r="B83" s="468"/>
      <c r="C83" s="468"/>
      <c r="D83" s="468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  <c r="BF83" s="446"/>
      <c r="BG83" s="446"/>
      <c r="BH83" s="446"/>
      <c r="BI83" s="446"/>
    </row>
    <row r="84" spans="1:61" s="30" customFormat="1">
      <c r="A84" s="546" t="s">
        <v>936</v>
      </c>
      <c r="B84" s="447"/>
      <c r="C84" s="447"/>
      <c r="D84" s="447"/>
      <c r="E84" s="448"/>
      <c r="F84" s="446"/>
      <c r="G84" s="446"/>
      <c r="H84" s="446"/>
      <c r="I84" s="446"/>
      <c r="J84" s="448"/>
      <c r="K84" s="448"/>
      <c r="L84" s="448"/>
      <c r="M84" s="448"/>
      <c r="N84" s="448"/>
      <c r="O84" s="448"/>
      <c r="P84" s="448"/>
      <c r="Q84" s="448"/>
      <c r="R84" s="448"/>
      <c r="S84" s="448"/>
      <c r="T84" s="448"/>
      <c r="U84" s="448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  <c r="BF84" s="446"/>
      <c r="BG84" s="446"/>
      <c r="BH84" s="446"/>
      <c r="BI84" s="446"/>
    </row>
    <row r="85" spans="1:61" s="30" customFormat="1">
      <c r="A85" s="546" t="s">
        <v>937</v>
      </c>
      <c r="B85" s="447"/>
      <c r="C85" s="447"/>
      <c r="D85" s="447"/>
      <c r="E85" s="547">
        <v>1639651</v>
      </c>
      <c r="F85" s="446"/>
      <c r="G85" s="446"/>
      <c r="H85" s="446"/>
      <c r="I85" s="446"/>
      <c r="J85" s="505">
        <f>'c12_hm'!J60</f>
        <v>721136.47368421056</v>
      </c>
      <c r="K85" s="505">
        <f>'c12_hm'!K60</f>
        <v>721136.47368421056</v>
      </c>
      <c r="L85" s="505">
        <f>'c12_hm'!L60</f>
        <v>721136.47368421056</v>
      </c>
      <c r="M85" s="505">
        <f>'c12_hm'!M60</f>
        <v>833991.73684210517</v>
      </c>
      <c r="N85" s="505">
        <f>'c12_hm'!N60</f>
        <v>310715.78947368416</v>
      </c>
      <c r="O85" s="505">
        <f>'c12_hm'!O60</f>
        <v>902637.28947368416</v>
      </c>
      <c r="P85" s="505">
        <f>'c12_hm'!P60</f>
        <v>948110.97368421056</v>
      </c>
      <c r="Q85" s="505">
        <f>'c12_hm'!Q60</f>
        <v>2385063.6052631577</v>
      </c>
      <c r="R85" s="505">
        <f>'c12_hm'!R60</f>
        <v>4592895.5273684207</v>
      </c>
      <c r="S85" s="505">
        <f>'c12_hm'!S60</f>
        <v>6222237.0247684205</v>
      </c>
      <c r="T85" s="505">
        <f>'c12_hm'!T60</f>
        <v>8981799.0470904205</v>
      </c>
      <c r="U85" s="505">
        <f>'c12_hm'!U60</f>
        <v>8232869.9536977708</v>
      </c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  <c r="BF85" s="446"/>
      <c r="BG85" s="446"/>
      <c r="BH85" s="446"/>
      <c r="BI85" s="446"/>
    </row>
    <row r="86" spans="1:61" s="30" customFormat="1">
      <c r="A86" s="546" t="s">
        <v>938</v>
      </c>
      <c r="B86" s="447"/>
      <c r="C86" s="447"/>
      <c r="D86" s="447"/>
      <c r="E86" s="547">
        <v>1480300</v>
      </c>
      <c r="F86" s="446"/>
      <c r="G86" s="446"/>
      <c r="H86" s="446"/>
      <c r="I86" s="446"/>
      <c r="J86" s="505">
        <f>'c12_d&amp;s'!J60</f>
        <v>218167.0789473684</v>
      </c>
      <c r="K86" s="505">
        <f>'c12_d&amp;s'!K60</f>
        <v>218167.0789473684</v>
      </c>
      <c r="L86" s="505">
        <f>'c12_d&amp;s'!L60</f>
        <v>788567.07894736843</v>
      </c>
      <c r="M86" s="505">
        <f>'c12_d&amp;s'!M60</f>
        <v>1041680.2368421053</v>
      </c>
      <c r="N86" s="505">
        <f>'c12_d&amp;s'!N60</f>
        <v>1735259.1270175439</v>
      </c>
      <c r="O86" s="505">
        <f>'c12_d&amp;s'!O60</f>
        <v>2473819.8070175434</v>
      </c>
      <c r="P86" s="505">
        <f>'c12_d&amp;s'!P60</f>
        <v>2205638.8070175434</v>
      </c>
      <c r="Q86" s="505">
        <f>'c12_d&amp;s'!Q60</f>
        <v>5828630.333333333</v>
      </c>
      <c r="R86" s="505">
        <f>'c12_d&amp;s'!R60</f>
        <v>10772271.074385963</v>
      </c>
      <c r="S86" s="505">
        <f>'c12_d&amp;s'!S60</f>
        <v>7224030.4869192978</v>
      </c>
      <c r="T86" s="505">
        <f>'c12_d&amp;s'!T60</f>
        <v>4401398.0988952974</v>
      </c>
      <c r="U86" s="505">
        <f>'c12_d&amp;s'!U60</f>
        <v>4361744.7392305788</v>
      </c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  <c r="BF86" s="446"/>
      <c r="BG86" s="446"/>
      <c r="BH86" s="446"/>
      <c r="BI86" s="446"/>
    </row>
    <row r="87" spans="1:61" s="30" customFormat="1" ht="15" thickBot="1">
      <c r="A87" s="546" t="s">
        <v>939</v>
      </c>
      <c r="B87" s="447"/>
      <c r="C87" s="447"/>
      <c r="D87" s="447"/>
      <c r="E87" s="505"/>
      <c r="F87" s="446"/>
      <c r="G87" s="446"/>
      <c r="H87" s="446"/>
      <c r="I87" s="446"/>
      <c r="J87" s="505">
        <f>'c12_bi&amp;F'!J60</f>
        <v>56084.210526315779</v>
      </c>
      <c r="K87" s="505">
        <f>'c12_bi&amp;F'!K60</f>
        <v>56084.210526315779</v>
      </c>
      <c r="L87" s="505">
        <f>'c12_bi&amp;F'!L60</f>
        <v>121263.15789473683</v>
      </c>
      <c r="M87" s="505">
        <f>'c12_bi&amp;F'!M60</f>
        <v>162276.31578947368</v>
      </c>
      <c r="N87" s="505">
        <f>'c12_bi&amp;F'!N60</f>
        <v>154294.73684210522</v>
      </c>
      <c r="O87" s="505">
        <f>'c12_bi&amp;F'!O60</f>
        <v>154294.73684210522</v>
      </c>
      <c r="P87" s="505">
        <f>'c12_bi&amp;F'!P60</f>
        <v>267978.94736842101</v>
      </c>
      <c r="Q87" s="505">
        <f>'c12_bi&amp;F'!Q60</f>
        <v>360942.10526315786</v>
      </c>
      <c r="R87" s="505">
        <f>'c12_bi&amp;F'!R60</f>
        <v>1216752.6315789474</v>
      </c>
      <c r="S87" s="505">
        <f>'c12_bi&amp;F'!S60</f>
        <v>1306752.6315789474</v>
      </c>
      <c r="T87" s="505">
        <f>'c12_bi&amp;F'!T60</f>
        <v>1306752.6315789474</v>
      </c>
      <c r="U87" s="505">
        <f>'c12_bi&amp;F'!U60</f>
        <v>1306752.6315789474</v>
      </c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  <c r="BF87" s="446"/>
      <c r="BG87" s="446"/>
      <c r="BH87" s="446"/>
      <c r="BI87" s="446"/>
    </row>
    <row r="88" spans="1:61" s="30" customFormat="1" ht="15.5" customHeight="1" thickTop="1" thickBot="1">
      <c r="A88" s="546" t="s">
        <v>940</v>
      </c>
      <c r="B88" s="548" t="s">
        <v>36</v>
      </c>
      <c r="C88" s="548" t="s">
        <v>941</v>
      </c>
      <c r="D88" s="447"/>
      <c r="E88" s="549"/>
      <c r="F88" s="446"/>
      <c r="G88" s="446"/>
      <c r="H88" s="446"/>
      <c r="I88" s="446"/>
      <c r="J88" s="550">
        <f t="shared" ref="J88:U88" si="20">SUM(J85:J87)</f>
        <v>995387.76315789472</v>
      </c>
      <c r="K88" s="550">
        <f t="shared" si="20"/>
        <v>995387.76315789472</v>
      </c>
      <c r="L88" s="550">
        <f t="shared" si="20"/>
        <v>1630966.7105263157</v>
      </c>
      <c r="M88" s="550">
        <f t="shared" si="20"/>
        <v>2037948.289473684</v>
      </c>
      <c r="N88" s="550">
        <f t="shared" si="20"/>
        <v>2200269.6533333333</v>
      </c>
      <c r="O88" s="550">
        <f t="shared" si="20"/>
        <v>3530751.8333333326</v>
      </c>
      <c r="P88" s="550">
        <f t="shared" si="20"/>
        <v>3421728.7280701748</v>
      </c>
      <c r="Q88" s="550">
        <f t="shared" si="20"/>
        <v>8574636.0438596494</v>
      </c>
      <c r="R88" s="549">
        <f t="shared" si="20"/>
        <v>16581919.233333331</v>
      </c>
      <c r="S88" s="549">
        <f t="shared" si="20"/>
        <v>14753020.143266667</v>
      </c>
      <c r="T88" s="549">
        <f t="shared" si="20"/>
        <v>14689949.777564667</v>
      </c>
      <c r="U88" s="549">
        <f t="shared" si="20"/>
        <v>13901367.324507296</v>
      </c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  <c r="BF88" s="446"/>
      <c r="BG88" s="446"/>
      <c r="BH88" s="446"/>
      <c r="BI88" s="446"/>
    </row>
    <row r="89" spans="1:61" ht="15" customHeight="1" thickTop="1">
      <c r="A89" s="446"/>
      <c r="B89" s="468"/>
      <c r="C89" s="468"/>
      <c r="D89" s="468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  <c r="BF89" s="446"/>
      <c r="BG89" s="446"/>
      <c r="BH89" s="446"/>
      <c r="BI89" s="446"/>
    </row>
    <row r="90" spans="1:61">
      <c r="A90" s="446"/>
      <c r="B90" s="468"/>
      <c r="C90" s="468"/>
      <c r="D90" s="468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  <c r="BF90" s="446"/>
      <c r="BG90" s="446"/>
      <c r="BH90" s="446"/>
      <c r="BI90" s="446"/>
    </row>
    <row r="91" spans="1:61">
      <c r="A91" s="446"/>
      <c r="B91" s="468"/>
      <c r="C91" s="468"/>
      <c r="D91" s="468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  <c r="BF91" s="446"/>
      <c r="BG91" s="446"/>
      <c r="BH91" s="446"/>
      <c r="BI91" s="446"/>
    </row>
    <row r="92" spans="1:61">
      <c r="A92" s="446"/>
      <c r="B92" s="468"/>
      <c r="C92" s="468"/>
      <c r="D92" s="468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  <c r="BF92" s="446"/>
      <c r="BG92" s="446"/>
      <c r="BH92" s="446"/>
      <c r="BI92" s="446"/>
    </row>
    <row r="93" spans="1:61">
      <c r="A93" s="446"/>
      <c r="B93" s="468"/>
      <c r="C93" s="468"/>
      <c r="D93" s="468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  <c r="BF93" s="446"/>
      <c r="BG93" s="446"/>
      <c r="BH93" s="446"/>
      <c r="BI93" s="446"/>
    </row>
    <row r="94" spans="1:61">
      <c r="A94" s="446"/>
      <c r="B94" s="468"/>
      <c r="C94" s="468"/>
      <c r="D94" s="468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  <c r="BF94" s="446"/>
      <c r="BG94" s="446"/>
      <c r="BH94" s="446"/>
      <c r="BI94" s="446"/>
    </row>
    <row r="95" spans="1:61">
      <c r="A95" s="446"/>
      <c r="B95" s="468"/>
      <c r="C95" s="468"/>
      <c r="D95" s="468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  <c r="BF95" s="446"/>
      <c r="BG95" s="446"/>
      <c r="BH95" s="446"/>
      <c r="BI95" s="446"/>
    </row>
    <row r="96" spans="1:61">
      <c r="A96" s="446"/>
      <c r="B96" s="468"/>
      <c r="C96" s="468"/>
      <c r="D96" s="468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</row>
    <row r="97" spans="1:61">
      <c r="A97" s="446"/>
      <c r="B97" s="468"/>
      <c r="C97" s="468"/>
      <c r="D97" s="468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  <c r="BF97" s="446"/>
      <c r="BG97" s="446"/>
      <c r="BH97" s="446"/>
      <c r="BI97" s="446"/>
    </row>
    <row r="98" spans="1:61">
      <c r="A98" s="446"/>
      <c r="B98" s="468"/>
      <c r="C98" s="468"/>
      <c r="D98" s="468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  <c r="BF98" s="446"/>
      <c r="BG98" s="446"/>
      <c r="BH98" s="446"/>
      <c r="BI98" s="446"/>
    </row>
    <row r="99" spans="1:61">
      <c r="A99" s="446"/>
      <c r="B99" s="468"/>
      <c r="C99" s="468"/>
      <c r="D99" s="468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  <c r="BF99" s="446"/>
      <c r="BG99" s="446"/>
      <c r="BH99" s="446"/>
      <c r="BI99" s="446"/>
    </row>
    <row r="100" spans="1:61">
      <c r="A100" s="446"/>
      <c r="B100" s="468"/>
      <c r="C100" s="468"/>
      <c r="D100" s="468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  <c r="BF100" s="446"/>
      <c r="BG100" s="446"/>
      <c r="BH100" s="446"/>
      <c r="BI100" s="446"/>
    </row>
    <row r="101" spans="1:61">
      <c r="A101" s="446"/>
      <c r="B101" s="468"/>
      <c r="C101" s="468"/>
      <c r="D101" s="468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  <c r="BF101" s="446"/>
      <c r="BG101" s="446"/>
      <c r="BH101" s="446"/>
      <c r="BI101" s="446"/>
    </row>
    <row r="102" spans="1:61">
      <c r="A102" s="446"/>
      <c r="B102" s="468"/>
      <c r="C102" s="468"/>
      <c r="D102" s="468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  <c r="BF102" s="446"/>
      <c r="BG102" s="446"/>
      <c r="BH102" s="446"/>
      <c r="BI102" s="446"/>
    </row>
    <row r="103" spans="1:61">
      <c r="A103" s="446"/>
      <c r="B103" s="468"/>
      <c r="C103" s="468"/>
      <c r="D103" s="468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  <c r="BF103" s="446"/>
      <c r="BG103" s="446"/>
      <c r="BH103" s="446"/>
      <c r="BI103" s="446"/>
    </row>
    <row r="104" spans="1:61">
      <c r="A104" s="446"/>
      <c r="B104" s="468"/>
      <c r="C104" s="468"/>
      <c r="D104" s="468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  <c r="BF104" s="446"/>
      <c r="BG104" s="446"/>
      <c r="BH104" s="446"/>
      <c r="BI104" s="446"/>
    </row>
    <row r="105" spans="1:61">
      <c r="A105" s="446"/>
      <c r="B105" s="468"/>
      <c r="C105" s="468"/>
      <c r="D105" s="468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  <c r="BF105" s="446"/>
      <c r="BG105" s="446"/>
      <c r="BH105" s="446"/>
      <c r="BI105" s="446"/>
    </row>
    <row r="106" spans="1:61">
      <c r="A106" s="446"/>
      <c r="B106" s="468"/>
      <c r="C106" s="468"/>
      <c r="D106" s="468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  <c r="BF106" s="446"/>
      <c r="BG106" s="446"/>
      <c r="BH106" s="446"/>
      <c r="BI106" s="446"/>
    </row>
    <row r="107" spans="1:61">
      <c r="A107" s="446"/>
      <c r="B107" s="468"/>
      <c r="C107" s="468"/>
      <c r="D107" s="468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  <c r="BF107" s="446"/>
      <c r="BG107" s="446"/>
      <c r="BH107" s="446"/>
      <c r="BI107" s="446"/>
    </row>
    <row r="108" spans="1:61">
      <c r="A108" s="446"/>
      <c r="B108" s="468"/>
      <c r="C108" s="468"/>
      <c r="D108" s="468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  <c r="BF108" s="446"/>
      <c r="BG108" s="446"/>
      <c r="BH108" s="446"/>
      <c r="BI108" s="446"/>
    </row>
    <row r="109" spans="1:61">
      <c r="A109" s="446"/>
      <c r="B109" s="468"/>
      <c r="C109" s="468"/>
      <c r="D109" s="468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  <c r="BF109" s="446"/>
      <c r="BG109" s="446"/>
      <c r="BH109" s="446"/>
      <c r="BI109" s="446"/>
    </row>
    <row r="110" spans="1:61">
      <c r="A110" s="446"/>
      <c r="B110" s="468"/>
      <c r="C110" s="468"/>
      <c r="D110" s="468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  <c r="BF110" s="446"/>
      <c r="BG110" s="446"/>
      <c r="BH110" s="446"/>
      <c r="BI110" s="446"/>
    </row>
    <row r="111" spans="1:61">
      <c r="A111" s="446"/>
      <c r="B111" s="468"/>
      <c r="C111" s="468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  <c r="BF111" s="446"/>
      <c r="BG111" s="446"/>
      <c r="BH111" s="446"/>
      <c r="BI111" s="446"/>
    </row>
    <row r="112" spans="1:61">
      <c r="A112" s="446"/>
      <c r="B112" s="468"/>
      <c r="C112" s="468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6"/>
      <c r="BG112" s="446"/>
      <c r="BH112" s="446"/>
      <c r="BI112" s="446"/>
    </row>
    <row r="113" spans="1:61">
      <c r="A113" s="446"/>
      <c r="B113" s="468"/>
      <c r="C113" s="468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  <c r="BF113" s="446"/>
      <c r="BG113" s="446"/>
      <c r="BH113" s="446"/>
      <c r="BI113" s="446"/>
    </row>
    <row r="114" spans="1:61">
      <c r="A114" s="446"/>
      <c r="B114" s="468"/>
      <c r="C114" s="468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</row>
    <row r="115" spans="1:61">
      <c r="A115" s="446"/>
      <c r="B115" s="468"/>
      <c r="C115" s="468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</row>
    <row r="116" spans="1:61">
      <c r="A116" s="446"/>
      <c r="B116" s="468"/>
      <c r="C116" s="468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</row>
    <row r="117" spans="1:61">
      <c r="A117" s="446"/>
      <c r="B117" s="468"/>
      <c r="C117" s="468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</row>
    <row r="118" spans="1:61">
      <c r="A118" s="446"/>
      <c r="B118" s="468"/>
      <c r="C118" s="468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</row>
    <row r="119" spans="1:61">
      <c r="A119" s="446"/>
      <c r="B119" s="468"/>
      <c r="C119" s="468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</row>
    <row r="120" spans="1:61">
      <c r="A120" s="446"/>
      <c r="B120" s="468"/>
      <c r="C120" s="468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</row>
    <row r="121" spans="1:61">
      <c r="A121" s="446"/>
      <c r="B121" s="468"/>
      <c r="C121" s="468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  <c r="BF121" s="446"/>
      <c r="BG121" s="446"/>
      <c r="BH121" s="446"/>
      <c r="BI121" s="446"/>
    </row>
    <row r="122" spans="1:61">
      <c r="A122" s="446"/>
      <c r="B122" s="468"/>
      <c r="C122" s="468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  <c r="BF122" s="446"/>
      <c r="BG122" s="446"/>
      <c r="BH122" s="446"/>
      <c r="BI122" s="446"/>
    </row>
    <row r="123" spans="1:61">
      <c r="A123" s="446"/>
      <c r="B123" s="468"/>
      <c r="C123" s="468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  <c r="BF123" s="446"/>
      <c r="BG123" s="446"/>
      <c r="BH123" s="446"/>
      <c r="BI123" s="446"/>
    </row>
    <row r="124" spans="1:61">
      <c r="A124" s="446"/>
      <c r="B124" s="468"/>
      <c r="C124" s="468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  <c r="BF124" s="446"/>
      <c r="BG124" s="446"/>
      <c r="BH124" s="446"/>
      <c r="BI124" s="446"/>
    </row>
    <row r="125" spans="1:61">
      <c r="A125" s="446"/>
      <c r="B125" s="468"/>
      <c r="C125" s="468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  <c r="BF125" s="446"/>
      <c r="BG125" s="446"/>
      <c r="BH125" s="446"/>
      <c r="BI125" s="446"/>
    </row>
    <row r="126" spans="1:61">
      <c r="A126" s="446"/>
      <c r="B126" s="468"/>
      <c r="C126" s="468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  <c r="BF126" s="446"/>
      <c r="BG126" s="446"/>
      <c r="BH126" s="446"/>
      <c r="BI126" s="446"/>
    </row>
    <row r="127" spans="1:61">
      <c r="A127" s="446"/>
      <c r="B127" s="468"/>
      <c r="C127" s="468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  <c r="BF127" s="446"/>
      <c r="BG127" s="446"/>
      <c r="BH127" s="446"/>
      <c r="BI127" s="446"/>
    </row>
    <row r="128" spans="1:61">
      <c r="A128" s="446"/>
      <c r="B128" s="468"/>
      <c r="C128" s="468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  <c r="BF128" s="446"/>
      <c r="BG128" s="446"/>
      <c r="BH128" s="446"/>
      <c r="BI128" s="446"/>
    </row>
    <row r="129" spans="1:61">
      <c r="A129" s="446"/>
      <c r="B129" s="468"/>
      <c r="C129" s="468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  <c r="BF129" s="446"/>
      <c r="BG129" s="446"/>
      <c r="BH129" s="446"/>
      <c r="BI129" s="446"/>
    </row>
    <row r="130" spans="1:61">
      <c r="A130" s="446"/>
      <c r="B130" s="468"/>
      <c r="C130" s="468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  <c r="BF130" s="446"/>
      <c r="BG130" s="446"/>
      <c r="BH130" s="446"/>
      <c r="BI130" s="446"/>
    </row>
    <row r="131" spans="1:61">
      <c r="A131" s="446"/>
      <c r="B131" s="468"/>
      <c r="C131" s="468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  <c r="BF131" s="446"/>
      <c r="BG131" s="446"/>
      <c r="BH131" s="446"/>
      <c r="BI131" s="446"/>
    </row>
    <row r="132" spans="1:61">
      <c r="A132" s="446"/>
      <c r="B132" s="468"/>
      <c r="C132" s="468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  <c r="BF132" s="446"/>
      <c r="BG132" s="446"/>
      <c r="BH132" s="446"/>
      <c r="BI132" s="446"/>
    </row>
    <row r="133" spans="1:61">
      <c r="A133" s="446"/>
      <c r="B133" s="468"/>
      <c r="C133" s="468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  <c r="BF133" s="446"/>
      <c r="BG133" s="446"/>
      <c r="BH133" s="446"/>
      <c r="BI133" s="446"/>
    </row>
    <row r="134" spans="1:61">
      <c r="A134" s="446"/>
      <c r="B134" s="468"/>
      <c r="C134" s="468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  <c r="BF134" s="446"/>
      <c r="BG134" s="446"/>
      <c r="BH134" s="446"/>
      <c r="BI134" s="446"/>
    </row>
    <row r="135" spans="1:61">
      <c r="A135" s="446"/>
      <c r="B135" s="468"/>
      <c r="C135" s="468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  <c r="BF135" s="446"/>
      <c r="BG135" s="446"/>
      <c r="BH135" s="446"/>
      <c r="BI135" s="446"/>
    </row>
    <row r="136" spans="1:61">
      <c r="A136" s="446"/>
      <c r="B136" s="468"/>
      <c r="C136" s="468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  <c r="BF136" s="446"/>
      <c r="BG136" s="446"/>
      <c r="BH136" s="446"/>
      <c r="BI136" s="446"/>
    </row>
    <row r="137" spans="1:61">
      <c r="A137" s="446"/>
      <c r="B137" s="468"/>
      <c r="C137" s="468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</row>
    <row r="138" spans="1:61">
      <c r="A138" s="446"/>
      <c r="B138" s="468"/>
      <c r="C138" s="468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  <c r="BF138" s="446"/>
      <c r="BG138" s="446"/>
      <c r="BH138" s="446"/>
      <c r="BI138" s="446"/>
    </row>
    <row r="139" spans="1:61">
      <c r="A139" s="446"/>
      <c r="B139" s="468"/>
      <c r="C139" s="468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  <c r="BF139" s="446"/>
      <c r="BG139" s="446"/>
      <c r="BH139" s="446"/>
      <c r="BI139" s="446"/>
    </row>
    <row r="140" spans="1:61">
      <c r="A140" s="446"/>
      <c r="B140" s="468"/>
      <c r="C140" s="468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  <c r="BF140" s="446"/>
      <c r="BG140" s="446"/>
      <c r="BH140" s="446"/>
      <c r="BI140" s="446"/>
    </row>
    <row r="141" spans="1:61">
      <c r="A141" s="446"/>
      <c r="B141" s="468"/>
      <c r="C141" s="468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  <c r="BF141" s="446"/>
      <c r="BG141" s="446"/>
      <c r="BH141" s="446"/>
      <c r="BI141" s="446"/>
    </row>
    <row r="142" spans="1:61">
      <c r="A142" s="446"/>
      <c r="B142" s="468"/>
      <c r="C142" s="468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</row>
    <row r="143" spans="1:61">
      <c r="A143" s="446"/>
      <c r="B143" s="468"/>
      <c r="C143" s="468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  <c r="BF143" s="446"/>
      <c r="BG143" s="446"/>
      <c r="BH143" s="446"/>
      <c r="BI143" s="446"/>
    </row>
    <row r="144" spans="1:61">
      <c r="A144" s="446"/>
      <c r="B144" s="468"/>
      <c r="C144" s="468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  <c r="BF144" s="446"/>
      <c r="BG144" s="446"/>
      <c r="BH144" s="446"/>
      <c r="BI144" s="446"/>
    </row>
    <row r="145" spans="1:61">
      <c r="A145" s="446"/>
      <c r="B145" s="468"/>
      <c r="C145" s="468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  <c r="BF145" s="446"/>
      <c r="BG145" s="446"/>
      <c r="BH145" s="446"/>
      <c r="BI145" s="446"/>
    </row>
    <row r="146" spans="1:61" ht="14.65" customHeight="1">
      <c r="A146" s="446"/>
      <c r="B146" s="468"/>
      <c r="C146" s="468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</row>
    <row r="147" spans="1:61" ht="14.65" customHeight="1">
      <c r="A147" s="446"/>
      <c r="B147" s="468"/>
      <c r="C147" s="468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  <c r="BF147" s="446"/>
      <c r="BG147" s="446"/>
      <c r="BH147" s="446"/>
      <c r="BI147" s="446"/>
    </row>
    <row r="148" spans="1:61">
      <c r="F148" s="446"/>
      <c r="G148" s="446"/>
      <c r="H148" s="446"/>
      <c r="I148" s="446"/>
    </row>
    <row r="149" spans="1:61">
      <c r="F149" s="446"/>
      <c r="G149" s="446"/>
      <c r="H149" s="446"/>
      <c r="I149" s="446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B11" sqref="B11"/>
    </sheetView>
  </sheetViews>
  <sheetFormatPr defaultColWidth="12.54296875" defaultRowHeight="14.5"/>
  <cols>
    <col min="1" max="1" width="26" customWidth="1"/>
    <col min="2" max="2" width="4.453125" style="424" customWidth="1"/>
    <col min="3" max="3" width="19.90625" style="418" customWidth="1"/>
    <col min="4" max="4" width="7.6328125" style="424" customWidth="1"/>
    <col min="5" max="5" width="13.26953125" bestFit="1" customWidth="1"/>
    <col min="6" max="6" width="12.6328125" bestFit="1" customWidth="1"/>
  </cols>
  <sheetData>
    <row r="1" spans="1:57">
      <c r="A1" s="427"/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</row>
    <row r="2" spans="1:57">
      <c r="A2" s="430" t="s">
        <v>0</v>
      </c>
      <c r="B2" s="431"/>
      <c r="C2" s="431"/>
      <c r="D2" s="431"/>
      <c r="E2" s="432">
        <v>45657</v>
      </c>
      <c r="F2" s="432">
        <v>45747</v>
      </c>
      <c r="G2" s="432">
        <v>45838</v>
      </c>
      <c r="H2" s="432">
        <v>45930</v>
      </c>
      <c r="I2" s="432">
        <v>46022</v>
      </c>
      <c r="J2" s="432">
        <v>46112</v>
      </c>
      <c r="K2" s="432">
        <v>46203</v>
      </c>
      <c r="L2" s="432">
        <v>46295</v>
      </c>
      <c r="M2" s="432">
        <v>46387</v>
      </c>
      <c r="N2" s="432">
        <v>46752</v>
      </c>
      <c r="O2" s="432">
        <v>47118</v>
      </c>
      <c r="P2" s="432">
        <v>47483</v>
      </c>
      <c r="Q2" s="432">
        <v>47848</v>
      </c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</row>
    <row r="3" spans="1:57">
      <c r="A3" s="430" t="s">
        <v>1</v>
      </c>
      <c r="B3" s="431"/>
      <c r="C3" s="431"/>
      <c r="D3" s="431"/>
      <c r="E3" s="434" t="s">
        <v>2</v>
      </c>
      <c r="F3" s="434" t="s">
        <v>3</v>
      </c>
      <c r="G3" s="434" t="s">
        <v>4</v>
      </c>
      <c r="H3" s="434" t="s">
        <v>5</v>
      </c>
      <c r="I3" s="434" t="s">
        <v>2</v>
      </c>
      <c r="J3" s="434" t="s">
        <v>3</v>
      </c>
      <c r="K3" s="434" t="s">
        <v>4</v>
      </c>
      <c r="L3" s="434" t="s">
        <v>5</v>
      </c>
      <c r="M3" s="434" t="s">
        <v>2</v>
      </c>
      <c r="N3" s="434" t="s">
        <v>2</v>
      </c>
      <c r="O3" s="434" t="s">
        <v>2</v>
      </c>
      <c r="P3" s="434" t="s">
        <v>2</v>
      </c>
      <c r="Q3" s="434" t="s">
        <v>2</v>
      </c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</row>
    <row r="4" spans="1:57" ht="18.5" customHeight="1">
      <c r="A4" s="427"/>
      <c r="B4" s="435" t="s">
        <v>6</v>
      </c>
      <c r="C4" s="436" t="s">
        <v>942</v>
      </c>
      <c r="D4" s="435" t="s">
        <v>8</v>
      </c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27"/>
      <c r="AZ4" s="427"/>
      <c r="BA4" s="427"/>
      <c r="BB4" s="427"/>
      <c r="BC4" s="427"/>
      <c r="BD4" s="427"/>
      <c r="BE4" s="427"/>
    </row>
    <row r="5" spans="1:57" s="32" customFormat="1">
      <c r="A5" s="442" t="s">
        <v>943</v>
      </c>
      <c r="B5" s="437"/>
      <c r="C5" s="438"/>
      <c r="D5" s="437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</row>
    <row r="6" spans="1:57" s="32" customFormat="1">
      <c r="A6" s="443" t="s">
        <v>944</v>
      </c>
      <c r="B6" s="437"/>
      <c r="C6" s="438"/>
      <c r="D6" s="439"/>
      <c r="E6" s="441">
        <f>0</f>
        <v>0</v>
      </c>
      <c r="F6" s="441">
        <f t="shared" ref="F6:Q6" si="0">E11</f>
        <v>-1531049</v>
      </c>
      <c r="G6" s="441">
        <f t="shared" si="0"/>
        <v>-1531049</v>
      </c>
      <c r="H6" s="441">
        <f t="shared" si="0"/>
        <v>-1531049</v>
      </c>
      <c r="I6" s="441">
        <f t="shared" si="0"/>
        <v>-1531049</v>
      </c>
      <c r="J6" s="441">
        <f t="shared" si="0"/>
        <v>-1531049</v>
      </c>
      <c r="K6" s="441">
        <f t="shared" si="0"/>
        <v>49829.012982456479</v>
      </c>
      <c r="L6" s="441">
        <f t="shared" si="0"/>
        <v>2272469.4921491235</v>
      </c>
      <c r="M6" s="441">
        <f t="shared" si="0"/>
        <v>4422977.3660526322</v>
      </c>
      <c r="N6" s="441">
        <f t="shared" si="0"/>
        <v>7893041.7182456143</v>
      </c>
      <c r="O6" s="441">
        <f t="shared" si="0"/>
        <v>10307771.44991228</v>
      </c>
      <c r="P6" s="441">
        <f t="shared" si="0"/>
        <v>10882386.500055613</v>
      </c>
      <c r="Q6" s="441">
        <f t="shared" si="0"/>
        <v>12634926.922203247</v>
      </c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  <c r="AW6" s="427"/>
      <c r="AX6" s="427"/>
      <c r="AY6" s="427"/>
      <c r="AZ6" s="427"/>
      <c r="BA6" s="427"/>
      <c r="BB6" s="427"/>
      <c r="BC6" s="427"/>
      <c r="BD6" s="427"/>
      <c r="BE6" s="427"/>
    </row>
    <row r="7" spans="1:57" s="32" customFormat="1">
      <c r="A7" s="443" t="s">
        <v>945</v>
      </c>
      <c r="B7" s="437"/>
      <c r="C7" s="438"/>
      <c r="D7" s="439"/>
      <c r="E7" s="441">
        <f>'c12_oc'!E48</f>
        <v>3119951</v>
      </c>
      <c r="F7" s="441">
        <f>'c12_oc'!J48</f>
        <v>607450.01315789483</v>
      </c>
      <c r="G7" s="441">
        <f>'c12_oc'!K48</f>
        <v>607450.01315789483</v>
      </c>
      <c r="H7" s="441">
        <f>'c12_oc'!L48</f>
        <v>895908.96052631596</v>
      </c>
      <c r="I7" s="441">
        <f>'c12_oc'!M48</f>
        <v>895530.5394736845</v>
      </c>
      <c r="J7" s="441">
        <f>'c12_oc'!N48</f>
        <v>829331.47666666657</v>
      </c>
      <c r="K7" s="441">
        <f>'c12_oc'!O48</f>
        <v>1373293.479166667</v>
      </c>
      <c r="L7" s="441">
        <f>'c12_oc'!P48</f>
        <v>1301160.8739035088</v>
      </c>
      <c r="M7" s="441">
        <f>'c12_oc'!Q48</f>
        <v>2620717.3521929821</v>
      </c>
      <c r="N7" s="441">
        <f>'c12_oc'!R48</f>
        <v>4467341.7316666655</v>
      </c>
      <c r="O7" s="441">
        <f>'c12_oc'!S48</f>
        <v>3827227.0501433332</v>
      </c>
      <c r="P7" s="441">
        <f>'c12_oc'!T48</f>
        <v>3805152.4221476335</v>
      </c>
      <c r="Q7" s="441">
        <f>'c12_oc'!U48</f>
        <v>3529148.5635775551</v>
      </c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</row>
    <row r="8" spans="1:57" s="32" customFormat="1">
      <c r="A8" s="443" t="s">
        <v>946</v>
      </c>
      <c r="B8" s="437"/>
      <c r="C8" s="438"/>
      <c r="D8" s="439"/>
      <c r="E8" s="441">
        <f>-'c12_oc'!E63</f>
        <v>0</v>
      </c>
      <c r="F8" s="441">
        <f>-'c12_oc'!J63+'c12_oc'!E63+'c12_oc'!J62</f>
        <v>530378.98434210522</v>
      </c>
      <c r="G8" s="441">
        <f>-'c12_oc'!K63+'c12_oc'!J63+'c12_oc'!K62</f>
        <v>456226.98434210522</v>
      </c>
      <c r="H8" s="441">
        <f>-'c12_oc'!L63+'c12_oc'!K63+'c12_oc'!L62</f>
        <v>205774.03697368409</v>
      </c>
      <c r="I8" s="441">
        <f>-'c12_oc'!M63+'c12_oc'!L63+'c12_oc'!M62</f>
        <v>-1094579.5419736844</v>
      </c>
      <c r="J8" s="441">
        <f>-'c12_oc'!N63+'c12_oc'!M63+'c12_oc'!N62</f>
        <v>-97800.463684210088</v>
      </c>
      <c r="K8" s="441">
        <f>-'c12_oc'!O63+'c12_oc'!N63+'c12_oc'!O62</f>
        <v>0</v>
      </c>
      <c r="L8" s="441">
        <f>-'c12_oc'!P63+'c12_oc'!O63+'c12_oc'!P62</f>
        <v>0</v>
      </c>
      <c r="M8" s="441">
        <f>-'c12_oc'!Q63+'c12_oc'!P63+'c12_oc'!Q62</f>
        <v>0</v>
      </c>
      <c r="N8" s="441">
        <f>-'c12_oc'!R63+'c12_oc'!Q63+'c12_oc'!R62</f>
        <v>0</v>
      </c>
      <c r="O8" s="441">
        <f>-'c12_oc'!S63+'c12_oc'!R63+'c12_oc'!S62</f>
        <v>0</v>
      </c>
      <c r="P8" s="441">
        <f>-'c12_oc'!T63+'c12_oc'!S63+'c12_oc'!T62</f>
        <v>0</v>
      </c>
      <c r="Q8" s="441">
        <f>-'c12_oc'!U63+'c12_oc'!T63+'c12_oc'!U62</f>
        <v>0</v>
      </c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</row>
    <row r="9" spans="1:57" s="32" customFormat="1">
      <c r="A9" s="443" t="s">
        <v>947</v>
      </c>
      <c r="B9" s="428"/>
      <c r="C9" s="429"/>
      <c r="D9" s="428"/>
      <c r="E9" s="441">
        <f>'c12_oc'!E60</f>
        <v>-4651000</v>
      </c>
      <c r="F9" s="441">
        <f>'c12_oc'!J60</f>
        <v>-1137828.9975000001</v>
      </c>
      <c r="G9" s="441">
        <f>'c12_oc'!K60</f>
        <v>-1063676.9975000001</v>
      </c>
      <c r="H9" s="441">
        <f>'c12_oc'!L60</f>
        <v>-1101682.9975000001</v>
      </c>
      <c r="I9" s="441">
        <f>'c12_oc'!M60</f>
        <v>199049.00249999994</v>
      </c>
      <c r="J9" s="441">
        <f>'c12_oc'!N60</f>
        <v>849347</v>
      </c>
      <c r="K9" s="441">
        <f>'c12_oc'!O60</f>
        <v>849347</v>
      </c>
      <c r="L9" s="441">
        <f>'c12_oc'!P60</f>
        <v>849347</v>
      </c>
      <c r="M9" s="441">
        <f>'c12_oc'!Q60</f>
        <v>849347</v>
      </c>
      <c r="N9" s="441">
        <f>'c12_oc'!R60</f>
        <v>-2052612</v>
      </c>
      <c r="O9" s="441">
        <f>'c12_oc'!S60</f>
        <v>-2052612</v>
      </c>
      <c r="P9" s="441">
        <f>'c12_oc'!T60</f>
        <v>-2052612</v>
      </c>
      <c r="Q9" s="441">
        <f>'c12_oc'!U60</f>
        <v>-2052612</v>
      </c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</row>
    <row r="10" spans="1:57" s="32" customFormat="1">
      <c r="A10" s="443" t="s">
        <v>948</v>
      </c>
      <c r="B10" s="428" t="s">
        <v>12</v>
      </c>
      <c r="C10" s="429"/>
      <c r="D10" s="428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41">
        <v>-1200000</v>
      </c>
      <c r="P10" s="427"/>
      <c r="Q10" s="441">
        <v>-4200000</v>
      </c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</row>
    <row r="11" spans="1:57" s="32" customFormat="1">
      <c r="A11" s="442" t="s">
        <v>949</v>
      </c>
      <c r="B11" s="428"/>
      <c r="C11" s="429"/>
      <c r="D11" s="428"/>
      <c r="E11" s="441">
        <f t="shared" ref="E11:Q11" si="1">SUM(E6:E10)</f>
        <v>-1531049</v>
      </c>
      <c r="F11" s="441">
        <f t="shared" si="1"/>
        <v>-1531049</v>
      </c>
      <c r="G11" s="441">
        <f t="shared" si="1"/>
        <v>-1531049</v>
      </c>
      <c r="H11" s="441">
        <f t="shared" si="1"/>
        <v>-1531049</v>
      </c>
      <c r="I11" s="441">
        <f t="shared" si="1"/>
        <v>-1531049</v>
      </c>
      <c r="J11" s="441">
        <f t="shared" si="1"/>
        <v>49829.012982456479</v>
      </c>
      <c r="K11" s="441">
        <f t="shared" si="1"/>
        <v>2272469.4921491235</v>
      </c>
      <c r="L11" s="441">
        <f t="shared" si="1"/>
        <v>4422977.3660526322</v>
      </c>
      <c r="M11" s="441">
        <f t="shared" si="1"/>
        <v>7893041.7182456143</v>
      </c>
      <c r="N11" s="441">
        <f t="shared" si="1"/>
        <v>10307771.44991228</v>
      </c>
      <c r="O11" s="441">
        <f t="shared" si="1"/>
        <v>10882386.500055613</v>
      </c>
      <c r="P11" s="441">
        <f t="shared" si="1"/>
        <v>12634926.922203247</v>
      </c>
      <c r="Q11" s="441">
        <f t="shared" si="1"/>
        <v>9911463.4857808016</v>
      </c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</row>
    <row r="12" spans="1:57" s="32" customFormat="1">
      <c r="A12" s="442" t="s">
        <v>950</v>
      </c>
      <c r="B12" s="428"/>
      <c r="C12" s="429"/>
      <c r="D12" s="428"/>
      <c r="E12" s="441">
        <f>-'c12_oc'!E75</f>
        <v>0</v>
      </c>
      <c r="F12" s="441">
        <f>-'c12_oc'!J75</f>
        <v>-264555.125</v>
      </c>
      <c r="G12" s="441">
        <f>-'c12_oc'!K75</f>
        <v>-1654110.25</v>
      </c>
      <c r="H12" s="441">
        <f>-'c12_oc'!L75</f>
        <v>-2356165.375</v>
      </c>
      <c r="I12" s="441">
        <f>-'c12_oc'!M75</f>
        <v>-2964570.5</v>
      </c>
      <c r="J12" s="441">
        <f>-'c12_oc'!N75</f>
        <v>-2970159.2973749996</v>
      </c>
      <c r="K12" s="441">
        <f>-'c12_oc'!O75</f>
        <v>-2465036.0922499998</v>
      </c>
      <c r="L12" s="441">
        <f>-'c12_oc'!P75</f>
        <v>-2022503.3871249997</v>
      </c>
      <c r="M12" s="441">
        <f>-'c12_oc'!Q75</f>
        <v>-1664945.5194999997</v>
      </c>
      <c r="N12" s="441">
        <f>-'c12_oc'!R75</f>
        <v>-1612953.8668849997</v>
      </c>
      <c r="O12" s="441">
        <f>-'c12_oc'!S75</f>
        <v>-1238953.8398315497</v>
      </c>
      <c r="P12" s="441">
        <f>-'c12_oc'!T75</f>
        <v>-2072783.8119664963</v>
      </c>
      <c r="Q12" s="441">
        <f>-'c12_oc'!U75</f>
        <v>-2734101.9936666666</v>
      </c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</row>
    <row r="13" spans="1:57" s="32" customFormat="1">
      <c r="A13" s="442" t="s">
        <v>951</v>
      </c>
      <c r="B13" s="428"/>
      <c r="C13" s="429"/>
      <c r="D13" s="428"/>
      <c r="E13" s="441">
        <f t="shared" ref="E13:Q13" si="2">SUM(E11:E12)</f>
        <v>-1531049</v>
      </c>
      <c r="F13" s="441">
        <f t="shared" si="2"/>
        <v>-1795604.125</v>
      </c>
      <c r="G13" s="441">
        <f t="shared" si="2"/>
        <v>-3185159.25</v>
      </c>
      <c r="H13" s="441">
        <f t="shared" si="2"/>
        <v>-3887214.375</v>
      </c>
      <c r="I13" s="441">
        <f t="shared" si="2"/>
        <v>-4495619.5</v>
      </c>
      <c r="J13" s="441">
        <f t="shared" si="2"/>
        <v>-2920330.2843925431</v>
      </c>
      <c r="K13" s="441">
        <f t="shared" si="2"/>
        <v>-192566.6001008763</v>
      </c>
      <c r="L13" s="441">
        <f t="shared" si="2"/>
        <v>2400473.9789276328</v>
      </c>
      <c r="M13" s="441">
        <f t="shared" si="2"/>
        <v>6228096.1987456148</v>
      </c>
      <c r="N13" s="441">
        <f t="shared" si="2"/>
        <v>8694817.5830272809</v>
      </c>
      <c r="O13" s="441">
        <f t="shared" si="2"/>
        <v>9643432.6602240633</v>
      </c>
      <c r="P13" s="441">
        <f t="shared" si="2"/>
        <v>10562143.110236751</v>
      </c>
      <c r="Q13" s="441">
        <f t="shared" si="2"/>
        <v>7177361.4921141351</v>
      </c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</row>
    <row r="14" spans="1:57" s="6" customFormat="1">
      <c r="A14" s="427"/>
      <c r="B14" s="428"/>
      <c r="C14" s="429"/>
      <c r="D14" s="428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</row>
    <row r="15" spans="1:57" s="32" customFormat="1">
      <c r="A15" s="442" t="s">
        <v>952</v>
      </c>
      <c r="B15" s="428"/>
      <c r="C15" s="429"/>
      <c r="D15" s="428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</row>
    <row r="16" spans="1:57" s="32" customFormat="1">
      <c r="A16" s="442" t="s">
        <v>953</v>
      </c>
      <c r="B16" s="428"/>
      <c r="C16" s="429"/>
      <c r="D16" s="428"/>
      <c r="E16" s="441">
        <f>'c12_oc'!E63</f>
        <v>0</v>
      </c>
      <c r="F16" s="441">
        <f>'c12_oc'!J63</f>
        <v>-530378.98434210522</v>
      </c>
      <c r="G16" s="441">
        <f>'c12_oc'!K63</f>
        <v>-986605.96868421044</v>
      </c>
      <c r="H16" s="441">
        <f>'c12_oc'!L63</f>
        <v>-1192380.0056578945</v>
      </c>
      <c r="I16" s="441">
        <f>'c12_oc'!M63</f>
        <v>-97800.463684210088</v>
      </c>
      <c r="J16" s="441">
        <f>'c12_oc'!N63</f>
        <v>0</v>
      </c>
      <c r="K16" s="441">
        <f>'c12_oc'!O63</f>
        <v>0</v>
      </c>
      <c r="L16" s="441">
        <f>'c12_oc'!P63</f>
        <v>0</v>
      </c>
      <c r="M16" s="441">
        <f>'c12_oc'!Q63</f>
        <v>0</v>
      </c>
      <c r="N16" s="441">
        <f>'c12_oc'!R63</f>
        <v>0</v>
      </c>
      <c r="O16" s="441">
        <f>'c12_oc'!S63</f>
        <v>0</v>
      </c>
      <c r="P16" s="441">
        <f>'c12_oc'!T63</f>
        <v>0</v>
      </c>
      <c r="Q16" s="441">
        <f>'c12_oc'!U63</f>
        <v>0</v>
      </c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</row>
    <row r="17" spans="1:57" s="6" customFormat="1">
      <c r="A17" s="427"/>
      <c r="B17" s="428"/>
      <c r="C17" s="429"/>
      <c r="D17" s="428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</row>
    <row r="18" spans="1:57" s="32" customFormat="1">
      <c r="A18" s="442" t="s">
        <v>233</v>
      </c>
      <c r="B18" s="428"/>
      <c r="C18" s="429"/>
      <c r="D18" s="428"/>
      <c r="E18" s="441">
        <f t="shared" ref="E18:Q18" si="3">E16+E13</f>
        <v>-1531049</v>
      </c>
      <c r="F18" s="441">
        <f t="shared" si="3"/>
        <v>-2325983.1093421052</v>
      </c>
      <c r="G18" s="441">
        <f t="shared" si="3"/>
        <v>-4171765.2186842104</v>
      </c>
      <c r="H18" s="441">
        <f t="shared" si="3"/>
        <v>-5079594.3806578945</v>
      </c>
      <c r="I18" s="441">
        <f t="shared" si="3"/>
        <v>-4593419.9636842106</v>
      </c>
      <c r="J18" s="441">
        <f t="shared" si="3"/>
        <v>-2920330.2843925431</v>
      </c>
      <c r="K18" s="441">
        <f t="shared" si="3"/>
        <v>-192566.6001008763</v>
      </c>
      <c r="L18" s="441">
        <f t="shared" si="3"/>
        <v>2400473.9789276328</v>
      </c>
      <c r="M18" s="441">
        <f t="shared" si="3"/>
        <v>6228096.1987456148</v>
      </c>
      <c r="N18" s="441">
        <f t="shared" si="3"/>
        <v>8694817.5830272809</v>
      </c>
      <c r="O18" s="441">
        <f t="shared" si="3"/>
        <v>9643432.6602240633</v>
      </c>
      <c r="P18" s="441">
        <f t="shared" si="3"/>
        <v>10562143.110236751</v>
      </c>
      <c r="Q18" s="441">
        <f t="shared" si="3"/>
        <v>7177361.4921141351</v>
      </c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</row>
    <row r="19" spans="1:57" s="6" customFormat="1">
      <c r="A19" s="427"/>
      <c r="B19" s="428"/>
      <c r="C19" s="429"/>
      <c r="D19" s="428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</row>
    <row r="20" spans="1:57">
      <c r="A20" s="427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</row>
    <row r="21" spans="1:57">
      <c r="A21" s="427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</row>
    <row r="22" spans="1:57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</row>
    <row r="23" spans="1:57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</row>
    <row r="24" spans="1:57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</row>
    <row r="25" spans="1:57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</row>
    <row r="26" spans="1:57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</row>
    <row r="27" spans="1:57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</row>
    <row r="28" spans="1:57">
      <c r="A28" s="427"/>
      <c r="B28" s="427"/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</row>
    <row r="29" spans="1:57">
      <c r="A29" s="427"/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</row>
    <row r="30" spans="1:57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</row>
    <row r="31" spans="1:57">
      <c r="A31" s="427"/>
      <c r="B31" s="427"/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</row>
    <row r="32" spans="1:57">
      <c r="A32" s="427"/>
      <c r="B32" s="427"/>
      <c r="C32" s="427"/>
      <c r="D32" s="427"/>
      <c r="E32" s="427"/>
      <c r="F32" s="427"/>
      <c r="G32" s="427"/>
      <c r="H32" s="427"/>
      <c r="I32" s="427"/>
      <c r="J32" s="427"/>
      <c r="K32" s="427"/>
      <c r="L32" s="427"/>
      <c r="M32" s="427"/>
      <c r="N32" s="427"/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</row>
    <row r="33" spans="1:57">
      <c r="A33" s="427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</row>
    <row r="34" spans="1:57">
      <c r="A34" s="427"/>
      <c r="B34" s="427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</row>
    <row r="35" spans="1:57">
      <c r="A35" s="427"/>
      <c r="B35" s="427"/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427"/>
      <c r="N35" s="427"/>
      <c r="O35" s="427"/>
      <c r="P35" s="427"/>
      <c r="Q35" s="427"/>
      <c r="R35" s="427"/>
      <c r="S35" s="427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</row>
    <row r="36" spans="1:57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</row>
    <row r="37" spans="1:57">
      <c r="A37" s="427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</row>
    <row r="38" spans="1:57">
      <c r="A38" s="427"/>
      <c r="B38" s="427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</row>
    <row r="39" spans="1:57">
      <c r="A39" s="427"/>
      <c r="B39" s="427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</row>
    <row r="40" spans="1:57">
      <c r="A40" s="427"/>
      <c r="B40" s="427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</row>
    <row r="41" spans="1:57">
      <c r="A41" s="427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</row>
    <row r="42" spans="1:57">
      <c r="A42" s="427"/>
      <c r="B42" s="427"/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</row>
    <row r="43" spans="1:57">
      <c r="A43" s="427"/>
      <c r="B43" s="427"/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</row>
    <row r="44" spans="1:57">
      <c r="A44" s="427"/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</row>
    <row r="45" spans="1:57">
      <c r="A45" s="427"/>
      <c r="B45" s="427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</row>
    <row r="46" spans="1:57">
      <c r="A46" s="427"/>
      <c r="B46" s="427"/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7"/>
      <c r="N46" s="427"/>
      <c r="O46" s="427"/>
      <c r="P46" s="427"/>
      <c r="Q46" s="427"/>
      <c r="R46" s="427"/>
      <c r="S46" s="427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</row>
    <row r="47" spans="1:57">
      <c r="A47" s="427"/>
      <c r="B47" s="427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</row>
    <row r="48" spans="1:57">
      <c r="A48" s="427"/>
      <c r="B48" s="427"/>
      <c r="C48" s="427"/>
      <c r="D48" s="427"/>
      <c r="E48" s="427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</row>
    <row r="49" spans="1:57">
      <c r="A49" s="427"/>
      <c r="B49" s="427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 s="427"/>
      <c r="BA49" s="427"/>
      <c r="BB49" s="427"/>
      <c r="BC49" s="427"/>
      <c r="BD49" s="427"/>
      <c r="BE49" s="427"/>
    </row>
    <row r="50" spans="1:57">
      <c r="A50" s="427"/>
      <c r="B50" s="427"/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</row>
    <row r="51" spans="1:57">
      <c r="A51" s="427"/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</row>
    <row r="52" spans="1:57">
      <c r="A52" s="427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</row>
    <row r="53" spans="1:57">
      <c r="A53" s="427"/>
      <c r="B53" s="427"/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</row>
    <row r="54" spans="1:57">
      <c r="A54" s="427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</row>
    <row r="55" spans="1:57">
      <c r="A55" s="427"/>
      <c r="B55" s="427"/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</row>
    <row r="56" spans="1:57">
      <c r="A56" s="427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</row>
    <row r="57" spans="1:57">
      <c r="A57" s="427"/>
      <c r="B57" s="427"/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</row>
    <row r="58" spans="1:57">
      <c r="A58" s="427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7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</row>
    <row r="59" spans="1:57">
      <c r="A59" s="427"/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</row>
    <row r="60" spans="1:57">
      <c r="A60" s="427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</row>
    <row r="61" spans="1:57">
      <c r="A61" s="427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</row>
    <row r="62" spans="1:57">
      <c r="A62" s="427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</row>
    <row r="63" spans="1:57">
      <c r="A63" s="427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</row>
    <row r="64" spans="1:57">
      <c r="A64" s="427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7"/>
      <c r="R64" s="427"/>
      <c r="S64" s="427"/>
      <c r="T64" s="427"/>
      <c r="U64" s="427"/>
      <c r="V64" s="427"/>
      <c r="W64" s="427"/>
      <c r="X64" s="427"/>
      <c r="Y64" s="427"/>
      <c r="Z64" s="427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</row>
    <row r="65" spans="1:57">
      <c r="A65" s="427"/>
      <c r="B65" s="427"/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</row>
    <row r="66" spans="1:57">
      <c r="A66" s="427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</row>
    <row r="67" spans="1:57">
      <c r="A67" s="427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7"/>
      <c r="O67" s="427"/>
      <c r="P67" s="427"/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</row>
    <row r="68" spans="1:57">
      <c r="A68" s="427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</row>
    <row r="69" spans="1:57">
      <c r="A69" s="427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</row>
    <row r="70" spans="1:57">
      <c r="A70" s="427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</row>
    <row r="71" spans="1:57">
      <c r="A71" s="427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</row>
    <row r="72" spans="1:57">
      <c r="A72" s="427"/>
      <c r="B72" s="427"/>
      <c r="C72" s="427"/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427"/>
      <c r="W72" s="427"/>
      <c r="X72" s="427"/>
      <c r="Y72" s="427"/>
      <c r="Z72" s="427"/>
      <c r="AA72" s="427"/>
      <c r="AB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</row>
    <row r="73" spans="1:57">
      <c r="A73" s="427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7"/>
      <c r="Q73" s="427"/>
      <c r="R73" s="427"/>
      <c r="S73" s="427"/>
      <c r="T73" s="427"/>
      <c r="U73" s="427"/>
      <c r="V73" s="427"/>
      <c r="W73" s="427"/>
      <c r="X73" s="427"/>
      <c r="Y73" s="427"/>
      <c r="Z73" s="427"/>
      <c r="AA73" s="427"/>
      <c r="AB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</row>
    <row r="74" spans="1:57">
      <c r="A74" s="427"/>
      <c r="B74" s="427"/>
      <c r="C74" s="427"/>
      <c r="D74" s="427"/>
      <c r="E74" s="427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7"/>
      <c r="BE74" s="427"/>
    </row>
    <row r="75" spans="1:57">
      <c r="A75" s="427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7"/>
      <c r="BE75" s="427"/>
    </row>
    <row r="76" spans="1:57">
      <c r="A76" s="427"/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7"/>
      <c r="BE76" s="427"/>
    </row>
    <row r="77" spans="1:57">
      <c r="A77" s="427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7"/>
      <c r="Q77" s="427"/>
      <c r="R77" s="427"/>
      <c r="S77" s="427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AZ77" s="427"/>
      <c r="BA77" s="427"/>
      <c r="BB77" s="427"/>
      <c r="BC77" s="427"/>
      <c r="BD77" s="427"/>
      <c r="BE77" s="427"/>
    </row>
    <row r="78" spans="1:57">
      <c r="A78" s="427"/>
      <c r="B78" s="427"/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7"/>
      <c r="BE78" s="427"/>
    </row>
    <row r="79" spans="1:57">
      <c r="A79" s="427"/>
      <c r="B79" s="427"/>
      <c r="C79" s="427"/>
      <c r="D79" s="427"/>
      <c r="E79" s="427"/>
      <c r="F79" s="427"/>
      <c r="G79" s="427"/>
      <c r="H79" s="427"/>
      <c r="I79" s="427"/>
      <c r="J79" s="427"/>
      <c r="K79" s="427"/>
      <c r="L79" s="427"/>
      <c r="M79" s="427"/>
      <c r="N79" s="427"/>
      <c r="O79" s="427"/>
      <c r="P79" s="427"/>
      <c r="Q79" s="427"/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</row>
    <row r="80" spans="1:57">
      <c r="A80" s="427"/>
      <c r="B80" s="427"/>
      <c r="C80" s="427"/>
      <c r="D80" s="427"/>
      <c r="E80" s="427"/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</row>
    <row r="81" spans="1:57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</row>
    <row r="82" spans="1:57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</row>
    <row r="83" spans="1:57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</row>
    <row r="84" spans="1:57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</row>
    <row r="85" spans="1:57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</row>
    <row r="86" spans="1:57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</row>
    <row r="87" spans="1:57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</row>
    <row r="88" spans="1:57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</row>
    <row r="89" spans="1:57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</row>
    <row r="90" spans="1:57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</row>
    <row r="91" spans="1:57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</row>
    <row r="92" spans="1:57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</row>
    <row r="93" spans="1:57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</row>
    <row r="94" spans="1:57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</row>
    <row r="95" spans="1:57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</row>
    <row r="96" spans="1:57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</row>
    <row r="97" spans="1:57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</row>
    <row r="98" spans="1:57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</row>
    <row r="99" spans="1:57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</row>
    <row r="100" spans="1:57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</row>
    <row r="101" spans="1:57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</row>
    <row r="102" spans="1:57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</row>
    <row r="103" spans="1:57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</row>
    <row r="104" spans="1:57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</row>
    <row r="105" spans="1:57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</row>
    <row r="106" spans="1:57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</row>
    <row r="107" spans="1:57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</row>
    <row r="108" spans="1:57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</row>
    <row r="109" spans="1:57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</row>
    <row r="110" spans="1:57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</row>
    <row r="111" spans="1:57">
      <c r="A111" s="427"/>
      <c r="B111" s="440"/>
      <c r="C111" s="427"/>
      <c r="D111" s="440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</row>
    <row r="112" spans="1:57">
      <c r="A112" s="427"/>
      <c r="B112" s="440"/>
      <c r="C112" s="427"/>
      <c r="D112" s="440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</row>
    <row r="113" spans="1:57">
      <c r="A113" s="427"/>
      <c r="B113" s="440"/>
      <c r="C113" s="427"/>
      <c r="D113" s="440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</row>
    <row r="114" spans="1:57">
      <c r="A114" s="427"/>
      <c r="B114" s="440"/>
      <c r="C114" s="427"/>
      <c r="D114" s="440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</row>
    <row r="115" spans="1:57">
      <c r="A115" s="427"/>
      <c r="B115" s="440"/>
      <c r="C115" s="427"/>
      <c r="D115" s="440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</row>
    <row r="116" spans="1:57">
      <c r="A116" s="427"/>
      <c r="B116" s="440"/>
      <c r="C116" s="427"/>
      <c r="D116" s="440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</row>
    <row r="117" spans="1:57">
      <c r="A117" s="427"/>
      <c r="B117" s="440"/>
      <c r="C117" s="427"/>
      <c r="D117" s="440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</row>
    <row r="118" spans="1:57">
      <c r="A118" s="427"/>
      <c r="B118" s="440"/>
      <c r="C118" s="427"/>
      <c r="D118" s="440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</row>
    <row r="119" spans="1:57">
      <c r="A119" s="427"/>
      <c r="B119" s="440"/>
      <c r="C119" s="427"/>
      <c r="D119" s="440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</row>
    <row r="120" spans="1:57">
      <c r="A120" s="427"/>
      <c r="B120" s="440"/>
      <c r="C120" s="427"/>
      <c r="D120" s="440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</row>
    <row r="121" spans="1:57">
      <c r="A121" s="427"/>
      <c r="B121" s="440"/>
      <c r="C121" s="427"/>
      <c r="D121" s="440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</row>
    <row r="122" spans="1:57">
      <c r="A122" s="427"/>
      <c r="B122" s="440"/>
      <c r="C122" s="427"/>
      <c r="D122" s="440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</row>
    <row r="123" spans="1:57">
      <c r="A123" s="427"/>
      <c r="B123" s="440"/>
      <c r="C123" s="427"/>
      <c r="D123" s="440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</row>
    <row r="124" spans="1:57">
      <c r="A124" s="427"/>
      <c r="B124" s="440"/>
      <c r="C124" s="427"/>
      <c r="D124" s="440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</row>
    <row r="125" spans="1:57">
      <c r="A125" s="427"/>
      <c r="B125" s="440"/>
      <c r="C125" s="427"/>
      <c r="D125" s="440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</row>
    <row r="126" spans="1:57">
      <c r="A126" s="427"/>
      <c r="B126" s="440"/>
      <c r="C126" s="427"/>
      <c r="D126" s="440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</row>
    <row r="127" spans="1:57">
      <c r="A127" s="427"/>
      <c r="B127" s="440"/>
      <c r="C127" s="427"/>
      <c r="D127" s="440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</row>
    <row r="128" spans="1:57">
      <c r="A128" s="427"/>
      <c r="B128" s="440"/>
      <c r="C128" s="427"/>
      <c r="D128" s="440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</row>
    <row r="129" spans="1:57">
      <c r="A129" s="427"/>
      <c r="B129" s="440"/>
      <c r="C129" s="427"/>
      <c r="D129" s="440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</row>
    <row r="130" spans="1:57">
      <c r="A130" s="427"/>
      <c r="B130" s="440"/>
      <c r="C130" s="427"/>
      <c r="D130" s="440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</row>
    <row r="131" spans="1:57">
      <c r="A131" s="427"/>
      <c r="B131" s="440"/>
      <c r="C131" s="427"/>
      <c r="D131" s="440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</row>
    <row r="132" spans="1:57">
      <c r="A132" s="427"/>
      <c r="B132" s="440"/>
      <c r="C132" s="427"/>
      <c r="D132" s="440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</row>
    <row r="133" spans="1:57">
      <c r="A133" s="427"/>
      <c r="B133" s="440"/>
      <c r="C133" s="427"/>
      <c r="D133" s="440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</row>
    <row r="134" spans="1:57">
      <c r="A134" s="427"/>
      <c r="B134" s="440"/>
      <c r="C134" s="427"/>
      <c r="D134" s="440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</row>
    <row r="135" spans="1:57">
      <c r="A135" s="427"/>
      <c r="B135" s="440"/>
      <c r="C135" s="427"/>
      <c r="D135" s="440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</row>
    <row r="136" spans="1:57">
      <c r="A136" s="427"/>
      <c r="B136" s="440"/>
      <c r="C136" s="427"/>
      <c r="D136" s="440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</row>
    <row r="137" spans="1:57">
      <c r="A137" s="427"/>
      <c r="B137" s="440"/>
      <c r="C137" s="427"/>
      <c r="D137" s="440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</row>
    <row r="138" spans="1:57">
      <c r="A138" s="427"/>
      <c r="B138" s="440"/>
      <c r="C138" s="427"/>
      <c r="D138" s="440"/>
      <c r="E138" s="427"/>
      <c r="F138" s="427"/>
      <c r="G138" s="427"/>
      <c r="H138" s="427"/>
      <c r="I138" s="427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</row>
    <row r="139" spans="1:57">
      <c r="A139" s="427"/>
      <c r="B139" s="440"/>
      <c r="C139" s="427"/>
      <c r="D139" s="440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</row>
    <row r="140" spans="1:57">
      <c r="A140" s="427"/>
      <c r="B140" s="440"/>
      <c r="C140" s="427"/>
      <c r="D140" s="440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</row>
    <row r="141" spans="1:57">
      <c r="A141" s="427"/>
      <c r="B141" s="440"/>
      <c r="C141" s="427"/>
      <c r="D141" s="440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</row>
    <row r="142" spans="1:57">
      <c r="A142" s="427"/>
      <c r="B142" s="440"/>
      <c r="C142" s="427"/>
      <c r="D142" s="440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</row>
    <row r="143" spans="1:57">
      <c r="A143" s="427"/>
      <c r="B143" s="440"/>
      <c r="C143" s="427"/>
      <c r="D143" s="440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</row>
    <row r="144" spans="1:57">
      <c r="A144" s="427"/>
      <c r="B144" s="440"/>
      <c r="C144" s="427"/>
      <c r="D144" s="440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</row>
    <row r="145" spans="1:57">
      <c r="A145" s="427"/>
      <c r="B145" s="440"/>
      <c r="C145" s="427"/>
      <c r="D145" s="440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</row>
    <row r="146" spans="1:57">
      <c r="A146" s="427"/>
      <c r="B146" s="440"/>
      <c r="C146" s="427"/>
      <c r="D146" s="440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</row>
    <row r="147" spans="1:57">
      <c r="A147" s="427"/>
      <c r="B147" s="440"/>
      <c r="C147" s="427"/>
      <c r="D147" s="440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</row>
    <row r="148" spans="1:57">
      <c r="A148" s="427"/>
      <c r="B148" s="440"/>
      <c r="C148" s="427"/>
      <c r="D148" s="440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AZ148" s="427"/>
      <c r="BA148" s="427"/>
      <c r="BB148" s="427"/>
      <c r="BC148" s="427"/>
      <c r="BD148" s="427"/>
      <c r="BE148" s="427"/>
    </row>
    <row r="149" spans="1:57">
      <c r="A149" s="427"/>
      <c r="B149" s="440"/>
      <c r="C149" s="427"/>
      <c r="D149" s="440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V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" style="418" bestFit="1" customWidth="1"/>
    <col min="4" max="4" width="11.81640625" style="418" bestFit="1" customWidth="1"/>
    <col min="5" max="5" width="15.6328125" style="5" bestFit="1" customWidth="1"/>
    <col min="6" max="9" width="11.7265625" style="63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48" s="4" customFormat="1" ht="18.399999999999999" customHeight="1">
      <c r="A1" s="551"/>
      <c r="B1" s="447"/>
      <c r="C1" s="448"/>
      <c r="D1" s="448"/>
      <c r="E1" s="552"/>
      <c r="F1" s="446"/>
      <c r="G1" s="446"/>
      <c r="H1" s="446"/>
      <c r="I1" s="446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</row>
    <row r="2" spans="1:48">
      <c r="A2" s="553" t="s">
        <v>0</v>
      </c>
      <c r="B2" s="450"/>
      <c r="C2" s="450"/>
      <c r="D2" s="449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</row>
    <row r="3" spans="1:48" ht="14.65" customHeight="1">
      <c r="A3" s="553" t="s">
        <v>1</v>
      </c>
      <c r="B3" s="450"/>
      <c r="C3" s="450"/>
      <c r="D3" s="449"/>
      <c r="E3" s="555" t="s">
        <v>2</v>
      </c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6" t="s">
        <v>2</v>
      </c>
      <c r="S3" s="556" t="s">
        <v>2</v>
      </c>
      <c r="T3" s="556" t="s">
        <v>2</v>
      </c>
      <c r="U3" s="556" t="s">
        <v>2</v>
      </c>
      <c r="V3" s="557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</row>
    <row r="4" spans="1:48" ht="14.65" customHeight="1">
      <c r="A4" s="446"/>
      <c r="B4" s="456" t="s">
        <v>6</v>
      </c>
      <c r="C4" s="457" t="s">
        <v>7</v>
      </c>
      <c r="D4" s="457" t="s">
        <v>8</v>
      </c>
      <c r="E4" s="558"/>
      <c r="F4" s="446"/>
      <c r="G4" s="446"/>
      <c r="H4" s="446"/>
      <c r="I4" s="446"/>
      <c r="J4" s="558"/>
      <c r="K4" s="558"/>
      <c r="L4" s="558"/>
      <c r="M4" s="558"/>
      <c r="N4" s="558"/>
      <c r="O4" s="558"/>
      <c r="P4" s="558"/>
      <c r="Q4" s="558"/>
      <c r="R4" s="559"/>
      <c r="S4" s="559"/>
      <c r="T4" s="559"/>
      <c r="U4" s="559"/>
      <c r="V4" s="560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</row>
    <row r="5" spans="1:48" ht="15" customHeight="1">
      <c r="A5" s="561" t="s">
        <v>9</v>
      </c>
      <c r="B5" s="461"/>
      <c r="C5" s="460" t="s">
        <v>10</v>
      </c>
      <c r="D5" s="464"/>
      <c r="E5" s="551"/>
      <c r="F5" s="446"/>
      <c r="G5" s="446"/>
      <c r="H5" s="446"/>
      <c r="I5" s="446"/>
      <c r="J5" s="551"/>
      <c r="K5" s="551"/>
      <c r="L5" s="551"/>
      <c r="M5" s="562"/>
      <c r="N5" s="551"/>
      <c r="O5" s="551"/>
      <c r="P5" s="551"/>
      <c r="Q5" s="551"/>
      <c r="R5" s="551"/>
      <c r="S5" s="551"/>
      <c r="T5" s="551"/>
      <c r="U5" s="551"/>
      <c r="V5" s="551"/>
      <c r="W5" s="446"/>
      <c r="X5" s="471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</row>
    <row r="6" spans="1:48">
      <c r="A6" s="561" t="s">
        <v>11</v>
      </c>
      <c r="B6" s="459" t="s">
        <v>12</v>
      </c>
      <c r="C6" s="460" t="s">
        <v>13</v>
      </c>
      <c r="D6" s="460" t="s">
        <v>14</v>
      </c>
      <c r="E6" s="563">
        <v>535096.5</v>
      </c>
      <c r="F6" s="446"/>
      <c r="G6" s="446"/>
      <c r="H6" s="446"/>
      <c r="I6" s="446"/>
      <c r="J6" s="564">
        <f>696500/4</f>
        <v>174125</v>
      </c>
      <c r="K6" s="564">
        <f>696500/4</f>
        <v>174125</v>
      </c>
      <c r="L6" s="564">
        <f>696500/4</f>
        <v>174125</v>
      </c>
      <c r="M6" s="524">
        <f>696500/4</f>
        <v>174125</v>
      </c>
      <c r="N6" s="524">
        <f>745476/4</f>
        <v>186369</v>
      </c>
      <c r="O6" s="524">
        <f>745476/4</f>
        <v>186369</v>
      </c>
      <c r="P6" s="524">
        <f>745476/4</f>
        <v>186369</v>
      </c>
      <c r="Q6" s="524">
        <f>745476/4</f>
        <v>186369</v>
      </c>
      <c r="R6" s="565">
        <f>+Q6*4*1.03</f>
        <v>767840.28</v>
      </c>
      <c r="S6" s="565">
        <f t="shared" ref="S6:U9" si="0">+R6*1.03</f>
        <v>790875.48840000003</v>
      </c>
      <c r="T6" s="565">
        <f t="shared" si="0"/>
        <v>814601.75305200007</v>
      </c>
      <c r="U6" s="565">
        <f t="shared" si="0"/>
        <v>839039.80564356013</v>
      </c>
      <c r="V6" s="566" t="s">
        <v>15</v>
      </c>
      <c r="W6" s="491"/>
      <c r="X6" s="567"/>
      <c r="Y6" s="446"/>
      <c r="Z6" s="446"/>
      <c r="AA6" s="446"/>
      <c r="AB6" s="446"/>
      <c r="AC6" s="505"/>
      <c r="AD6" s="505"/>
      <c r="AE6" s="505"/>
      <c r="AF6" s="505"/>
      <c r="AG6" s="565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</row>
    <row r="7" spans="1:48">
      <c r="A7" s="561" t="s">
        <v>16</v>
      </c>
      <c r="B7" s="459" t="s">
        <v>12</v>
      </c>
      <c r="C7" s="460" t="s">
        <v>17</v>
      </c>
      <c r="D7" s="460" t="s">
        <v>14</v>
      </c>
      <c r="E7" s="563">
        <v>535096.5</v>
      </c>
      <c r="F7" s="446"/>
      <c r="G7" s="446"/>
      <c r="H7" s="446"/>
      <c r="I7" s="446"/>
      <c r="J7" s="564">
        <f>704168/4</f>
        <v>176042</v>
      </c>
      <c r="K7" s="564">
        <f>704168/4</f>
        <v>176042</v>
      </c>
      <c r="L7" s="564">
        <f>704168/4</f>
        <v>176042</v>
      </c>
      <c r="M7" s="564">
        <f>704168/4</f>
        <v>176042</v>
      </c>
      <c r="N7" s="564">
        <f>+M7*1.03</f>
        <v>181323.26</v>
      </c>
      <c r="O7" s="564">
        <f>+N7</f>
        <v>181323.26</v>
      </c>
      <c r="P7" s="564">
        <f>+O7</f>
        <v>181323.26</v>
      </c>
      <c r="Q7" s="564">
        <f>+P7</f>
        <v>181323.26</v>
      </c>
      <c r="R7" s="565">
        <f>+Q7*4*1.03</f>
        <v>747051.83120000002</v>
      </c>
      <c r="S7" s="565">
        <f t="shared" si="0"/>
        <v>769463.38613600004</v>
      </c>
      <c r="T7" s="565">
        <f t="shared" si="0"/>
        <v>792547.28772008012</v>
      </c>
      <c r="U7" s="565">
        <f t="shared" si="0"/>
        <v>816323.70635168254</v>
      </c>
      <c r="V7" s="565"/>
      <c r="W7" s="446"/>
      <c r="X7" s="567"/>
      <c r="Y7" s="446"/>
      <c r="Z7" s="446"/>
      <c r="AA7" s="565"/>
      <c r="AB7" s="565"/>
      <c r="AC7" s="565"/>
      <c r="AD7" s="565"/>
      <c r="AE7" s="565"/>
      <c r="AF7" s="565"/>
      <c r="AG7" s="565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</row>
    <row r="8" spans="1:48">
      <c r="A8" s="561" t="s">
        <v>18</v>
      </c>
      <c r="B8" s="459" t="s">
        <v>12</v>
      </c>
      <c r="C8" s="460" t="s">
        <v>13</v>
      </c>
      <c r="D8" s="460" t="s">
        <v>19</v>
      </c>
      <c r="E8" s="563">
        <v>569458</v>
      </c>
      <c r="F8" s="446"/>
      <c r="G8" s="446"/>
      <c r="H8" s="446"/>
      <c r="I8" s="446"/>
      <c r="J8" s="564">
        <f>644120/4</f>
        <v>161030</v>
      </c>
      <c r="K8" s="564">
        <f>644120/4</f>
        <v>161030</v>
      </c>
      <c r="L8" s="564">
        <f>644120/4</f>
        <v>161030</v>
      </c>
      <c r="M8" s="524">
        <f>644120/4</f>
        <v>161030</v>
      </c>
      <c r="N8" s="524">
        <f>834731/4</f>
        <v>208682.75</v>
      </c>
      <c r="O8" s="524">
        <f>834731/4</f>
        <v>208682.75</v>
      </c>
      <c r="P8" s="524">
        <f>834731/4</f>
        <v>208682.75</v>
      </c>
      <c r="Q8" s="524">
        <f>834731/4</f>
        <v>208682.75</v>
      </c>
      <c r="R8" s="565">
        <f>+Q8*4*1.03</f>
        <v>859772.93</v>
      </c>
      <c r="S8" s="565">
        <f t="shared" si="0"/>
        <v>885566.11790000007</v>
      </c>
      <c r="T8" s="565">
        <f t="shared" si="0"/>
        <v>912133.10143700009</v>
      </c>
      <c r="U8" s="565">
        <f t="shared" si="0"/>
        <v>939497.0944801101</v>
      </c>
      <c r="V8" s="565"/>
      <c r="W8" s="448"/>
      <c r="X8" s="568"/>
      <c r="Y8" s="446"/>
      <c r="Z8" s="446"/>
      <c r="AA8" s="565"/>
      <c r="AB8" s="505"/>
      <c r="AC8" s="505"/>
      <c r="AD8" s="505"/>
      <c r="AE8" s="505"/>
      <c r="AF8" s="505"/>
      <c r="AG8" s="565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</row>
    <row r="9" spans="1:48">
      <c r="A9" s="561" t="s">
        <v>20</v>
      </c>
      <c r="B9" s="458" t="s">
        <v>12</v>
      </c>
      <c r="C9" s="458" t="s">
        <v>21</v>
      </c>
      <c r="D9" s="458" t="s">
        <v>19</v>
      </c>
      <c r="E9" s="565"/>
      <c r="F9" s="446"/>
      <c r="G9" s="446"/>
      <c r="H9" s="446"/>
      <c r="I9" s="446"/>
      <c r="J9" s="564">
        <f>283311/4</f>
        <v>70827.75</v>
      </c>
      <c r="K9" s="564">
        <f>283311/4</f>
        <v>70827.75</v>
      </c>
      <c r="L9" s="564">
        <f>283311/4</f>
        <v>70827.75</v>
      </c>
      <c r="M9" s="564">
        <f>283311/4</f>
        <v>70827.75</v>
      </c>
      <c r="N9" s="564">
        <f>+M9*1.03</f>
        <v>72952.582500000004</v>
      </c>
      <c r="O9" s="564">
        <f>+N9</f>
        <v>72952.582500000004</v>
      </c>
      <c r="P9" s="564">
        <f>+O9</f>
        <v>72952.582500000004</v>
      </c>
      <c r="Q9" s="564">
        <f>+P9</f>
        <v>72952.582500000004</v>
      </c>
      <c r="R9" s="565">
        <f>+Q9*4*1.03</f>
        <v>300564.63990000001</v>
      </c>
      <c r="S9" s="565">
        <f t="shared" si="0"/>
        <v>309581.57909700001</v>
      </c>
      <c r="T9" s="565">
        <f t="shared" si="0"/>
        <v>318869.02646990999</v>
      </c>
      <c r="U9" s="565">
        <f t="shared" si="0"/>
        <v>328435.09726400732</v>
      </c>
      <c r="V9" s="565"/>
      <c r="W9" s="448"/>
      <c r="X9" s="569"/>
      <c r="Y9" s="446"/>
      <c r="Z9" s="446"/>
      <c r="AA9" s="565"/>
      <c r="AB9" s="565"/>
      <c r="AC9" s="565"/>
      <c r="AD9" s="565"/>
      <c r="AE9" s="565"/>
      <c r="AF9" s="565"/>
      <c r="AG9" s="565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</row>
    <row r="10" spans="1:48">
      <c r="A10" s="561" t="s">
        <v>22</v>
      </c>
      <c r="B10" s="458" t="s">
        <v>12</v>
      </c>
      <c r="C10" s="458" t="s">
        <v>23</v>
      </c>
      <c r="D10" s="458" t="s">
        <v>24</v>
      </c>
      <c r="E10" s="565"/>
      <c r="F10" s="540"/>
      <c r="G10" s="540"/>
      <c r="H10" s="540"/>
      <c r="I10" s="540"/>
      <c r="J10" s="564">
        <v>0</v>
      </c>
      <c r="K10" s="564">
        <v>0</v>
      </c>
      <c r="L10" s="564">
        <v>0</v>
      </c>
      <c r="M10" s="564">
        <v>0</v>
      </c>
      <c r="N10" s="564">
        <v>0</v>
      </c>
      <c r="O10" s="524">
        <v>0</v>
      </c>
      <c r="P10" s="524">
        <v>0</v>
      </c>
      <c r="Q10" s="524">
        <v>0</v>
      </c>
      <c r="R10" s="565">
        <v>450000</v>
      </c>
      <c r="S10" s="565">
        <v>1000000</v>
      </c>
      <c r="T10" s="565">
        <v>1214000</v>
      </c>
      <c r="U10" s="565">
        <f>+T10</f>
        <v>1214000</v>
      </c>
      <c r="V10" s="565"/>
      <c r="W10" s="448"/>
      <c r="X10" s="570"/>
      <c r="Y10" s="446"/>
      <c r="Z10" s="446"/>
      <c r="AA10" s="565"/>
      <c r="AB10" s="565"/>
      <c r="AC10" s="565"/>
      <c r="AD10" s="505"/>
      <c r="AE10" s="505"/>
      <c r="AF10" s="505"/>
      <c r="AG10" s="565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</row>
    <row r="11" spans="1:48">
      <c r="A11" s="561" t="s">
        <v>25</v>
      </c>
      <c r="B11" s="458" t="s">
        <v>12</v>
      </c>
      <c r="C11" s="458" t="s">
        <v>21</v>
      </c>
      <c r="D11" s="458" t="s">
        <v>24</v>
      </c>
      <c r="E11" s="565"/>
      <c r="F11" s="446"/>
      <c r="G11" s="446"/>
      <c r="H11" s="446"/>
      <c r="I11" s="446"/>
      <c r="J11" s="564"/>
      <c r="K11" s="564"/>
      <c r="L11" s="564"/>
      <c r="M11" s="564"/>
      <c r="N11" s="564"/>
      <c r="O11" s="524"/>
      <c r="P11" s="524"/>
      <c r="Q11" s="524"/>
      <c r="R11" s="565"/>
      <c r="S11" s="565"/>
      <c r="T11" s="565">
        <v>696000</v>
      </c>
      <c r="U11" s="565">
        <f>+T11</f>
        <v>696000</v>
      </c>
      <c r="V11" s="565"/>
      <c r="W11" s="448"/>
      <c r="X11" s="570"/>
      <c r="Y11" s="446"/>
      <c r="Z11" s="446"/>
      <c r="AA11" s="565"/>
      <c r="AB11" s="565"/>
      <c r="AC11" s="565"/>
      <c r="AD11" s="505"/>
      <c r="AE11" s="505"/>
      <c r="AF11" s="505"/>
      <c r="AG11" s="565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</row>
    <row r="12" spans="1:48">
      <c r="A12" s="561" t="s">
        <v>26</v>
      </c>
      <c r="B12" s="458" t="s">
        <v>12</v>
      </c>
      <c r="C12" s="458" t="s">
        <v>23</v>
      </c>
      <c r="D12" s="458" t="s">
        <v>27</v>
      </c>
      <c r="E12" s="565"/>
      <c r="F12" s="624"/>
      <c r="G12" s="624"/>
      <c r="H12" s="624"/>
      <c r="I12" s="624"/>
      <c r="J12" s="564">
        <v>0</v>
      </c>
      <c r="K12" s="564">
        <v>0</v>
      </c>
      <c r="L12" s="564">
        <v>0</v>
      </c>
      <c r="M12" s="564">
        <v>0</v>
      </c>
      <c r="N12" s="564">
        <v>0</v>
      </c>
      <c r="O12" s="564">
        <v>0</v>
      </c>
      <c r="P12" s="564">
        <v>0</v>
      </c>
      <c r="Q12" s="564">
        <v>0</v>
      </c>
      <c r="R12" s="565">
        <v>0</v>
      </c>
      <c r="S12" s="565">
        <v>0</v>
      </c>
      <c r="T12" s="565">
        <v>0</v>
      </c>
      <c r="U12" s="565">
        <v>0</v>
      </c>
      <c r="V12" s="565"/>
      <c r="W12" s="448"/>
      <c r="X12" s="571"/>
      <c r="Y12" s="446"/>
      <c r="Z12" s="446"/>
      <c r="AA12" s="565"/>
      <c r="AB12" s="565"/>
      <c r="AC12" s="565"/>
      <c r="AD12" s="565"/>
      <c r="AE12" s="565"/>
      <c r="AF12" s="565"/>
      <c r="AG12" s="565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</row>
    <row r="13" spans="1:48">
      <c r="A13" s="561" t="s">
        <v>28</v>
      </c>
      <c r="B13" s="458" t="s">
        <v>12</v>
      </c>
      <c r="C13" s="458" t="s">
        <v>23</v>
      </c>
      <c r="D13" s="458" t="s">
        <v>29</v>
      </c>
      <c r="E13" s="565"/>
      <c r="F13" s="624"/>
      <c r="G13" s="624"/>
      <c r="H13" s="624"/>
      <c r="I13" s="624"/>
      <c r="J13" s="564">
        <v>0</v>
      </c>
      <c r="K13" s="564">
        <v>0</v>
      </c>
      <c r="L13" s="564">
        <v>0</v>
      </c>
      <c r="M13" s="564">
        <v>0</v>
      </c>
      <c r="N13" s="564">
        <v>0</v>
      </c>
      <c r="O13" s="564"/>
      <c r="P13" s="564"/>
      <c r="Q13" s="564"/>
      <c r="R13" s="565"/>
      <c r="S13" s="565"/>
      <c r="T13" s="565">
        <f>R6</f>
        <v>767840.28</v>
      </c>
      <c r="U13" s="565">
        <f>S6</f>
        <v>790875.48840000003</v>
      </c>
      <c r="V13" s="565"/>
      <c r="W13" s="448"/>
      <c r="X13" s="571"/>
      <c r="Y13" s="497"/>
      <c r="Z13" s="497"/>
      <c r="AA13" s="497"/>
      <c r="AB13" s="497"/>
      <c r="AC13" s="497"/>
      <c r="AD13" s="497"/>
      <c r="AE13" s="497"/>
      <c r="AF13" s="497"/>
      <c r="AG13" s="497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</row>
    <row r="14" spans="1:48">
      <c r="A14" s="561" t="s">
        <v>30</v>
      </c>
      <c r="B14" s="458" t="s">
        <v>12</v>
      </c>
      <c r="C14" s="458" t="s">
        <v>23</v>
      </c>
      <c r="D14" s="458" t="s">
        <v>31</v>
      </c>
      <c r="E14" s="565"/>
      <c r="F14" s="446"/>
      <c r="G14" s="446"/>
      <c r="H14" s="446"/>
      <c r="I14" s="446"/>
      <c r="J14" s="564"/>
      <c r="K14" s="564"/>
      <c r="L14" s="564"/>
      <c r="M14" s="564"/>
      <c r="N14" s="564"/>
      <c r="O14" s="564"/>
      <c r="P14" s="564"/>
      <c r="Q14" s="564">
        <v>0</v>
      </c>
      <c r="R14" s="565">
        <v>1000000</v>
      </c>
      <c r="S14" s="565">
        <v>1000000</v>
      </c>
      <c r="T14" s="565">
        <v>1000000</v>
      </c>
      <c r="U14" s="565">
        <v>1000000</v>
      </c>
      <c r="V14" s="565"/>
      <c r="W14" s="448"/>
      <c r="X14" s="571"/>
      <c r="Y14" s="497"/>
      <c r="Z14" s="497"/>
      <c r="AA14" s="497"/>
      <c r="AB14" s="497"/>
      <c r="AC14" s="497"/>
      <c r="AD14" s="497"/>
      <c r="AE14" s="497"/>
      <c r="AF14" s="497"/>
      <c r="AG14" s="497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</row>
    <row r="15" spans="1:48" s="417" customFormat="1">
      <c r="A15" s="561" t="s">
        <v>32</v>
      </c>
      <c r="B15" s="447"/>
      <c r="C15" s="448"/>
      <c r="D15" s="448"/>
      <c r="E15" s="565"/>
      <c r="F15" s="446"/>
      <c r="G15" s="446"/>
      <c r="H15" s="446"/>
      <c r="I15" s="446"/>
      <c r="J15" s="565"/>
      <c r="K15" s="565"/>
      <c r="L15" s="565"/>
      <c r="M15" s="565"/>
      <c r="N15" s="565"/>
      <c r="O15" s="565"/>
      <c r="P15" s="565"/>
      <c r="Q15" s="565"/>
      <c r="R15" s="565"/>
      <c r="S15" s="565"/>
      <c r="T15" s="565"/>
      <c r="U15" s="565"/>
      <c r="V15" s="565"/>
      <c r="W15" s="448"/>
      <c r="X15" s="571"/>
      <c r="Y15" s="497"/>
      <c r="Z15" s="497"/>
      <c r="AA15" s="497"/>
      <c r="AB15" s="497"/>
      <c r="AC15" s="497"/>
      <c r="AD15" s="497"/>
      <c r="AE15" s="497"/>
      <c r="AF15" s="497"/>
      <c r="AG15" s="497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</row>
    <row r="16" spans="1:48" s="417" customFormat="1">
      <c r="A16" s="561" t="s">
        <v>32</v>
      </c>
      <c r="B16" s="447"/>
      <c r="C16" s="448"/>
      <c r="D16" s="448"/>
      <c r="E16" s="565"/>
      <c r="F16" s="446"/>
      <c r="G16" s="446"/>
      <c r="H16" s="446"/>
      <c r="I16" s="446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  <c r="U16" s="565"/>
      <c r="V16" s="565"/>
      <c r="W16" s="448"/>
      <c r="X16" s="571"/>
      <c r="Y16" s="497"/>
      <c r="Z16" s="497"/>
      <c r="AA16" s="497"/>
      <c r="AB16" s="497"/>
      <c r="AC16" s="497"/>
      <c r="AD16" s="497"/>
      <c r="AE16" s="497"/>
      <c r="AF16" s="497"/>
      <c r="AG16" s="497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</row>
    <row r="17" spans="1:48" s="417" customFormat="1">
      <c r="A17" s="561" t="s">
        <v>32</v>
      </c>
      <c r="B17" s="447"/>
      <c r="C17" s="448"/>
      <c r="D17" s="448"/>
      <c r="E17" s="565"/>
      <c r="F17" s="614"/>
      <c r="G17" s="614"/>
      <c r="H17" s="614"/>
      <c r="I17" s="614"/>
      <c r="J17" s="565"/>
      <c r="K17" s="565"/>
      <c r="L17" s="565"/>
      <c r="M17" s="565"/>
      <c r="N17" s="565"/>
      <c r="O17" s="565"/>
      <c r="P17" s="565"/>
      <c r="Q17" s="565"/>
      <c r="R17" s="565"/>
      <c r="S17" s="565"/>
      <c r="T17" s="565"/>
      <c r="U17" s="565"/>
      <c r="V17" s="565"/>
      <c r="W17" s="448"/>
      <c r="X17" s="571"/>
      <c r="Y17" s="497"/>
      <c r="Z17" s="497"/>
      <c r="AA17" s="497"/>
      <c r="AB17" s="497"/>
      <c r="AC17" s="497"/>
      <c r="AD17" s="497"/>
      <c r="AE17" s="497"/>
      <c r="AF17" s="497"/>
      <c r="AG17" s="497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</row>
    <row r="18" spans="1:48" s="417" customFormat="1">
      <c r="A18" s="561" t="s">
        <v>32</v>
      </c>
      <c r="B18" s="447"/>
      <c r="C18" s="448"/>
      <c r="D18" s="448"/>
      <c r="E18" s="565"/>
      <c r="F18" s="614"/>
      <c r="G18" s="614"/>
      <c r="H18" s="614"/>
      <c r="I18" s="614"/>
      <c r="J18" s="565"/>
      <c r="K18" s="565"/>
      <c r="L18" s="565"/>
      <c r="M18" s="565"/>
      <c r="N18" s="565"/>
      <c r="O18" s="565"/>
      <c r="P18" s="565"/>
      <c r="Q18" s="565"/>
      <c r="R18" s="565"/>
      <c r="S18" s="565"/>
      <c r="T18" s="565"/>
      <c r="U18" s="565"/>
      <c r="V18" s="565"/>
      <c r="W18" s="448"/>
      <c r="X18" s="571"/>
      <c r="Y18" s="497"/>
      <c r="Z18" s="497"/>
      <c r="AA18" s="497"/>
      <c r="AB18" s="497"/>
      <c r="AC18" s="497"/>
      <c r="AD18" s="497"/>
      <c r="AE18" s="497"/>
      <c r="AF18" s="497"/>
      <c r="AG18" s="497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</row>
    <row r="19" spans="1:48" s="417" customFormat="1">
      <c r="A19" s="561" t="s">
        <v>32</v>
      </c>
      <c r="B19" s="447"/>
      <c r="C19" s="448"/>
      <c r="D19" s="448"/>
      <c r="E19" s="565"/>
      <c r="F19" s="540"/>
      <c r="G19" s="540"/>
      <c r="H19" s="540"/>
      <c r="I19" s="540"/>
      <c r="J19" s="565"/>
      <c r="K19" s="565"/>
      <c r="L19" s="565"/>
      <c r="M19" s="565"/>
      <c r="N19" s="565"/>
      <c r="O19" s="565"/>
      <c r="P19" s="565"/>
      <c r="Q19" s="565"/>
      <c r="R19" s="565"/>
      <c r="S19" s="565"/>
      <c r="T19" s="565"/>
      <c r="U19" s="565"/>
      <c r="V19" s="565"/>
      <c r="W19" s="448"/>
      <c r="X19" s="571"/>
      <c r="Y19" s="497"/>
      <c r="Z19" s="497"/>
      <c r="AA19" s="497"/>
      <c r="AB19" s="497"/>
      <c r="AC19" s="497"/>
      <c r="AD19" s="497"/>
      <c r="AE19" s="497"/>
      <c r="AF19" s="497"/>
      <c r="AG19" s="497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</row>
    <row r="20" spans="1:48" s="417" customFormat="1">
      <c r="A20" s="561" t="s">
        <v>32</v>
      </c>
      <c r="B20" s="447"/>
      <c r="C20" s="448"/>
      <c r="D20" s="448"/>
      <c r="E20" s="565"/>
      <c r="F20" s="446"/>
      <c r="G20" s="446"/>
      <c r="H20" s="446"/>
      <c r="I20" s="446"/>
      <c r="J20" s="565"/>
      <c r="K20" s="565"/>
      <c r="L20" s="565"/>
      <c r="M20" s="565"/>
      <c r="N20" s="565"/>
      <c r="O20" s="565"/>
      <c r="P20" s="565"/>
      <c r="Q20" s="565"/>
      <c r="R20" s="565"/>
      <c r="S20" s="565"/>
      <c r="T20" s="565"/>
      <c r="U20" s="565"/>
      <c r="V20" s="565"/>
      <c r="W20" s="448"/>
      <c r="X20" s="571"/>
      <c r="Y20" s="497"/>
      <c r="Z20" s="497"/>
      <c r="AA20" s="497"/>
      <c r="AB20" s="497"/>
      <c r="AC20" s="497"/>
      <c r="AD20" s="497"/>
      <c r="AE20" s="497"/>
      <c r="AF20" s="497"/>
      <c r="AG20" s="497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</row>
    <row r="21" spans="1:48" s="417" customFormat="1">
      <c r="A21" s="561" t="s">
        <v>32</v>
      </c>
      <c r="B21" s="447"/>
      <c r="C21" s="448"/>
      <c r="D21" s="448"/>
      <c r="E21" s="565"/>
      <c r="F21" s="491"/>
      <c r="G21" s="491"/>
      <c r="H21" s="491"/>
      <c r="I21" s="491"/>
      <c r="J21" s="565"/>
      <c r="K21" s="565"/>
      <c r="L21" s="565"/>
      <c r="M21" s="565"/>
      <c r="N21" s="565"/>
      <c r="O21" s="565"/>
      <c r="P21" s="565"/>
      <c r="Q21" s="565"/>
      <c r="R21" s="565"/>
      <c r="S21" s="565"/>
      <c r="T21" s="565"/>
      <c r="U21" s="565"/>
      <c r="V21" s="565"/>
      <c r="W21" s="448"/>
      <c r="X21" s="571"/>
      <c r="Y21" s="497"/>
      <c r="Z21" s="497"/>
      <c r="AA21" s="497"/>
      <c r="AB21" s="497"/>
      <c r="AC21" s="497"/>
      <c r="AD21" s="497"/>
      <c r="AE21" s="497"/>
      <c r="AF21" s="497"/>
      <c r="AG21" s="497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</row>
    <row r="22" spans="1:48" s="417" customFormat="1">
      <c r="A22" s="561" t="s">
        <v>32</v>
      </c>
      <c r="B22" s="447"/>
      <c r="C22" s="448"/>
      <c r="D22" s="448"/>
      <c r="E22" s="565"/>
      <c r="F22" s="540"/>
      <c r="G22" s="540"/>
      <c r="H22" s="540"/>
      <c r="I22" s="540"/>
      <c r="J22" s="565"/>
      <c r="K22" s="565"/>
      <c r="L22" s="565"/>
      <c r="M22" s="565"/>
      <c r="N22" s="565"/>
      <c r="O22" s="565"/>
      <c r="P22" s="565"/>
      <c r="Q22" s="565"/>
      <c r="R22" s="565"/>
      <c r="S22" s="565"/>
      <c r="T22" s="565"/>
      <c r="U22" s="565"/>
      <c r="V22" s="565"/>
      <c r="W22" s="448"/>
      <c r="X22" s="571"/>
      <c r="Y22" s="497"/>
      <c r="Z22" s="497"/>
      <c r="AA22" s="497"/>
      <c r="AB22" s="497"/>
      <c r="AC22" s="497"/>
      <c r="AD22" s="497"/>
      <c r="AE22" s="497"/>
      <c r="AF22" s="497"/>
      <c r="AG22" s="497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</row>
    <row r="23" spans="1:48" s="417" customFormat="1">
      <c r="A23" s="561" t="s">
        <v>32</v>
      </c>
      <c r="B23" s="447"/>
      <c r="C23" s="448"/>
      <c r="D23" s="448"/>
      <c r="E23" s="565"/>
      <c r="F23" s="540"/>
      <c r="G23" s="540"/>
      <c r="H23" s="540"/>
      <c r="I23" s="540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5"/>
      <c r="W23" s="448"/>
      <c r="X23" s="571"/>
      <c r="Y23" s="497"/>
      <c r="Z23" s="497"/>
      <c r="AA23" s="497"/>
      <c r="AB23" s="497"/>
      <c r="AC23" s="497"/>
      <c r="AD23" s="497"/>
      <c r="AE23" s="497"/>
      <c r="AF23" s="497"/>
      <c r="AG23" s="497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</row>
    <row r="24" spans="1:48" ht="15" customHeight="1">
      <c r="A24" s="561" t="s">
        <v>33</v>
      </c>
      <c r="B24" s="458" t="s">
        <v>12</v>
      </c>
      <c r="C24" s="458" t="s">
        <v>23</v>
      </c>
      <c r="D24" s="458" t="s">
        <v>34</v>
      </c>
      <c r="E24" s="565"/>
      <c r="F24" s="540"/>
      <c r="G24" s="540"/>
      <c r="H24" s="540"/>
      <c r="I24" s="540"/>
      <c r="J24" s="564"/>
      <c r="K24" s="564"/>
      <c r="L24" s="564"/>
      <c r="M24" s="564"/>
      <c r="N24" s="564"/>
      <c r="O24" s="564"/>
      <c r="P24" s="564"/>
      <c r="Q24" s="564"/>
      <c r="R24" s="565"/>
      <c r="S24" s="565"/>
      <c r="T24" s="565"/>
      <c r="U24" s="565"/>
      <c r="V24" s="565"/>
      <c r="W24" s="545"/>
      <c r="X24" s="545"/>
      <c r="Y24" s="446"/>
      <c r="Z24" s="446"/>
      <c r="AA24" s="446"/>
      <c r="AB24" s="497"/>
      <c r="AC24" s="497"/>
      <c r="AD24" s="497"/>
      <c r="AE24" s="497"/>
      <c r="AF24" s="497"/>
      <c r="AG24" s="497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</row>
    <row r="25" spans="1:48">
      <c r="A25" s="572" t="s">
        <v>35</v>
      </c>
      <c r="B25" s="458" t="s">
        <v>36</v>
      </c>
      <c r="C25" s="458" t="s">
        <v>37</v>
      </c>
      <c r="D25" s="446"/>
      <c r="E25" s="565"/>
      <c r="F25" s="540"/>
      <c r="G25" s="540"/>
      <c r="H25" s="540"/>
      <c r="I25" s="540"/>
      <c r="J25" s="573">
        <f t="shared" ref="J25:U25" si="1">SUM(J6:J24)</f>
        <v>582024.75</v>
      </c>
      <c r="K25" s="573">
        <f t="shared" si="1"/>
        <v>582024.75</v>
      </c>
      <c r="L25" s="573">
        <f t="shared" si="1"/>
        <v>582024.75</v>
      </c>
      <c r="M25" s="573">
        <f t="shared" si="1"/>
        <v>582024.75</v>
      </c>
      <c r="N25" s="573">
        <f t="shared" si="1"/>
        <v>649327.59250000003</v>
      </c>
      <c r="O25" s="573">
        <f t="shared" si="1"/>
        <v>649327.59250000003</v>
      </c>
      <c r="P25" s="573">
        <f t="shared" si="1"/>
        <v>649327.59250000003</v>
      </c>
      <c r="Q25" s="573">
        <f t="shared" si="1"/>
        <v>649327.59250000003</v>
      </c>
      <c r="R25" s="565">
        <f t="shared" si="1"/>
        <v>4125229.6811000002</v>
      </c>
      <c r="S25" s="565">
        <f t="shared" si="1"/>
        <v>4755486.5715330001</v>
      </c>
      <c r="T25" s="565">
        <f t="shared" si="1"/>
        <v>6515991.4486789899</v>
      </c>
      <c r="U25" s="565">
        <f t="shared" si="1"/>
        <v>6624171.1921393601</v>
      </c>
      <c r="V25" s="565"/>
      <c r="W25" s="574"/>
      <c r="X25" s="545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</row>
    <row r="26" spans="1:48" ht="15" customHeight="1">
      <c r="A26" s="446"/>
      <c r="B26" s="446"/>
      <c r="C26" s="446"/>
      <c r="D26" s="446"/>
      <c r="E26" s="565"/>
      <c r="F26" s="540"/>
      <c r="G26" s="540"/>
      <c r="H26" s="540"/>
      <c r="I26" s="540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74"/>
      <c r="X26" s="545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</row>
    <row r="27" spans="1:48">
      <c r="A27" s="561" t="s">
        <v>38</v>
      </c>
      <c r="B27" s="458" t="s">
        <v>12</v>
      </c>
      <c r="C27" s="458" t="s">
        <v>39</v>
      </c>
      <c r="D27" s="446"/>
      <c r="E27" s="565"/>
      <c r="F27" s="540"/>
      <c r="G27" s="540"/>
      <c r="H27" s="540"/>
      <c r="I27" s="540"/>
      <c r="J27" s="564">
        <f>-J9</f>
        <v>-70827.75</v>
      </c>
      <c r="K27" s="564">
        <f>-K9</f>
        <v>-70827.75</v>
      </c>
      <c r="L27" s="564">
        <f>-L9</f>
        <v>-70827.75</v>
      </c>
      <c r="M27" s="564">
        <f>-M9-111350</f>
        <v>-182177.75</v>
      </c>
      <c r="N27" s="564">
        <f>-N25</f>
        <v>-649327.59250000003</v>
      </c>
      <c r="O27" s="564">
        <f>-O7-O9</f>
        <v>-254275.84250000003</v>
      </c>
      <c r="P27" s="564">
        <f>-P7-P9</f>
        <v>-254275.84250000003</v>
      </c>
      <c r="Q27" s="564">
        <f>-Q7-Q9-Q14</f>
        <v>-254275.84250000003</v>
      </c>
      <c r="R27" s="565">
        <f>-R7-R9-R14</f>
        <v>-2047616.4711</v>
      </c>
      <c r="S27" s="565">
        <f>-S7-S9</f>
        <v>-1079044.965233</v>
      </c>
      <c r="T27" s="565">
        <f>-T7-T9</f>
        <v>-1111416.3141899901</v>
      </c>
      <c r="U27" s="565"/>
      <c r="V27" s="566" t="s">
        <v>15</v>
      </c>
      <c r="W27" s="545"/>
      <c r="X27" s="545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</row>
    <row r="28" spans="1:48" ht="15" customHeight="1">
      <c r="A28" s="561" t="s">
        <v>40</v>
      </c>
      <c r="B28" s="458" t="s">
        <v>12</v>
      </c>
      <c r="C28" s="458" t="s">
        <v>41</v>
      </c>
      <c r="D28" s="446"/>
      <c r="E28" s="448"/>
      <c r="F28" s="540"/>
      <c r="G28" s="540"/>
      <c r="H28" s="540"/>
      <c r="I28" s="540"/>
      <c r="J28" s="575"/>
      <c r="K28" s="575"/>
      <c r="L28" s="575"/>
      <c r="M28" s="576"/>
      <c r="N28" s="576">
        <v>50000</v>
      </c>
      <c r="O28" s="576">
        <v>246869.75</v>
      </c>
      <c r="P28" s="576">
        <v>246869.75</v>
      </c>
      <c r="Q28" s="576">
        <v>1246869.75</v>
      </c>
      <c r="R28" s="497">
        <f>SUM(N7:Q7)+SUM(N9:Q9)</f>
        <v>1017103.3700000001</v>
      </c>
      <c r="S28" s="497">
        <f>+R7+R9</f>
        <v>1047616.4711</v>
      </c>
      <c r="T28" s="505">
        <f>+S7+S9+R14</f>
        <v>2079044.965233</v>
      </c>
      <c r="U28" s="505">
        <f>-T29</f>
        <v>110519.81418999005</v>
      </c>
      <c r="V28" s="446"/>
      <c r="W28" s="545"/>
      <c r="X28" s="545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</row>
    <row r="29" spans="1:48" s="5" customFormat="1">
      <c r="A29" s="561" t="s">
        <v>42</v>
      </c>
      <c r="B29" s="548" t="s">
        <v>36</v>
      </c>
      <c r="C29" s="546" t="s">
        <v>43</v>
      </c>
      <c r="D29" s="448"/>
      <c r="E29" s="565"/>
      <c r="F29" s="540"/>
      <c r="G29" s="540"/>
      <c r="H29" s="540"/>
      <c r="I29" s="540"/>
      <c r="J29" s="573">
        <f>+J27+E29+J28</f>
        <v>-70827.75</v>
      </c>
      <c r="K29" s="573">
        <f t="shared" ref="K29:U29" si="2">+K27+J29+K28</f>
        <v>-141655.5</v>
      </c>
      <c r="L29" s="573">
        <f t="shared" si="2"/>
        <v>-212483.25</v>
      </c>
      <c r="M29" s="573">
        <f t="shared" si="2"/>
        <v>-394661</v>
      </c>
      <c r="N29" s="573">
        <f t="shared" si="2"/>
        <v>-993988.59250000003</v>
      </c>
      <c r="O29" s="573">
        <f t="shared" si="2"/>
        <v>-1001394.6850000001</v>
      </c>
      <c r="P29" s="573">
        <f t="shared" si="2"/>
        <v>-1008800.7775000001</v>
      </c>
      <c r="Q29" s="573">
        <f t="shared" si="2"/>
        <v>-16206.870000000112</v>
      </c>
      <c r="R29" s="565">
        <f t="shared" si="2"/>
        <v>-1046719.9711</v>
      </c>
      <c r="S29" s="565">
        <f t="shared" si="2"/>
        <v>-1078148.4652329998</v>
      </c>
      <c r="T29" s="565">
        <f t="shared" si="2"/>
        <v>-110519.81418999005</v>
      </c>
      <c r="U29" s="565">
        <f t="shared" si="2"/>
        <v>0</v>
      </c>
      <c r="V29" s="446"/>
      <c r="W29" s="545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</row>
    <row r="30" spans="1:48">
      <c r="A30" s="446"/>
      <c r="B30" s="446"/>
      <c r="C30" s="446"/>
      <c r="D30" s="446"/>
      <c r="E30" s="446"/>
      <c r="F30" s="540"/>
      <c r="G30" s="540"/>
      <c r="H30" s="540"/>
      <c r="I30" s="540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</row>
    <row r="31" spans="1:48">
      <c r="A31" s="561" t="s">
        <v>44</v>
      </c>
      <c r="B31" s="458" t="s">
        <v>36</v>
      </c>
      <c r="C31" s="458" t="s">
        <v>45</v>
      </c>
      <c r="D31" s="446"/>
      <c r="E31" s="577"/>
      <c r="F31" s="540"/>
      <c r="G31" s="540"/>
      <c r="H31" s="540"/>
      <c r="I31" s="540"/>
      <c r="J31" s="578">
        <f t="shared" ref="J31:U31" si="3">+J25+J27</f>
        <v>511197</v>
      </c>
      <c r="K31" s="578">
        <f t="shared" si="3"/>
        <v>511197</v>
      </c>
      <c r="L31" s="578">
        <f t="shared" si="3"/>
        <v>511197</v>
      </c>
      <c r="M31" s="578">
        <f t="shared" si="3"/>
        <v>399847</v>
      </c>
      <c r="N31" s="578">
        <f t="shared" si="3"/>
        <v>0</v>
      </c>
      <c r="O31" s="578">
        <f t="shared" si="3"/>
        <v>395051.75</v>
      </c>
      <c r="P31" s="578">
        <f t="shared" si="3"/>
        <v>395051.75</v>
      </c>
      <c r="Q31" s="578">
        <f t="shared" si="3"/>
        <v>395051.75</v>
      </c>
      <c r="R31" s="505">
        <f t="shared" si="3"/>
        <v>2077613.2100000002</v>
      </c>
      <c r="S31" s="505">
        <f t="shared" si="3"/>
        <v>3676441.6063000001</v>
      </c>
      <c r="T31" s="505">
        <f t="shared" si="3"/>
        <v>5404575.1344889998</v>
      </c>
      <c r="U31" s="505">
        <f t="shared" si="3"/>
        <v>6624171.1921393601</v>
      </c>
      <c r="V31" s="446"/>
      <c r="W31" s="545"/>
      <c r="X31" s="545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</row>
    <row r="32" spans="1:48">
      <c r="A32" s="561" t="s">
        <v>46</v>
      </c>
      <c r="B32" s="458" t="s">
        <v>36</v>
      </c>
      <c r="C32" s="458" t="s">
        <v>47</v>
      </c>
      <c r="D32" s="446"/>
      <c r="E32" s="577"/>
      <c r="F32" s="540"/>
      <c r="G32" s="540"/>
      <c r="H32" s="540"/>
      <c r="I32" s="540"/>
      <c r="J32" s="578">
        <f t="shared" ref="J32:U32" si="4">+J28+J31</f>
        <v>511197</v>
      </c>
      <c r="K32" s="578">
        <f t="shared" si="4"/>
        <v>511197</v>
      </c>
      <c r="L32" s="578">
        <f t="shared" si="4"/>
        <v>511197</v>
      </c>
      <c r="M32" s="578">
        <f t="shared" si="4"/>
        <v>399847</v>
      </c>
      <c r="N32" s="578">
        <f t="shared" si="4"/>
        <v>50000</v>
      </c>
      <c r="O32" s="578">
        <f t="shared" si="4"/>
        <v>641921.5</v>
      </c>
      <c r="P32" s="578">
        <f t="shared" si="4"/>
        <v>641921.5</v>
      </c>
      <c r="Q32" s="578">
        <f t="shared" si="4"/>
        <v>1641921.5</v>
      </c>
      <c r="R32" s="505">
        <f t="shared" si="4"/>
        <v>3094716.58</v>
      </c>
      <c r="S32" s="505">
        <f t="shared" si="4"/>
        <v>4724058.0773999998</v>
      </c>
      <c r="T32" s="505">
        <f t="shared" si="4"/>
        <v>7483620.0997219998</v>
      </c>
      <c r="U32" s="505">
        <f t="shared" si="4"/>
        <v>6734691.0063293502</v>
      </c>
      <c r="V32" s="446"/>
      <c r="W32" s="545"/>
      <c r="X32" s="545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</row>
    <row r="33" spans="1:48">
      <c r="A33" s="446"/>
      <c r="B33" s="446"/>
      <c r="C33" s="446"/>
      <c r="D33" s="446"/>
      <c r="E33" s="565"/>
      <c r="F33" s="614"/>
      <c r="G33" s="614"/>
      <c r="H33" s="614"/>
      <c r="I33" s="614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79"/>
      <c r="X33" s="545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</row>
    <row r="34" spans="1:48" ht="15" customHeight="1">
      <c r="A34" s="561" t="s">
        <v>48</v>
      </c>
      <c r="B34" s="446"/>
      <c r="C34" s="458" t="s">
        <v>49</v>
      </c>
      <c r="D34" s="446"/>
      <c r="E34" s="565"/>
      <c r="F34" s="540"/>
      <c r="G34" s="540"/>
      <c r="H34" s="540"/>
      <c r="I34" s="540"/>
      <c r="J34" s="565"/>
      <c r="K34" s="565"/>
      <c r="L34" s="446"/>
      <c r="M34" s="446"/>
      <c r="N34" s="565"/>
      <c r="O34" s="580"/>
      <c r="P34" s="580"/>
      <c r="Q34" s="580"/>
      <c r="R34" s="580"/>
      <c r="S34" s="580"/>
      <c r="T34" s="580"/>
      <c r="U34" s="580"/>
      <c r="V34" s="565"/>
      <c r="W34" s="579"/>
      <c r="X34" s="545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</row>
    <row r="35" spans="1:48">
      <c r="A35" s="561" t="s">
        <v>50</v>
      </c>
      <c r="B35" s="458" t="s">
        <v>12</v>
      </c>
      <c r="C35" s="458" t="s">
        <v>51</v>
      </c>
      <c r="D35" s="458" t="s">
        <v>14</v>
      </c>
      <c r="E35" s="565"/>
      <c r="F35" s="446"/>
      <c r="G35" s="446"/>
      <c r="H35" s="446"/>
      <c r="I35" s="446"/>
      <c r="J35" s="564">
        <f>191000/4</f>
        <v>47750</v>
      </c>
      <c r="K35" s="564">
        <f>191000/4</f>
        <v>47750</v>
      </c>
      <c r="L35" s="564">
        <f>191000/4</f>
        <v>47750</v>
      </c>
      <c r="M35" s="564">
        <f>191000/4</f>
        <v>47750</v>
      </c>
      <c r="N35" s="564">
        <v>0</v>
      </c>
      <c r="O35" s="564">
        <v>0</v>
      </c>
      <c r="P35" s="564">
        <v>0</v>
      </c>
      <c r="Q35" s="564">
        <v>0</v>
      </c>
      <c r="R35" s="565">
        <v>0</v>
      </c>
      <c r="S35" s="565">
        <v>0</v>
      </c>
      <c r="T35" s="565">
        <v>0</v>
      </c>
      <c r="U35" s="565">
        <v>0</v>
      </c>
      <c r="V35" s="566" t="s">
        <v>15</v>
      </c>
      <c r="W35" s="579"/>
      <c r="X35" s="545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</row>
    <row r="36" spans="1:48">
      <c r="A36" s="561" t="s">
        <v>52</v>
      </c>
      <c r="B36" s="458" t="s">
        <v>12</v>
      </c>
      <c r="C36" s="458" t="s">
        <v>51</v>
      </c>
      <c r="D36" s="458" t="s">
        <v>19</v>
      </c>
      <c r="E36" s="565"/>
      <c r="F36" s="544"/>
      <c r="G36" s="544"/>
      <c r="H36" s="544"/>
      <c r="I36" s="544"/>
      <c r="J36" s="564">
        <f>169000/4</f>
        <v>42250</v>
      </c>
      <c r="K36" s="564">
        <f>169000/4</f>
        <v>42250</v>
      </c>
      <c r="L36" s="564">
        <f>169000/4</f>
        <v>42250</v>
      </c>
      <c r="M36" s="564">
        <f>169000/4</f>
        <v>42250</v>
      </c>
      <c r="N36" s="564">
        <v>0</v>
      </c>
      <c r="O36" s="564">
        <v>0</v>
      </c>
      <c r="P36" s="564">
        <v>0</v>
      </c>
      <c r="Q36" s="564">
        <v>0</v>
      </c>
      <c r="R36" s="565">
        <v>0</v>
      </c>
      <c r="S36" s="565">
        <v>0</v>
      </c>
      <c r="T36" s="565">
        <v>0</v>
      </c>
      <c r="U36" s="565">
        <v>0</v>
      </c>
      <c r="V36" s="565"/>
      <c r="W36" s="545"/>
      <c r="X36" s="545"/>
      <c r="Y36" s="446"/>
      <c r="Z36" s="446"/>
      <c r="AA36" s="446"/>
      <c r="AB36" s="446"/>
      <c r="AC36" s="446"/>
      <c r="AD36" s="446"/>
      <c r="AE36" s="446"/>
      <c r="AF36" s="446"/>
      <c r="AG36" s="446"/>
      <c r="AH36" s="581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</row>
    <row r="37" spans="1:48">
      <c r="A37" s="561" t="s">
        <v>53</v>
      </c>
      <c r="B37" s="458" t="s">
        <v>12</v>
      </c>
      <c r="C37" s="458" t="s">
        <v>51</v>
      </c>
      <c r="D37" s="458" t="s">
        <v>24</v>
      </c>
      <c r="E37" s="565"/>
      <c r="F37" s="544"/>
      <c r="G37" s="544"/>
      <c r="H37" s="544"/>
      <c r="I37" s="544"/>
      <c r="J37" s="564">
        <v>0</v>
      </c>
      <c r="K37" s="564">
        <v>0</v>
      </c>
      <c r="L37" s="564">
        <v>0</v>
      </c>
      <c r="M37" s="564">
        <v>0</v>
      </c>
      <c r="N37" s="564">
        <v>0</v>
      </c>
      <c r="O37" s="564">
        <v>0</v>
      </c>
      <c r="P37" s="564">
        <v>0</v>
      </c>
      <c r="Q37" s="564">
        <v>0</v>
      </c>
      <c r="R37" s="565">
        <v>0</v>
      </c>
      <c r="S37" s="565">
        <v>0</v>
      </c>
      <c r="T37" s="565">
        <v>0</v>
      </c>
      <c r="U37" s="565">
        <v>0</v>
      </c>
      <c r="V37" s="565"/>
      <c r="W37" s="579"/>
      <c r="X37" s="545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</row>
    <row r="38" spans="1:48">
      <c r="A38" s="561" t="s">
        <v>28</v>
      </c>
      <c r="B38" s="458" t="s">
        <v>12</v>
      </c>
      <c r="C38" s="458" t="s">
        <v>51</v>
      </c>
      <c r="D38" s="458" t="s">
        <v>29</v>
      </c>
      <c r="E38" s="565"/>
      <c r="F38" s="544"/>
      <c r="G38" s="544"/>
      <c r="H38" s="544"/>
      <c r="I38" s="544"/>
      <c r="J38" s="564">
        <v>0</v>
      </c>
      <c r="K38" s="564">
        <v>0</v>
      </c>
      <c r="L38" s="564">
        <v>0</v>
      </c>
      <c r="M38" s="564">
        <v>0</v>
      </c>
      <c r="N38" s="564">
        <v>0</v>
      </c>
      <c r="O38" s="564">
        <v>0</v>
      </c>
      <c r="P38" s="564">
        <v>0</v>
      </c>
      <c r="Q38" s="564">
        <v>0</v>
      </c>
      <c r="R38" s="565">
        <v>0</v>
      </c>
      <c r="S38" s="565">
        <v>0</v>
      </c>
      <c r="T38" s="565">
        <v>0</v>
      </c>
      <c r="U38" s="565">
        <v>0</v>
      </c>
      <c r="V38" s="565"/>
      <c r="W38" s="579"/>
      <c r="X38" s="545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</row>
    <row r="39" spans="1:48" s="417" customFormat="1">
      <c r="A39" s="561" t="s">
        <v>32</v>
      </c>
      <c r="B39" s="447"/>
      <c r="C39" s="448"/>
      <c r="D39" s="448"/>
      <c r="E39" s="565"/>
      <c r="F39" s="544"/>
      <c r="G39" s="544"/>
      <c r="H39" s="544"/>
      <c r="I39" s="544"/>
      <c r="J39" s="565"/>
      <c r="K39" s="565"/>
      <c r="L39" s="565"/>
      <c r="M39" s="565"/>
      <c r="N39" s="565"/>
      <c r="O39" s="565"/>
      <c r="P39" s="565"/>
      <c r="Q39" s="565"/>
      <c r="R39" s="565"/>
      <c r="S39" s="565"/>
      <c r="T39" s="565"/>
      <c r="U39" s="565"/>
      <c r="V39" s="565"/>
      <c r="W39" s="579"/>
      <c r="X39" s="545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</row>
    <row r="40" spans="1:48" s="417" customFormat="1">
      <c r="A40" s="561" t="s">
        <v>32</v>
      </c>
      <c r="B40" s="447"/>
      <c r="C40" s="448"/>
      <c r="D40" s="448"/>
      <c r="E40" s="565"/>
      <c r="F40" s="544"/>
      <c r="G40" s="544"/>
      <c r="H40" s="544"/>
      <c r="I40" s="544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565"/>
      <c r="W40" s="579"/>
      <c r="X40" s="545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</row>
    <row r="41" spans="1:48" s="417" customFormat="1">
      <c r="A41" s="561" t="s">
        <v>32</v>
      </c>
      <c r="B41" s="447"/>
      <c r="C41" s="448"/>
      <c r="D41" s="448"/>
      <c r="E41" s="565"/>
      <c r="F41" s="540"/>
      <c r="G41" s="540"/>
      <c r="H41" s="540"/>
      <c r="I41" s="540"/>
      <c r="J41" s="565"/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U41" s="565"/>
      <c r="V41" s="565"/>
      <c r="W41" s="579"/>
      <c r="X41" s="545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</row>
    <row r="42" spans="1:48" s="417" customFormat="1">
      <c r="A42" s="561" t="s">
        <v>32</v>
      </c>
      <c r="B42" s="447"/>
      <c r="C42" s="448"/>
      <c r="D42" s="448"/>
      <c r="E42" s="565"/>
      <c r="F42" s="544"/>
      <c r="G42" s="544"/>
      <c r="H42" s="544"/>
      <c r="I42" s="544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5"/>
      <c r="V42" s="565"/>
      <c r="W42" s="579"/>
      <c r="X42" s="545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</row>
    <row r="43" spans="1:48" s="417" customFormat="1">
      <c r="A43" s="561" t="s">
        <v>32</v>
      </c>
      <c r="B43" s="447"/>
      <c r="C43" s="448"/>
      <c r="D43" s="448"/>
      <c r="E43" s="565"/>
      <c r="F43" s="544"/>
      <c r="G43" s="544"/>
      <c r="H43" s="544"/>
      <c r="I43" s="544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5"/>
      <c r="V43" s="565"/>
      <c r="W43" s="579"/>
      <c r="X43" s="545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</row>
    <row r="44" spans="1:48" s="417" customFormat="1">
      <c r="A44" s="561" t="s">
        <v>32</v>
      </c>
      <c r="B44" s="447"/>
      <c r="C44" s="448"/>
      <c r="D44" s="448"/>
      <c r="E44" s="565"/>
      <c r="F44" s="544"/>
      <c r="G44" s="544"/>
      <c r="H44" s="544"/>
      <c r="I44" s="544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U44" s="565"/>
      <c r="V44" s="565"/>
      <c r="W44" s="579"/>
      <c r="X44" s="545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</row>
    <row r="45" spans="1:48" ht="15" customHeight="1">
      <c r="A45" s="561" t="s">
        <v>54</v>
      </c>
      <c r="B45" s="458" t="s">
        <v>12</v>
      </c>
      <c r="C45" s="458" t="s">
        <v>51</v>
      </c>
      <c r="D45" s="458" t="s">
        <v>27</v>
      </c>
      <c r="E45" s="565"/>
      <c r="F45" s="544"/>
      <c r="G45" s="544"/>
      <c r="H45" s="544"/>
      <c r="I45" s="544"/>
      <c r="J45" s="564">
        <v>0</v>
      </c>
      <c r="K45" s="564">
        <v>0</v>
      </c>
      <c r="L45" s="564">
        <v>0</v>
      </c>
      <c r="M45" s="564">
        <v>0</v>
      </c>
      <c r="N45" s="564">
        <v>0</v>
      </c>
      <c r="O45" s="564">
        <v>0</v>
      </c>
      <c r="P45" s="564">
        <v>0</v>
      </c>
      <c r="Q45" s="564">
        <v>0</v>
      </c>
      <c r="R45" s="565">
        <v>0</v>
      </c>
      <c r="S45" s="565">
        <v>0</v>
      </c>
      <c r="T45" s="565">
        <v>0</v>
      </c>
      <c r="U45" s="565">
        <v>0</v>
      </c>
      <c r="V45" s="565"/>
      <c r="W45" s="545"/>
      <c r="X45" s="545"/>
      <c r="Y45" s="446"/>
      <c r="Z45" s="446"/>
      <c r="AA45" s="565"/>
      <c r="AB45" s="565"/>
      <c r="AC45" s="565"/>
      <c r="AD45" s="565"/>
      <c r="AE45" s="565"/>
      <c r="AF45" s="565"/>
      <c r="AG45" s="565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</row>
    <row r="46" spans="1:48">
      <c r="A46" s="572" t="s">
        <v>55</v>
      </c>
      <c r="B46" s="458" t="s">
        <v>36</v>
      </c>
      <c r="C46" s="458" t="s">
        <v>56</v>
      </c>
      <c r="D46" s="446"/>
      <c r="E46" s="565"/>
      <c r="F46" s="544"/>
      <c r="G46" s="544"/>
      <c r="H46" s="544"/>
      <c r="I46" s="544"/>
      <c r="J46" s="573">
        <f t="shared" ref="J46:U46" si="5">SUM(J35:J45)</f>
        <v>90000</v>
      </c>
      <c r="K46" s="573">
        <f t="shared" si="5"/>
        <v>90000</v>
      </c>
      <c r="L46" s="573">
        <f t="shared" si="5"/>
        <v>90000</v>
      </c>
      <c r="M46" s="573">
        <f t="shared" si="5"/>
        <v>90000</v>
      </c>
      <c r="N46" s="573">
        <f t="shared" si="5"/>
        <v>0</v>
      </c>
      <c r="O46" s="573">
        <f t="shared" si="5"/>
        <v>0</v>
      </c>
      <c r="P46" s="573">
        <f t="shared" si="5"/>
        <v>0</v>
      </c>
      <c r="Q46" s="573">
        <f t="shared" si="5"/>
        <v>0</v>
      </c>
      <c r="R46" s="565">
        <f t="shared" si="5"/>
        <v>0</v>
      </c>
      <c r="S46" s="565">
        <f t="shared" si="5"/>
        <v>0</v>
      </c>
      <c r="T46" s="565">
        <f t="shared" si="5"/>
        <v>0</v>
      </c>
      <c r="U46" s="565">
        <f t="shared" si="5"/>
        <v>0</v>
      </c>
      <c r="V46" s="565"/>
      <c r="W46" s="574"/>
      <c r="X46" s="545"/>
      <c r="Y46" s="446"/>
      <c r="Z46" s="446"/>
      <c r="AA46" s="565"/>
      <c r="AB46" s="565"/>
      <c r="AC46" s="565"/>
      <c r="AD46" s="565"/>
      <c r="AE46" s="565"/>
      <c r="AF46" s="565"/>
      <c r="AG46" s="565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</row>
    <row r="47" spans="1:48" ht="15" customHeight="1">
      <c r="A47" s="446"/>
      <c r="B47" s="446"/>
      <c r="C47" s="446"/>
      <c r="D47" s="446"/>
      <c r="E47" s="565"/>
      <c r="F47" s="544"/>
      <c r="G47" s="544"/>
      <c r="H47" s="544"/>
      <c r="I47" s="544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45"/>
      <c r="X47" s="545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</row>
    <row r="48" spans="1:48">
      <c r="A48" s="561" t="s">
        <v>38</v>
      </c>
      <c r="B48" s="458" t="s">
        <v>12</v>
      </c>
      <c r="C48" s="458" t="s">
        <v>57</v>
      </c>
      <c r="D48" s="446"/>
      <c r="E48" s="565"/>
      <c r="F48" s="544"/>
      <c r="G48" s="544"/>
      <c r="H48" s="544"/>
      <c r="I48" s="544"/>
      <c r="J48" s="564">
        <v>-42250</v>
      </c>
      <c r="K48" s="564">
        <v>-42250</v>
      </c>
      <c r="L48" s="564">
        <v>-42250</v>
      </c>
      <c r="M48" s="564">
        <v>-42250</v>
      </c>
      <c r="N48" s="564">
        <v>0</v>
      </c>
      <c r="O48" s="564">
        <f t="shared" ref="O48:U48" si="6">-SUM(O35:O45)</f>
        <v>0</v>
      </c>
      <c r="P48" s="564">
        <f t="shared" si="6"/>
        <v>0</v>
      </c>
      <c r="Q48" s="564">
        <f t="shared" si="6"/>
        <v>0</v>
      </c>
      <c r="R48" s="565">
        <f t="shared" si="6"/>
        <v>0</v>
      </c>
      <c r="S48" s="565">
        <f t="shared" si="6"/>
        <v>0</v>
      </c>
      <c r="T48" s="565">
        <f t="shared" si="6"/>
        <v>0</v>
      </c>
      <c r="U48" s="565">
        <f t="shared" si="6"/>
        <v>0</v>
      </c>
      <c r="V48" s="566" t="s">
        <v>15</v>
      </c>
      <c r="W48" s="545"/>
      <c r="X48" s="545"/>
      <c r="Y48" s="446"/>
      <c r="Z48" s="446"/>
      <c r="AA48" s="565"/>
      <c r="AB48" s="565"/>
      <c r="AC48" s="565"/>
      <c r="AD48" s="565"/>
      <c r="AE48" s="565"/>
      <c r="AF48" s="565"/>
      <c r="AG48" s="565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</row>
    <row r="49" spans="1:48" ht="15" customHeight="1">
      <c r="A49" s="561" t="s">
        <v>58</v>
      </c>
      <c r="B49" s="458" t="s">
        <v>12</v>
      </c>
      <c r="C49" s="458" t="s">
        <v>59</v>
      </c>
      <c r="D49" s="446"/>
      <c r="E49" s="448"/>
      <c r="F49" s="565"/>
      <c r="G49" s="565"/>
      <c r="H49" s="565"/>
      <c r="I49" s="565"/>
      <c r="J49" s="575"/>
      <c r="K49" s="575"/>
      <c r="L49" s="575"/>
      <c r="M49" s="576"/>
      <c r="N49" s="576"/>
      <c r="O49" s="576"/>
      <c r="P49" s="576"/>
      <c r="Q49" s="576">
        <v>169000</v>
      </c>
      <c r="R49" s="497">
        <v>0</v>
      </c>
      <c r="S49" s="497">
        <v>0</v>
      </c>
      <c r="T49" s="505">
        <v>0</v>
      </c>
      <c r="U49" s="505">
        <v>0</v>
      </c>
      <c r="V49" s="565"/>
      <c r="W49" s="545"/>
      <c r="X49" s="545"/>
      <c r="Y49" s="497"/>
      <c r="Z49" s="497"/>
      <c r="AA49" s="497"/>
      <c r="AB49" s="497"/>
      <c r="AC49" s="497"/>
      <c r="AD49" s="497"/>
      <c r="AE49" s="497"/>
      <c r="AF49" s="497"/>
      <c r="AG49" s="497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</row>
    <row r="50" spans="1:48">
      <c r="A50" s="561" t="s">
        <v>60</v>
      </c>
      <c r="B50" s="458" t="s">
        <v>36</v>
      </c>
      <c r="C50" s="458" t="s">
        <v>61</v>
      </c>
      <c r="D50" s="446"/>
      <c r="E50" s="565"/>
      <c r="F50" s="565"/>
      <c r="G50" s="565"/>
      <c r="H50" s="565"/>
      <c r="I50" s="565"/>
      <c r="J50" s="573">
        <f>+J48+E50+J49</f>
        <v>-42250</v>
      </c>
      <c r="K50" s="573">
        <f t="shared" ref="K50:U50" si="7">+K48+J50+K49</f>
        <v>-84500</v>
      </c>
      <c r="L50" s="573">
        <f t="shared" si="7"/>
        <v>-126750</v>
      </c>
      <c r="M50" s="573">
        <f t="shared" si="7"/>
        <v>-169000</v>
      </c>
      <c r="N50" s="573">
        <f t="shared" si="7"/>
        <v>-169000</v>
      </c>
      <c r="O50" s="573">
        <f t="shared" si="7"/>
        <v>-169000</v>
      </c>
      <c r="P50" s="573">
        <f t="shared" si="7"/>
        <v>-169000</v>
      </c>
      <c r="Q50" s="573">
        <f t="shared" si="7"/>
        <v>0</v>
      </c>
      <c r="R50" s="565">
        <f t="shared" si="7"/>
        <v>0</v>
      </c>
      <c r="S50" s="565">
        <f t="shared" si="7"/>
        <v>0</v>
      </c>
      <c r="T50" s="565">
        <f t="shared" si="7"/>
        <v>0</v>
      </c>
      <c r="U50" s="565">
        <f t="shared" si="7"/>
        <v>0</v>
      </c>
      <c r="V50" s="565"/>
      <c r="W50" s="545"/>
      <c r="X50" s="545"/>
      <c r="Y50" s="446"/>
      <c r="Z50" s="491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</row>
    <row r="51" spans="1:48">
      <c r="A51" s="551"/>
      <c r="B51" s="446"/>
      <c r="C51" s="446"/>
      <c r="D51" s="446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45"/>
      <c r="X51" s="545"/>
      <c r="Y51" s="446"/>
      <c r="Z51" s="491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</row>
    <row r="52" spans="1:48">
      <c r="A52" s="561" t="s">
        <v>62</v>
      </c>
      <c r="B52" s="458" t="s">
        <v>36</v>
      </c>
      <c r="C52" s="458" t="s">
        <v>63</v>
      </c>
      <c r="D52" s="446"/>
      <c r="E52" s="448"/>
      <c r="F52" s="565"/>
      <c r="G52" s="565"/>
      <c r="H52" s="565"/>
      <c r="I52" s="565"/>
      <c r="J52" s="582">
        <f t="shared" ref="J52:U52" si="8">+J46+J48</f>
        <v>47750</v>
      </c>
      <c r="K52" s="578">
        <f t="shared" si="8"/>
        <v>47750</v>
      </c>
      <c r="L52" s="578">
        <f t="shared" si="8"/>
        <v>47750</v>
      </c>
      <c r="M52" s="578">
        <f t="shared" si="8"/>
        <v>47750</v>
      </c>
      <c r="N52" s="578">
        <f t="shared" si="8"/>
        <v>0</v>
      </c>
      <c r="O52" s="578">
        <f t="shared" si="8"/>
        <v>0</v>
      </c>
      <c r="P52" s="578">
        <f t="shared" si="8"/>
        <v>0</v>
      </c>
      <c r="Q52" s="578">
        <f t="shared" si="8"/>
        <v>0</v>
      </c>
      <c r="R52" s="497">
        <f t="shared" si="8"/>
        <v>0</v>
      </c>
      <c r="S52" s="497">
        <f t="shared" si="8"/>
        <v>0</v>
      </c>
      <c r="T52" s="505">
        <f t="shared" si="8"/>
        <v>0</v>
      </c>
      <c r="U52" s="505">
        <f t="shared" si="8"/>
        <v>0</v>
      </c>
      <c r="V52" s="565"/>
      <c r="W52" s="545"/>
      <c r="X52" s="545"/>
      <c r="Y52" s="497"/>
      <c r="Z52" s="497"/>
      <c r="AA52" s="497"/>
      <c r="AB52" s="497"/>
      <c r="AC52" s="497"/>
      <c r="AD52" s="497"/>
      <c r="AE52" s="497"/>
      <c r="AF52" s="497"/>
      <c r="AG52" s="497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</row>
    <row r="53" spans="1:48">
      <c r="A53" s="561" t="s">
        <v>64</v>
      </c>
      <c r="B53" s="458" t="s">
        <v>36</v>
      </c>
      <c r="C53" s="458" t="s">
        <v>65</v>
      </c>
      <c r="D53" s="446"/>
      <c r="E53" s="577"/>
      <c r="F53" s="565"/>
      <c r="G53" s="565"/>
      <c r="H53" s="565"/>
      <c r="I53" s="565"/>
      <c r="J53" s="578">
        <f t="shared" ref="J53:U53" si="9">+J49+J52</f>
        <v>47750</v>
      </c>
      <c r="K53" s="578">
        <f t="shared" si="9"/>
        <v>47750</v>
      </c>
      <c r="L53" s="578">
        <f t="shared" si="9"/>
        <v>47750</v>
      </c>
      <c r="M53" s="578">
        <f t="shared" si="9"/>
        <v>47750</v>
      </c>
      <c r="N53" s="578">
        <f t="shared" si="9"/>
        <v>0</v>
      </c>
      <c r="O53" s="578">
        <f t="shared" si="9"/>
        <v>0</v>
      </c>
      <c r="P53" s="578">
        <f t="shared" si="9"/>
        <v>0</v>
      </c>
      <c r="Q53" s="578">
        <f t="shared" si="9"/>
        <v>169000</v>
      </c>
      <c r="R53" s="505">
        <f t="shared" si="9"/>
        <v>0</v>
      </c>
      <c r="S53" s="505">
        <f t="shared" si="9"/>
        <v>0</v>
      </c>
      <c r="T53" s="505">
        <f t="shared" si="9"/>
        <v>0</v>
      </c>
      <c r="U53" s="505">
        <f t="shared" si="9"/>
        <v>0</v>
      </c>
      <c r="V53" s="565"/>
      <c r="W53" s="545"/>
      <c r="X53" s="545"/>
      <c r="Y53" s="497"/>
      <c r="Z53" s="497"/>
      <c r="AA53" s="497"/>
      <c r="AB53" s="497"/>
      <c r="AC53" s="497"/>
      <c r="AD53" s="497"/>
      <c r="AE53" s="497"/>
      <c r="AF53" s="497"/>
      <c r="AG53" s="497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</row>
    <row r="54" spans="1:48">
      <c r="A54" s="446"/>
      <c r="B54" s="446"/>
      <c r="C54" s="446"/>
      <c r="D54" s="446"/>
      <c r="E54" s="565"/>
      <c r="F54" s="446"/>
      <c r="G54" s="446"/>
      <c r="H54" s="446"/>
      <c r="I54" s="446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446"/>
      <c r="W54" s="545"/>
      <c r="X54" s="545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</row>
    <row r="55" spans="1:48">
      <c r="A55" s="561" t="s">
        <v>66</v>
      </c>
      <c r="B55" s="446"/>
      <c r="C55" s="458" t="s">
        <v>67</v>
      </c>
      <c r="D55" s="446"/>
      <c r="E55" s="565"/>
      <c r="F55" s="446"/>
      <c r="G55" s="446"/>
      <c r="H55" s="446"/>
      <c r="I55" s="446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446"/>
      <c r="W55" s="545"/>
      <c r="X55" s="545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</row>
    <row r="56" spans="1:48">
      <c r="A56" s="561" t="s">
        <v>68</v>
      </c>
      <c r="B56" s="458" t="s">
        <v>36</v>
      </c>
      <c r="C56" s="458" t="s">
        <v>69</v>
      </c>
      <c r="D56" s="446"/>
      <c r="E56" s="583"/>
      <c r="F56" s="446"/>
      <c r="G56" s="446"/>
      <c r="H56" s="446"/>
      <c r="I56" s="446"/>
      <c r="J56" s="584">
        <f>1/(1-'c12_inputs'!$E$7)</f>
        <v>1.0526315789473684</v>
      </c>
      <c r="K56" s="584">
        <f>1/(1-'c12_inputs'!$E$7)</f>
        <v>1.0526315789473684</v>
      </c>
      <c r="L56" s="584">
        <f>1/(1-'c12_inputs'!$E$7)</f>
        <v>1.0526315789473684</v>
      </c>
      <c r="M56" s="584">
        <f>1/(1-'c12_inputs'!$E$7)</f>
        <v>1.0526315789473684</v>
      </c>
      <c r="N56" s="584">
        <f>1/(1-'c12_inputs'!$E$7)</f>
        <v>1.0526315789473684</v>
      </c>
      <c r="O56" s="584">
        <f>1/(1-'c12_inputs'!$E$7)</f>
        <v>1.0526315789473684</v>
      </c>
      <c r="P56" s="584">
        <f>1/(1-'c12_inputs'!$E$7)</f>
        <v>1.0526315789473684</v>
      </c>
      <c r="Q56" s="584">
        <f>1/(1-'c12_inputs'!$E$7)</f>
        <v>1.0526315789473684</v>
      </c>
      <c r="R56" s="583">
        <f>1/(1-'c12_inputs'!$E$7)</f>
        <v>1.0526315789473684</v>
      </c>
      <c r="S56" s="583">
        <f>1/(1-'c12_inputs'!$E$7)</f>
        <v>1.0526315789473684</v>
      </c>
      <c r="T56" s="583">
        <f>1/(1-'c12_inputs'!$E$7)</f>
        <v>1.0526315789473684</v>
      </c>
      <c r="U56" s="583">
        <f>1/(1-'c12_inputs'!$E$7)</f>
        <v>1.0526315789473684</v>
      </c>
      <c r="V56" s="565"/>
      <c r="W56" s="545"/>
      <c r="X56" s="545"/>
      <c r="Y56" s="446"/>
      <c r="Z56" s="446"/>
      <c r="AA56" s="446"/>
      <c r="AB56" s="497"/>
      <c r="AC56" s="497"/>
      <c r="AD56" s="497"/>
      <c r="AE56" s="497"/>
      <c r="AF56" s="497"/>
      <c r="AG56" s="497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</row>
    <row r="57" spans="1:48">
      <c r="A57" s="561" t="s">
        <v>70</v>
      </c>
      <c r="B57" s="458" t="s">
        <v>36</v>
      </c>
      <c r="C57" s="458" t="s">
        <v>71</v>
      </c>
      <c r="D57" s="446"/>
      <c r="E57" s="505"/>
      <c r="F57" s="446"/>
      <c r="G57" s="446"/>
      <c r="H57" s="446"/>
      <c r="I57" s="446"/>
      <c r="J57" s="585">
        <f t="shared" ref="J57:U57" si="10">J78</f>
        <v>154080</v>
      </c>
      <c r="K57" s="585">
        <f t="shared" si="10"/>
        <v>154080</v>
      </c>
      <c r="L57" s="585">
        <f t="shared" si="10"/>
        <v>154080</v>
      </c>
      <c r="M57" s="585">
        <f t="shared" si="10"/>
        <v>367075</v>
      </c>
      <c r="N57" s="585">
        <f t="shared" si="10"/>
        <v>247680</v>
      </c>
      <c r="O57" s="585">
        <f t="shared" si="10"/>
        <v>247680</v>
      </c>
      <c r="P57" s="585">
        <f t="shared" si="10"/>
        <v>290880</v>
      </c>
      <c r="Q57" s="585">
        <f t="shared" si="10"/>
        <v>545435</v>
      </c>
      <c r="R57" s="505">
        <f t="shared" si="10"/>
        <v>1423270</v>
      </c>
      <c r="S57" s="505">
        <f t="shared" si="10"/>
        <v>1423270</v>
      </c>
      <c r="T57" s="505">
        <f t="shared" si="10"/>
        <v>1423270</v>
      </c>
      <c r="U57" s="505">
        <f t="shared" si="10"/>
        <v>1423270</v>
      </c>
      <c r="V57" s="565"/>
      <c r="W57" s="545"/>
      <c r="X57" s="545"/>
      <c r="Y57" s="446"/>
      <c r="Z57" s="446"/>
      <c r="AA57" s="446"/>
      <c r="AB57" s="497"/>
      <c r="AC57" s="497"/>
      <c r="AD57" s="497"/>
      <c r="AE57" s="497"/>
      <c r="AF57" s="497"/>
      <c r="AG57" s="497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</row>
    <row r="58" spans="1:48">
      <c r="A58" s="572" t="s">
        <v>72</v>
      </c>
      <c r="B58" s="458" t="s">
        <v>36</v>
      </c>
      <c r="C58" s="458" t="s">
        <v>73</v>
      </c>
      <c r="D58" s="446"/>
      <c r="E58" s="565"/>
      <c r="F58" s="446"/>
      <c r="G58" s="446"/>
      <c r="H58" s="446"/>
      <c r="I58" s="446"/>
      <c r="J58" s="573">
        <f t="shared" ref="J58:U58" si="11">J57*J56</f>
        <v>162189.4736842105</v>
      </c>
      <c r="K58" s="573">
        <f t="shared" si="11"/>
        <v>162189.4736842105</v>
      </c>
      <c r="L58" s="573">
        <f t="shared" si="11"/>
        <v>162189.4736842105</v>
      </c>
      <c r="M58" s="573">
        <f t="shared" si="11"/>
        <v>386394.73684210522</v>
      </c>
      <c r="N58" s="573">
        <f t="shared" si="11"/>
        <v>260715.78947368418</v>
      </c>
      <c r="O58" s="573">
        <f t="shared" si="11"/>
        <v>260715.78947368418</v>
      </c>
      <c r="P58" s="573">
        <f t="shared" si="11"/>
        <v>306189.4736842105</v>
      </c>
      <c r="Q58" s="573">
        <f t="shared" si="11"/>
        <v>574142.10526315786</v>
      </c>
      <c r="R58" s="565">
        <f t="shared" si="11"/>
        <v>1498178.9473684209</v>
      </c>
      <c r="S58" s="565">
        <f t="shared" si="11"/>
        <v>1498178.9473684209</v>
      </c>
      <c r="T58" s="565">
        <f t="shared" si="11"/>
        <v>1498178.9473684209</v>
      </c>
      <c r="U58" s="565">
        <f t="shared" si="11"/>
        <v>1498178.9473684209</v>
      </c>
      <c r="V58" s="565"/>
      <c r="W58" s="545"/>
      <c r="X58" s="545"/>
      <c r="Y58" s="446"/>
      <c r="Z58" s="446"/>
      <c r="AA58" s="446"/>
      <c r="AB58" s="497"/>
      <c r="AC58" s="497"/>
      <c r="AD58" s="497"/>
      <c r="AE58" s="497"/>
      <c r="AF58" s="497"/>
      <c r="AG58" s="497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</row>
    <row r="59" spans="1:48" ht="15" thickBot="1">
      <c r="A59" s="446"/>
      <c r="B59" s="446"/>
      <c r="C59" s="446"/>
      <c r="D59" s="446"/>
      <c r="E59" s="565"/>
      <c r="F59" s="446"/>
      <c r="G59" s="446"/>
      <c r="H59" s="446"/>
      <c r="I59" s="446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545"/>
      <c r="X59" s="545"/>
      <c r="Y59" s="497"/>
      <c r="Z59" s="497"/>
      <c r="AA59" s="497"/>
      <c r="AB59" s="497"/>
      <c r="AC59" s="497"/>
      <c r="AD59" s="497"/>
      <c r="AE59" s="497"/>
      <c r="AF59" s="497"/>
      <c r="AG59" s="497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</row>
    <row r="60" spans="1:48" s="418" customFormat="1" ht="15.5" thickTop="1" thickBot="1">
      <c r="A60" s="572" t="s">
        <v>74</v>
      </c>
      <c r="B60" s="548" t="s">
        <v>36</v>
      </c>
      <c r="C60" s="458" t="s">
        <v>75</v>
      </c>
      <c r="D60" s="448"/>
      <c r="E60" s="586"/>
      <c r="F60" s="446"/>
      <c r="G60" s="446"/>
      <c r="H60" s="446"/>
      <c r="I60" s="446"/>
      <c r="J60" s="587">
        <f t="shared" ref="J60:U60" si="12">+J53+J32+J58</f>
        <v>721136.47368421056</v>
      </c>
      <c r="K60" s="587">
        <f t="shared" si="12"/>
        <v>721136.47368421056</v>
      </c>
      <c r="L60" s="587">
        <f t="shared" si="12"/>
        <v>721136.47368421056</v>
      </c>
      <c r="M60" s="587">
        <f t="shared" si="12"/>
        <v>833991.73684210517</v>
      </c>
      <c r="N60" s="587">
        <f t="shared" si="12"/>
        <v>310715.78947368416</v>
      </c>
      <c r="O60" s="587">
        <f t="shared" si="12"/>
        <v>902637.28947368416</v>
      </c>
      <c r="P60" s="587">
        <f t="shared" si="12"/>
        <v>948110.97368421056</v>
      </c>
      <c r="Q60" s="587">
        <f t="shared" si="12"/>
        <v>2385063.6052631577</v>
      </c>
      <c r="R60" s="586">
        <f t="shared" si="12"/>
        <v>4592895.5273684207</v>
      </c>
      <c r="S60" s="586">
        <f t="shared" si="12"/>
        <v>6222237.0247684205</v>
      </c>
      <c r="T60" s="586">
        <f t="shared" si="12"/>
        <v>8981799.0470904205</v>
      </c>
      <c r="U60" s="586">
        <f t="shared" si="12"/>
        <v>8232869.9536977708</v>
      </c>
      <c r="V60" s="446"/>
      <c r="W60" s="545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</row>
    <row r="61" spans="1:48" s="41" customFormat="1" ht="15" thickTop="1">
      <c r="A61" s="588"/>
      <c r="B61" s="447"/>
      <c r="C61" s="448"/>
      <c r="D61" s="448"/>
      <c r="E61" s="565"/>
      <c r="F61" s="446"/>
      <c r="G61" s="446"/>
      <c r="H61" s="446"/>
      <c r="I61" s="446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446"/>
      <c r="W61" s="545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</row>
    <row r="62" spans="1:48">
      <c r="A62" s="572" t="s">
        <v>76</v>
      </c>
      <c r="B62" s="458" t="s">
        <v>36</v>
      </c>
      <c r="C62" s="458" t="s">
        <v>77</v>
      </c>
      <c r="D62" s="446"/>
      <c r="E62" s="565"/>
      <c r="F62" s="446"/>
      <c r="G62" s="446"/>
      <c r="H62" s="446"/>
      <c r="I62" s="446"/>
      <c r="J62" s="573">
        <f t="shared" ref="J62:U62" si="13">+J29+J50</f>
        <v>-113077.75</v>
      </c>
      <c r="K62" s="573">
        <f t="shared" si="13"/>
        <v>-226155.5</v>
      </c>
      <c r="L62" s="573">
        <f t="shared" si="13"/>
        <v>-339233.25</v>
      </c>
      <c r="M62" s="573">
        <f t="shared" si="13"/>
        <v>-563661</v>
      </c>
      <c r="N62" s="573">
        <f t="shared" si="13"/>
        <v>-1162988.5925</v>
      </c>
      <c r="O62" s="573">
        <f t="shared" si="13"/>
        <v>-1170394.6850000001</v>
      </c>
      <c r="P62" s="573">
        <f t="shared" si="13"/>
        <v>-1177800.7775000001</v>
      </c>
      <c r="Q62" s="573">
        <f t="shared" si="13"/>
        <v>-16206.870000000112</v>
      </c>
      <c r="R62" s="565">
        <f t="shared" si="13"/>
        <v>-1046719.9711</v>
      </c>
      <c r="S62" s="565">
        <f t="shared" si="13"/>
        <v>-1078148.4652329998</v>
      </c>
      <c r="T62" s="565">
        <f t="shared" si="13"/>
        <v>-110519.81418999005</v>
      </c>
      <c r="U62" s="565">
        <f t="shared" si="13"/>
        <v>0</v>
      </c>
      <c r="V62" s="565"/>
      <c r="W62" s="545"/>
      <c r="X62" s="545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</row>
    <row r="63" spans="1:48" ht="15" customHeight="1">
      <c r="A63" s="446"/>
      <c r="B63" s="446"/>
      <c r="C63" s="446"/>
      <c r="D63" s="446"/>
      <c r="E63" s="565"/>
      <c r="F63" s="446"/>
      <c r="G63" s="446"/>
      <c r="H63" s="446"/>
      <c r="I63" s="446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545"/>
      <c r="X63" s="545"/>
      <c r="Y63" s="446"/>
      <c r="Z63" s="446"/>
      <c r="AA63" s="446"/>
      <c r="AB63" s="497"/>
      <c r="AC63" s="497"/>
      <c r="AD63" s="497"/>
      <c r="AE63" s="497"/>
      <c r="AF63" s="497"/>
      <c r="AG63" s="497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</row>
    <row r="64" spans="1:48" ht="15" customHeight="1">
      <c r="A64" s="561" t="s">
        <v>78</v>
      </c>
      <c r="B64" s="458" t="s">
        <v>36</v>
      </c>
      <c r="C64" s="458" t="s">
        <v>79</v>
      </c>
      <c r="D64" s="446"/>
      <c r="E64" s="534"/>
      <c r="F64" s="446"/>
      <c r="G64" s="446"/>
      <c r="H64" s="446"/>
      <c r="I64" s="446"/>
      <c r="J64" s="589">
        <f>'c12_inputs'!$E$8</f>
        <v>0.35</v>
      </c>
      <c r="K64" s="589">
        <f>'c12_inputs'!$E$8</f>
        <v>0.35</v>
      </c>
      <c r="L64" s="589">
        <f>'c12_inputs'!$E$8</f>
        <v>0.35</v>
      </c>
      <c r="M64" s="589">
        <f>'c12_inputs'!$E$8</f>
        <v>0.35</v>
      </c>
      <c r="N64" s="589">
        <f>'c12_inputs'!$E$8</f>
        <v>0.35</v>
      </c>
      <c r="O64" s="589">
        <f>'c12_inputs'!$E$8</f>
        <v>0.35</v>
      </c>
      <c r="P64" s="589">
        <f>'c12_inputs'!$E$8</f>
        <v>0.35</v>
      </c>
      <c r="Q64" s="589">
        <f>'c12_inputs'!$E$8</f>
        <v>0.35</v>
      </c>
      <c r="R64" s="534">
        <f>'c12_inputs'!$E$8</f>
        <v>0.35</v>
      </c>
      <c r="S64" s="534">
        <f>'c12_inputs'!$E$8</f>
        <v>0.35</v>
      </c>
      <c r="T64" s="534">
        <f>'c12_inputs'!$E$8</f>
        <v>0.35</v>
      </c>
      <c r="U64" s="534">
        <f>'c12_inputs'!$E$8</f>
        <v>0.35</v>
      </c>
      <c r="V64" s="565"/>
      <c r="W64" s="545"/>
      <c r="X64" s="545"/>
      <c r="Y64" s="446"/>
      <c r="Z64" s="446"/>
      <c r="AA64" s="446"/>
      <c r="AB64" s="497"/>
      <c r="AC64" s="497"/>
      <c r="AD64" s="497"/>
      <c r="AE64" s="497"/>
      <c r="AF64" s="497"/>
      <c r="AG64" s="497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</row>
    <row r="65" spans="1:48" s="417" customFormat="1" ht="15" customHeight="1">
      <c r="A65" s="561" t="s">
        <v>80</v>
      </c>
      <c r="B65" s="548" t="s">
        <v>12</v>
      </c>
      <c r="C65" s="546" t="s">
        <v>81</v>
      </c>
      <c r="D65" s="448"/>
      <c r="E65" s="534"/>
      <c r="F65" s="446"/>
      <c r="G65" s="446"/>
      <c r="H65" s="446"/>
      <c r="I65" s="446"/>
      <c r="J65" s="590">
        <v>0.65</v>
      </c>
      <c r="K65" s="590">
        <v>0.65</v>
      </c>
      <c r="L65" s="590">
        <v>0.65</v>
      </c>
      <c r="M65" s="590">
        <v>0.65</v>
      </c>
      <c r="N65" s="590">
        <v>0</v>
      </c>
      <c r="O65" s="590">
        <v>0</v>
      </c>
      <c r="P65" s="590">
        <v>0</v>
      </c>
      <c r="Q65" s="590">
        <v>0</v>
      </c>
      <c r="R65" s="534">
        <v>0</v>
      </c>
      <c r="S65" s="534">
        <v>0</v>
      </c>
      <c r="T65" s="534">
        <v>0</v>
      </c>
      <c r="U65" s="534">
        <v>0</v>
      </c>
      <c r="V65" s="565"/>
      <c r="W65" s="545"/>
      <c r="X65" s="545"/>
      <c r="Y65" s="446"/>
      <c r="Z65" s="446"/>
      <c r="AA65" s="446"/>
      <c r="AB65" s="497"/>
      <c r="AC65" s="497"/>
      <c r="AD65" s="497"/>
      <c r="AE65" s="497"/>
      <c r="AF65" s="497"/>
      <c r="AG65" s="497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</row>
    <row r="66" spans="1:48" s="417" customFormat="1" ht="15" customHeight="1">
      <c r="A66" s="561" t="s">
        <v>82</v>
      </c>
      <c r="B66" s="548" t="s">
        <v>12</v>
      </c>
      <c r="C66" s="546" t="s">
        <v>83</v>
      </c>
      <c r="D66" s="448"/>
      <c r="E66" s="534"/>
      <c r="F66" s="446"/>
      <c r="G66" s="446"/>
      <c r="H66" s="446"/>
      <c r="I66" s="446"/>
      <c r="J66" s="590">
        <v>0.65</v>
      </c>
      <c r="K66" s="590">
        <v>0.65</v>
      </c>
      <c r="L66" s="590">
        <v>0.65</v>
      </c>
      <c r="M66" s="590">
        <v>0.65</v>
      </c>
      <c r="N66" s="590">
        <v>0.65</v>
      </c>
      <c r="O66" s="590">
        <v>0.65</v>
      </c>
      <c r="P66" s="590">
        <v>0.65</v>
      </c>
      <c r="Q66" s="590">
        <v>0</v>
      </c>
      <c r="R66" s="534">
        <v>0</v>
      </c>
      <c r="S66" s="534">
        <v>0</v>
      </c>
      <c r="T66" s="534">
        <v>0</v>
      </c>
      <c r="U66" s="534">
        <v>0</v>
      </c>
      <c r="V66" s="565"/>
      <c r="W66" s="545"/>
      <c r="X66" s="545"/>
      <c r="Y66" s="446"/>
      <c r="Z66" s="446"/>
      <c r="AA66" s="446"/>
      <c r="AB66" s="497"/>
      <c r="AC66" s="497"/>
      <c r="AD66" s="497"/>
      <c r="AE66" s="497"/>
      <c r="AF66" s="497"/>
      <c r="AG66" s="497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</row>
    <row r="67" spans="1:48" s="30" customFormat="1">
      <c r="A67" s="561" t="s">
        <v>84</v>
      </c>
      <c r="B67" s="548" t="s">
        <v>36</v>
      </c>
      <c r="C67" s="546" t="s">
        <v>85</v>
      </c>
      <c r="D67" s="448"/>
      <c r="E67" s="591"/>
      <c r="F67" s="446"/>
      <c r="G67" s="446"/>
      <c r="H67" s="446"/>
      <c r="I67" s="446"/>
      <c r="J67" s="592">
        <f>'c12_inputs'!$E$7</f>
        <v>0.05</v>
      </c>
      <c r="K67" s="592">
        <f>'c12_inputs'!$E$7</f>
        <v>0.05</v>
      </c>
      <c r="L67" s="592">
        <f>'c12_inputs'!$E$7</f>
        <v>0.05</v>
      </c>
      <c r="M67" s="592">
        <f>'c12_inputs'!$E$7</f>
        <v>0.05</v>
      </c>
      <c r="N67" s="592">
        <f>'c12_inputs'!$E$7</f>
        <v>0.05</v>
      </c>
      <c r="O67" s="592">
        <f>'c12_inputs'!$E$7</f>
        <v>0.05</v>
      </c>
      <c r="P67" s="592">
        <f>'c12_inputs'!$E$7</f>
        <v>0.05</v>
      </c>
      <c r="Q67" s="592">
        <f>'c12_inputs'!$E$7</f>
        <v>0.05</v>
      </c>
      <c r="R67" s="591">
        <f>'c12_inputs'!$E$7</f>
        <v>0.05</v>
      </c>
      <c r="S67" s="591">
        <f>'c12_inputs'!$E$7</f>
        <v>0.05</v>
      </c>
      <c r="T67" s="591">
        <f>'c12_inputs'!$E$7</f>
        <v>0.05</v>
      </c>
      <c r="U67" s="591">
        <f>'c12_inputs'!$E$7</f>
        <v>0.05</v>
      </c>
      <c r="V67" s="446"/>
      <c r="W67" s="446"/>
      <c r="X67" s="446"/>
      <c r="Y67" s="446"/>
      <c r="Z67" s="446"/>
      <c r="AA67" s="446"/>
      <c r="AB67" s="446"/>
      <c r="AC67" s="446"/>
      <c r="AD67" s="505"/>
      <c r="AE67" s="505"/>
      <c r="AF67" s="505"/>
      <c r="AG67" s="505"/>
      <c r="AH67" s="505"/>
      <c r="AI67" s="505"/>
      <c r="AJ67" s="505"/>
      <c r="AK67" s="446"/>
      <c r="AL67" s="505"/>
      <c r="AM67" s="505"/>
      <c r="AN67" s="505"/>
      <c r="AO67" s="505"/>
      <c r="AP67" s="505"/>
      <c r="AQ67" s="505"/>
      <c r="AR67" s="505"/>
      <c r="AS67" s="446"/>
      <c r="AT67" s="446"/>
      <c r="AU67" s="446"/>
      <c r="AV67" s="446"/>
    </row>
    <row r="68" spans="1:48">
      <c r="A68" s="561" t="s">
        <v>86</v>
      </c>
      <c r="B68" s="458" t="s">
        <v>36</v>
      </c>
      <c r="C68" s="458" t="s">
        <v>87</v>
      </c>
      <c r="D68" s="446"/>
      <c r="E68" s="565"/>
      <c r="F68" s="446"/>
      <c r="G68" s="446"/>
      <c r="H68" s="446"/>
      <c r="I68" s="446"/>
      <c r="J68" s="573">
        <f t="shared" ref="J68:U68" si="14">(J64+J65)*(J31+J52)+(J64+J66)*(J49+J28)</f>
        <v>558947</v>
      </c>
      <c r="K68" s="573">
        <f t="shared" si="14"/>
        <v>558947</v>
      </c>
      <c r="L68" s="573">
        <f t="shared" si="14"/>
        <v>558947</v>
      </c>
      <c r="M68" s="573">
        <f t="shared" si="14"/>
        <v>447597</v>
      </c>
      <c r="N68" s="573">
        <f t="shared" si="14"/>
        <v>50000</v>
      </c>
      <c r="O68" s="573">
        <f t="shared" si="14"/>
        <v>385137.86249999999</v>
      </c>
      <c r="P68" s="573">
        <f t="shared" si="14"/>
        <v>385137.86249999999</v>
      </c>
      <c r="Q68" s="573">
        <f t="shared" si="14"/>
        <v>633822.52499999991</v>
      </c>
      <c r="R68" s="565">
        <f t="shared" si="14"/>
        <v>1083150.8030000001</v>
      </c>
      <c r="S68" s="565">
        <f t="shared" si="14"/>
        <v>1653420.3270899998</v>
      </c>
      <c r="T68" s="565">
        <f t="shared" si="14"/>
        <v>2619267.0349026998</v>
      </c>
      <c r="U68" s="565">
        <f t="shared" si="14"/>
        <v>2357141.8522152724</v>
      </c>
      <c r="V68" s="534"/>
      <c r="W68" s="545"/>
      <c r="X68" s="545"/>
      <c r="Y68" s="446"/>
      <c r="Z68" s="446"/>
      <c r="AA68" s="446"/>
      <c r="AB68" s="497"/>
      <c r="AC68" s="497"/>
      <c r="AD68" s="497"/>
      <c r="AE68" s="497"/>
      <c r="AF68" s="497"/>
      <c r="AG68" s="497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</row>
    <row r="69" spans="1:48" ht="15" thickBot="1">
      <c r="A69" s="561" t="s">
        <v>88</v>
      </c>
      <c r="B69" s="458" t="s">
        <v>36</v>
      </c>
      <c r="C69" s="458" t="s">
        <v>89</v>
      </c>
      <c r="D69" s="446"/>
      <c r="E69" s="565"/>
      <c r="F69" s="446"/>
      <c r="G69" s="446"/>
      <c r="H69" s="446"/>
      <c r="I69" s="446"/>
      <c r="J69" s="573">
        <f t="shared" ref="J69:U69" si="15">J67*J58</f>
        <v>8109.4736842105258</v>
      </c>
      <c r="K69" s="573">
        <f t="shared" si="15"/>
        <v>8109.4736842105258</v>
      </c>
      <c r="L69" s="573">
        <f t="shared" si="15"/>
        <v>8109.4736842105258</v>
      </c>
      <c r="M69" s="573">
        <f t="shared" si="15"/>
        <v>19319.736842105263</v>
      </c>
      <c r="N69" s="573">
        <f t="shared" si="15"/>
        <v>13035.78947368421</v>
      </c>
      <c r="O69" s="573">
        <f t="shared" si="15"/>
        <v>13035.78947368421</v>
      </c>
      <c r="P69" s="573">
        <f t="shared" si="15"/>
        <v>15309.473684210527</v>
      </c>
      <c r="Q69" s="573">
        <f t="shared" si="15"/>
        <v>28707.105263157893</v>
      </c>
      <c r="R69" s="565">
        <f t="shared" si="15"/>
        <v>74908.947368421053</v>
      </c>
      <c r="S69" s="565">
        <f t="shared" si="15"/>
        <v>74908.947368421053</v>
      </c>
      <c r="T69" s="565">
        <f t="shared" si="15"/>
        <v>74908.947368421053</v>
      </c>
      <c r="U69" s="565">
        <f t="shared" si="15"/>
        <v>74908.947368421053</v>
      </c>
      <c r="V69" s="565"/>
      <c r="W69" s="545"/>
      <c r="X69" s="545"/>
      <c r="Y69" s="446"/>
      <c r="Z69" s="446"/>
      <c r="AA69" s="446"/>
      <c r="AB69" s="497"/>
      <c r="AC69" s="497"/>
      <c r="AD69" s="497"/>
      <c r="AE69" s="497"/>
      <c r="AF69" s="497"/>
      <c r="AG69" s="497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</row>
    <row r="70" spans="1:48" s="417" customFormat="1" ht="15.5" thickTop="1" thickBot="1">
      <c r="A70" s="572" t="s">
        <v>90</v>
      </c>
      <c r="B70" s="548" t="s">
        <v>36</v>
      </c>
      <c r="C70" s="546" t="s">
        <v>91</v>
      </c>
      <c r="D70" s="448"/>
      <c r="E70" s="586"/>
      <c r="F70" s="446"/>
      <c r="G70" s="446"/>
      <c r="H70" s="446"/>
      <c r="I70" s="446"/>
      <c r="J70" s="587">
        <f t="shared" ref="J70:U70" si="16">J69+J68</f>
        <v>567056.47368421056</v>
      </c>
      <c r="K70" s="587">
        <f t="shared" si="16"/>
        <v>567056.47368421056</v>
      </c>
      <c r="L70" s="587">
        <f t="shared" si="16"/>
        <v>567056.47368421056</v>
      </c>
      <c r="M70" s="587">
        <f t="shared" si="16"/>
        <v>466916.73684210528</v>
      </c>
      <c r="N70" s="587">
        <f t="shared" si="16"/>
        <v>63035.789473684214</v>
      </c>
      <c r="O70" s="587">
        <f t="shared" si="16"/>
        <v>398173.6519736842</v>
      </c>
      <c r="P70" s="587">
        <f t="shared" si="16"/>
        <v>400447.33618421049</v>
      </c>
      <c r="Q70" s="587">
        <f t="shared" si="16"/>
        <v>662529.63026315777</v>
      </c>
      <c r="R70" s="586">
        <f t="shared" si="16"/>
        <v>1158059.7503684212</v>
      </c>
      <c r="S70" s="586">
        <f t="shared" si="16"/>
        <v>1728329.2744584209</v>
      </c>
      <c r="T70" s="586">
        <f t="shared" si="16"/>
        <v>2694175.9822711209</v>
      </c>
      <c r="U70" s="586">
        <f t="shared" si="16"/>
        <v>2432050.7995836935</v>
      </c>
      <c r="V70" s="534"/>
      <c r="W70" s="545"/>
      <c r="X70" s="545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</row>
    <row r="71" spans="1:48" ht="15" thickTop="1">
      <c r="A71" s="551"/>
      <c r="B71" s="446"/>
      <c r="C71" s="446"/>
      <c r="D71" s="446"/>
      <c r="E71" s="565"/>
      <c r="F71" s="446"/>
      <c r="G71" s="446"/>
      <c r="H71" s="446"/>
      <c r="I71" s="446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545"/>
      <c r="X71" s="545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</row>
    <row r="72" spans="1:48" s="30" customFormat="1">
      <c r="A72" s="561" t="s">
        <v>92</v>
      </c>
      <c r="B72" s="548" t="s">
        <v>36</v>
      </c>
      <c r="C72" s="546" t="s">
        <v>93</v>
      </c>
      <c r="D72" s="448"/>
      <c r="E72" s="565"/>
      <c r="F72" s="446"/>
      <c r="G72" s="446"/>
      <c r="H72" s="446"/>
      <c r="I72" s="446"/>
      <c r="J72" s="573">
        <f t="shared" ref="J72:U72" si="17">-(J64+J65)*(J27+J48)</f>
        <v>113077.75</v>
      </c>
      <c r="K72" s="573">
        <f t="shared" si="17"/>
        <v>113077.75</v>
      </c>
      <c r="L72" s="573">
        <f t="shared" si="17"/>
        <v>113077.75</v>
      </c>
      <c r="M72" s="573">
        <f t="shared" si="17"/>
        <v>224427.75</v>
      </c>
      <c r="N72" s="573">
        <f t="shared" si="17"/>
        <v>227264.65737500001</v>
      </c>
      <c r="O72" s="573">
        <f t="shared" si="17"/>
        <v>88996.544875000007</v>
      </c>
      <c r="P72" s="573">
        <f t="shared" si="17"/>
        <v>88996.544875000007</v>
      </c>
      <c r="Q72" s="573">
        <f t="shared" si="17"/>
        <v>88996.544875000007</v>
      </c>
      <c r="R72" s="565">
        <f t="shared" si="17"/>
        <v>716665.76488499995</v>
      </c>
      <c r="S72" s="565">
        <f t="shared" si="17"/>
        <v>377665.73783154995</v>
      </c>
      <c r="T72" s="565">
        <f t="shared" si="17"/>
        <v>388995.70996649651</v>
      </c>
      <c r="U72" s="565">
        <f t="shared" si="17"/>
        <v>0</v>
      </c>
      <c r="V72" s="446"/>
      <c r="W72" s="446"/>
      <c r="X72" s="446"/>
      <c r="Y72" s="446"/>
      <c r="Z72" s="446"/>
      <c r="AA72" s="446"/>
      <c r="AB72" s="446"/>
      <c r="AC72" s="446"/>
      <c r="AD72" s="505"/>
      <c r="AE72" s="505"/>
      <c r="AF72" s="505"/>
      <c r="AG72" s="505"/>
      <c r="AH72" s="505"/>
      <c r="AI72" s="505"/>
      <c r="AJ72" s="505"/>
      <c r="AK72" s="446"/>
      <c r="AL72" s="505"/>
      <c r="AM72" s="505"/>
      <c r="AN72" s="505"/>
      <c r="AO72" s="505"/>
      <c r="AP72" s="505"/>
      <c r="AQ72" s="505"/>
      <c r="AR72" s="505"/>
      <c r="AS72" s="446"/>
      <c r="AT72" s="446"/>
      <c r="AU72" s="446"/>
      <c r="AV72" s="446"/>
    </row>
    <row r="73" spans="1:48" s="30" customFormat="1">
      <c r="A73" s="561" t="s">
        <v>94</v>
      </c>
      <c r="B73" s="548" t="s">
        <v>36</v>
      </c>
      <c r="C73" s="546" t="s">
        <v>95</v>
      </c>
      <c r="D73" s="448"/>
      <c r="E73" s="565"/>
      <c r="F73" s="446"/>
      <c r="G73" s="446"/>
      <c r="H73" s="446"/>
      <c r="I73" s="446"/>
      <c r="J73" s="573">
        <f t="shared" ref="J73:U73" si="18">-(J64+J66)*(J28+J49)</f>
        <v>0</v>
      </c>
      <c r="K73" s="573">
        <f t="shared" si="18"/>
        <v>0</v>
      </c>
      <c r="L73" s="573">
        <f t="shared" si="18"/>
        <v>0</v>
      </c>
      <c r="M73" s="573">
        <f t="shared" si="18"/>
        <v>0</v>
      </c>
      <c r="N73" s="573">
        <f t="shared" si="18"/>
        <v>-50000</v>
      </c>
      <c r="O73" s="573">
        <f t="shared" si="18"/>
        <v>-246869.75</v>
      </c>
      <c r="P73" s="573">
        <f t="shared" si="18"/>
        <v>-246869.75</v>
      </c>
      <c r="Q73" s="573">
        <f t="shared" si="18"/>
        <v>-495554.41249999998</v>
      </c>
      <c r="R73" s="565">
        <f t="shared" si="18"/>
        <v>-355986.17950000003</v>
      </c>
      <c r="S73" s="565">
        <f t="shared" si="18"/>
        <v>-366665.76488499995</v>
      </c>
      <c r="T73" s="565">
        <f t="shared" si="18"/>
        <v>-727665.73783154995</v>
      </c>
      <c r="U73" s="565">
        <f t="shared" si="18"/>
        <v>-38681.934966496512</v>
      </c>
      <c r="V73" s="446"/>
      <c r="W73" s="446"/>
      <c r="X73" s="446"/>
      <c r="Y73" s="446"/>
      <c r="Z73" s="446"/>
      <c r="AA73" s="446"/>
      <c r="AB73" s="446"/>
      <c r="AC73" s="446"/>
      <c r="AD73" s="505"/>
      <c r="AE73" s="505"/>
      <c r="AF73" s="505"/>
      <c r="AG73" s="505"/>
      <c r="AH73" s="505"/>
      <c r="AI73" s="505"/>
      <c r="AJ73" s="505"/>
      <c r="AK73" s="446"/>
      <c r="AL73" s="505"/>
      <c r="AM73" s="505"/>
      <c r="AN73" s="505"/>
      <c r="AO73" s="505"/>
      <c r="AP73" s="505"/>
      <c r="AQ73" s="505"/>
      <c r="AR73" s="505"/>
      <c r="AS73" s="446"/>
      <c r="AT73" s="446"/>
      <c r="AU73" s="446"/>
      <c r="AV73" s="446"/>
    </row>
    <row r="74" spans="1:48">
      <c r="A74" s="561" t="s">
        <v>96</v>
      </c>
      <c r="B74" s="458" t="s">
        <v>12</v>
      </c>
      <c r="C74" s="458" t="s">
        <v>97</v>
      </c>
      <c r="D74" s="446"/>
      <c r="E74" s="565"/>
      <c r="F74" s="446"/>
      <c r="G74" s="446"/>
      <c r="H74" s="446"/>
      <c r="I74" s="446"/>
      <c r="J74" s="564">
        <f>SUM(J72:J73)+E74</f>
        <v>113077.75</v>
      </c>
      <c r="K74" s="564">
        <f t="shared" ref="K74:U74" si="19">SUM(K72:K73)+J74</f>
        <v>226155.5</v>
      </c>
      <c r="L74" s="564">
        <f t="shared" si="19"/>
        <v>339233.25</v>
      </c>
      <c r="M74" s="564">
        <f t="shared" si="19"/>
        <v>563661</v>
      </c>
      <c r="N74" s="564">
        <f t="shared" si="19"/>
        <v>740925.65737499995</v>
      </c>
      <c r="O74" s="564">
        <f t="shared" si="19"/>
        <v>583052.45224999997</v>
      </c>
      <c r="P74" s="564">
        <f t="shared" si="19"/>
        <v>425179.24712499999</v>
      </c>
      <c r="Q74" s="564">
        <f t="shared" si="19"/>
        <v>18621.379500000039</v>
      </c>
      <c r="R74" s="565">
        <f t="shared" si="19"/>
        <v>379300.96488499996</v>
      </c>
      <c r="S74" s="565">
        <f t="shared" si="19"/>
        <v>390300.93783154996</v>
      </c>
      <c r="T74" s="565">
        <f t="shared" si="19"/>
        <v>51630.909966496518</v>
      </c>
      <c r="U74" s="565">
        <f t="shared" si="19"/>
        <v>12948.975000000006</v>
      </c>
      <c r="V74" s="566" t="s">
        <v>98</v>
      </c>
      <c r="W74" s="545"/>
      <c r="X74" s="545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</row>
    <row r="75" spans="1:48">
      <c r="A75" s="446"/>
      <c r="B75" s="446"/>
      <c r="C75" s="446"/>
      <c r="D75" s="446"/>
      <c r="E75" s="565"/>
      <c r="F75" s="446"/>
      <c r="G75" s="446"/>
      <c r="H75" s="446"/>
      <c r="I75" s="446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545"/>
      <c r="X75" s="545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</row>
    <row r="76" spans="1:48" ht="20" customHeight="1">
      <c r="A76" s="561" t="s">
        <v>99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545"/>
      <c r="X76" s="545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</row>
    <row r="77" spans="1:48" s="30" customFormat="1" ht="14.65" customHeight="1">
      <c r="A77" s="561" t="s">
        <v>100</v>
      </c>
      <c r="B77" s="548" t="s">
        <v>36</v>
      </c>
      <c r="C77" s="546" t="s">
        <v>101</v>
      </c>
      <c r="D77" s="448"/>
      <c r="E77" s="505"/>
      <c r="F77" s="446"/>
      <c r="G77" s="446"/>
      <c r="H77" s="446"/>
      <c r="I77" s="446"/>
      <c r="J77" s="585">
        <f>'.c12_hm_hr'!J31</f>
        <v>298080</v>
      </c>
      <c r="K77" s="585">
        <f>'.c12_hm_hr'!K31</f>
        <v>298080</v>
      </c>
      <c r="L77" s="585">
        <f>'.c12_hm_hr'!L31</f>
        <v>298080</v>
      </c>
      <c r="M77" s="585">
        <f>'.c12_hm_hr'!M31</f>
        <v>770825</v>
      </c>
      <c r="N77" s="585">
        <f>'.c12_hm_hr'!N31</f>
        <v>391680</v>
      </c>
      <c r="O77" s="585">
        <f>'.c12_hm_hr'!O31</f>
        <v>391680</v>
      </c>
      <c r="P77" s="585">
        <f>'.c12_hm_hr'!P31</f>
        <v>434880</v>
      </c>
      <c r="Q77" s="585">
        <f>'.c12_hm_hr'!Q31</f>
        <v>949185</v>
      </c>
      <c r="R77" s="505">
        <f>'.c12_hm_hr'!R31</f>
        <v>2518770</v>
      </c>
      <c r="S77" s="505">
        <f>'.c12_hm_hr'!S31</f>
        <v>2518770</v>
      </c>
      <c r="T77" s="505">
        <f>'.c12_hm_hr'!T31</f>
        <v>2518770</v>
      </c>
      <c r="U77" s="505">
        <f>'.c12_hm_hr'!U31</f>
        <v>2518770</v>
      </c>
      <c r="V77" s="544"/>
      <c r="W77" s="545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</row>
    <row r="78" spans="1:48" s="30" customFormat="1">
      <c r="A78" s="561" t="s">
        <v>102</v>
      </c>
      <c r="B78" s="548" t="s">
        <v>36</v>
      </c>
      <c r="C78" s="546" t="s">
        <v>103</v>
      </c>
      <c r="D78" s="448"/>
      <c r="E78" s="505"/>
      <c r="F78" s="446"/>
      <c r="G78" s="446"/>
      <c r="H78" s="446"/>
      <c r="I78" s="446"/>
      <c r="J78" s="585">
        <f>'.c12_hm_hr'!J32</f>
        <v>154080</v>
      </c>
      <c r="K78" s="585">
        <f>'.c12_hm_hr'!K32</f>
        <v>154080</v>
      </c>
      <c r="L78" s="585">
        <f>'.c12_hm_hr'!L32</f>
        <v>154080</v>
      </c>
      <c r="M78" s="585">
        <f>'.c12_hm_hr'!M32</f>
        <v>367075</v>
      </c>
      <c r="N78" s="585">
        <f>'.c12_hm_hr'!N32</f>
        <v>247680</v>
      </c>
      <c r="O78" s="585">
        <f>'.c12_hm_hr'!O32</f>
        <v>247680</v>
      </c>
      <c r="P78" s="585">
        <f>'.c12_hm_hr'!P32</f>
        <v>290880</v>
      </c>
      <c r="Q78" s="585">
        <f>'.c12_hm_hr'!Q32</f>
        <v>545435</v>
      </c>
      <c r="R78" s="505">
        <f>'.c12_hm_hr'!R32</f>
        <v>1423270</v>
      </c>
      <c r="S78" s="505">
        <f>'.c12_hm_hr'!S32</f>
        <v>1423270</v>
      </c>
      <c r="T78" s="505">
        <f>'.c12_hm_hr'!T32</f>
        <v>1423270</v>
      </c>
      <c r="U78" s="505">
        <f>'.c12_hm_hr'!U32</f>
        <v>1423270</v>
      </c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91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</row>
    <row r="79" spans="1:48" s="30" customFormat="1">
      <c r="A79" s="561" t="s">
        <v>104</v>
      </c>
      <c r="B79" s="548" t="s">
        <v>36</v>
      </c>
      <c r="C79" s="546" t="s">
        <v>105</v>
      </c>
      <c r="D79" s="448"/>
      <c r="E79" s="505"/>
      <c r="F79" s="446"/>
      <c r="G79" s="446"/>
      <c r="H79" s="446"/>
      <c r="I79" s="446"/>
      <c r="J79" s="585">
        <f>'.c12_hm_hr'!J33</f>
        <v>144000</v>
      </c>
      <c r="K79" s="585">
        <f>'.c12_hm_hr'!K33</f>
        <v>144000</v>
      </c>
      <c r="L79" s="585">
        <f>'.c12_hm_hr'!L33</f>
        <v>144000</v>
      </c>
      <c r="M79" s="585">
        <f>'.c12_hm_hr'!M33</f>
        <v>403750</v>
      </c>
      <c r="N79" s="585">
        <f>'.c12_hm_hr'!N33</f>
        <v>144000</v>
      </c>
      <c r="O79" s="585">
        <f>'.c12_hm_hr'!O33</f>
        <v>144000</v>
      </c>
      <c r="P79" s="585">
        <f>'.c12_hm_hr'!P33</f>
        <v>144000</v>
      </c>
      <c r="Q79" s="585">
        <f>'.c12_hm_hr'!Q33</f>
        <v>403750</v>
      </c>
      <c r="R79" s="505">
        <f>'.c12_hm_hr'!R33</f>
        <v>1095500</v>
      </c>
      <c r="S79" s="505">
        <f>'.c12_hm_hr'!S33</f>
        <v>1095500</v>
      </c>
      <c r="T79" s="505">
        <f>'.c12_hm_hr'!T33</f>
        <v>1095500</v>
      </c>
      <c r="U79" s="505">
        <f>'.c12_hm_hr'!U33</f>
        <v>1095500</v>
      </c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91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</row>
    <row r="80" spans="1:48" s="30" customFormat="1">
      <c r="A80" s="561" t="s">
        <v>106</v>
      </c>
      <c r="B80" s="548" t="s">
        <v>36</v>
      </c>
      <c r="C80" s="546" t="s">
        <v>107</v>
      </c>
      <c r="D80" s="448"/>
      <c r="E80" s="505"/>
      <c r="F80" s="446"/>
      <c r="G80" s="446"/>
      <c r="H80" s="446"/>
      <c r="I80" s="446"/>
      <c r="J80" s="585">
        <f>'.c12_hm_hr'!J34</f>
        <v>0</v>
      </c>
      <c r="K80" s="585">
        <f>'.c12_hm_hr'!K34</f>
        <v>0</v>
      </c>
      <c r="L80" s="585">
        <f>'.c12_hm_hr'!L34</f>
        <v>0</v>
      </c>
      <c r="M80" s="585">
        <f>'.c12_hm_hr'!M34</f>
        <v>0</v>
      </c>
      <c r="N80" s="585">
        <f>'.c12_hm_hr'!N34</f>
        <v>0</v>
      </c>
      <c r="O80" s="585">
        <f>'.c12_hm_hr'!O34</f>
        <v>0</v>
      </c>
      <c r="P80" s="585">
        <f>'.c12_hm_hr'!P34</f>
        <v>0</v>
      </c>
      <c r="Q80" s="585">
        <f>'.c12_hm_hr'!Q34</f>
        <v>0</v>
      </c>
      <c r="R80" s="505">
        <f>'.c12_hm_hr'!R34</f>
        <v>0</v>
      </c>
      <c r="S80" s="505">
        <f>'.c12_hm_hr'!S34</f>
        <v>0</v>
      </c>
      <c r="T80" s="505">
        <f>'.c12_hm_hr'!T34</f>
        <v>0</v>
      </c>
      <c r="U80" s="505">
        <f>'.c12_hm_hr'!U34</f>
        <v>0</v>
      </c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91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</row>
    <row r="81" spans="1:48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</row>
    <row r="82" spans="1:48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</row>
    <row r="83" spans="1:48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</row>
    <row r="84" spans="1:48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</row>
    <row r="85" spans="1:48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</row>
    <row r="86" spans="1:48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</row>
    <row r="87" spans="1:48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</row>
    <row r="88" spans="1:48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</row>
    <row r="89" spans="1:48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</row>
    <row r="90" spans="1:48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</row>
    <row r="91" spans="1:48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</row>
    <row r="92" spans="1:48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</row>
    <row r="93" spans="1:48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</row>
    <row r="94" spans="1:48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</row>
    <row r="95" spans="1:48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</row>
    <row r="96" spans="1:48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</row>
    <row r="97" spans="1:48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</row>
    <row r="98" spans="1:48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</row>
    <row r="99" spans="1:48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</row>
    <row r="100" spans="1:48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</row>
    <row r="101" spans="1:48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</row>
    <row r="102" spans="1:48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</row>
    <row r="103" spans="1:48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</row>
    <row r="104" spans="1:48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</row>
    <row r="105" spans="1:48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</row>
    <row r="106" spans="1:48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</row>
    <row r="107" spans="1:48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</row>
    <row r="108" spans="1:48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</row>
    <row r="109" spans="1:48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</row>
    <row r="110" spans="1:48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</row>
    <row r="111" spans="1:48">
      <c r="A111" s="446"/>
      <c r="B111" s="468"/>
      <c r="C111" s="446"/>
      <c r="D111" s="446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</row>
    <row r="112" spans="1:48">
      <c r="A112" s="446"/>
      <c r="B112" s="468"/>
      <c r="C112" s="446"/>
      <c r="D112" s="446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</row>
    <row r="113" spans="1:48">
      <c r="A113" s="446"/>
      <c r="B113" s="468"/>
      <c r="C113" s="446"/>
      <c r="D113" s="446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</row>
    <row r="114" spans="1:48">
      <c r="A114" s="446"/>
      <c r="B114" s="468"/>
      <c r="C114" s="446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</row>
    <row r="115" spans="1:48">
      <c r="A115" s="446"/>
      <c r="B115" s="468"/>
      <c r="C115" s="446"/>
      <c r="D115" s="446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</row>
    <row r="116" spans="1:48">
      <c r="A116" s="446"/>
      <c r="B116" s="468"/>
      <c r="C116" s="446"/>
      <c r="D116" s="446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</row>
    <row r="117" spans="1:48">
      <c r="A117" s="446"/>
      <c r="B117" s="468"/>
      <c r="C117" s="446"/>
      <c r="D117" s="446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</row>
    <row r="118" spans="1:48">
      <c r="A118" s="446"/>
      <c r="B118" s="468"/>
      <c r="C118" s="446"/>
      <c r="D118" s="446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</row>
    <row r="119" spans="1:48">
      <c r="A119" s="446"/>
      <c r="B119" s="468"/>
      <c r="C119" s="446"/>
      <c r="D119" s="446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</row>
    <row r="120" spans="1:48">
      <c r="A120" s="446"/>
      <c r="B120" s="468"/>
      <c r="C120" s="446"/>
      <c r="D120" s="446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</row>
    <row r="121" spans="1:48">
      <c r="A121" s="446"/>
      <c r="B121" s="468"/>
      <c r="C121" s="446"/>
      <c r="D121" s="446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</row>
    <row r="122" spans="1:48">
      <c r="A122" s="446"/>
      <c r="B122" s="468"/>
      <c r="C122" s="446"/>
      <c r="D122" s="446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</row>
    <row r="123" spans="1:48">
      <c r="A123" s="446"/>
      <c r="B123" s="468"/>
      <c r="C123" s="446"/>
      <c r="D123" s="446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</row>
    <row r="124" spans="1:48">
      <c r="A124" s="446"/>
      <c r="B124" s="468"/>
      <c r="C124" s="446"/>
      <c r="D124" s="446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569"/>
      <c r="T124" s="569"/>
      <c r="U124" s="446"/>
      <c r="V124" s="448"/>
      <c r="W124" s="448"/>
      <c r="X124" s="448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</row>
    <row r="125" spans="1:48">
      <c r="A125" s="446"/>
      <c r="B125" s="468"/>
      <c r="C125" s="446"/>
      <c r="D125" s="446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</row>
    <row r="126" spans="1:48">
      <c r="A126" s="446"/>
      <c r="B126" s="468"/>
      <c r="C126" s="446"/>
      <c r="D126" s="446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</row>
    <row r="127" spans="1:48">
      <c r="A127" s="446"/>
      <c r="B127" s="468"/>
      <c r="C127" s="446"/>
      <c r="D127" s="446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</row>
    <row r="128" spans="1:48">
      <c r="A128" s="446"/>
      <c r="B128" s="468"/>
      <c r="C128" s="446"/>
      <c r="D128" s="446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</row>
    <row r="129" spans="1:48">
      <c r="A129" s="446"/>
      <c r="B129" s="468"/>
      <c r="C129" s="446"/>
      <c r="D129" s="446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</row>
    <row r="130" spans="1:48">
      <c r="A130" s="446"/>
      <c r="B130" s="468"/>
      <c r="C130" s="446"/>
      <c r="D130" s="446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</row>
    <row r="131" spans="1:48">
      <c r="A131" s="446"/>
      <c r="B131" s="468"/>
      <c r="C131" s="446"/>
      <c r="D131" s="446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</row>
    <row r="132" spans="1:48">
      <c r="A132" s="446"/>
      <c r="B132" s="468"/>
      <c r="C132" s="446"/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</row>
    <row r="133" spans="1:48">
      <c r="A133" s="446"/>
      <c r="B133" s="468"/>
      <c r="C133" s="446"/>
      <c r="D133" s="446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</row>
    <row r="134" spans="1:48">
      <c r="A134" s="446"/>
      <c r="B134" s="468"/>
      <c r="C134" s="446"/>
      <c r="D134" s="446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</row>
    <row r="135" spans="1:48">
      <c r="A135" s="446"/>
      <c r="B135" s="468"/>
      <c r="C135" s="446"/>
      <c r="D135" s="446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</row>
    <row r="136" spans="1:48">
      <c r="A136" s="446"/>
      <c r="B136" s="468"/>
      <c r="C136" s="446"/>
      <c r="D136" s="446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</row>
    <row r="137" spans="1:48">
      <c r="A137" s="446"/>
      <c r="B137" s="468"/>
      <c r="C137" s="446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</row>
    <row r="138" spans="1:48">
      <c r="A138" s="446"/>
      <c r="B138" s="468"/>
      <c r="C138" s="446"/>
      <c r="D138" s="446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546" t="s">
        <v>108</v>
      </c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</row>
    <row r="139" spans="1:48">
      <c r="A139" s="446"/>
      <c r="B139" s="468"/>
      <c r="C139" s="446"/>
      <c r="D139" s="446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</row>
    <row r="140" spans="1:48">
      <c r="A140" s="446"/>
      <c r="B140" s="468"/>
      <c r="C140" s="446"/>
      <c r="D140" s="446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</row>
    <row r="141" spans="1:48">
      <c r="A141" s="446"/>
      <c r="B141" s="468"/>
      <c r="C141" s="446"/>
      <c r="D141" s="446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</row>
    <row r="142" spans="1:48">
      <c r="A142" s="446"/>
      <c r="B142" s="468"/>
      <c r="C142" s="446"/>
      <c r="D142" s="446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</row>
    <row r="143" spans="1:48">
      <c r="A143" s="446"/>
      <c r="B143" s="468"/>
      <c r="C143" s="446"/>
      <c r="D143" s="446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</row>
    <row r="144" spans="1:48">
      <c r="A144" s="446"/>
      <c r="B144" s="468"/>
      <c r="C144" s="446"/>
      <c r="D144" s="446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</row>
    <row r="145" spans="1:48">
      <c r="A145" s="446"/>
      <c r="B145" s="468"/>
      <c r="C145" s="446"/>
      <c r="D145" s="446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</row>
    <row r="146" spans="1:48">
      <c r="A146" s="446"/>
      <c r="B146" s="468"/>
      <c r="C146" s="446"/>
      <c r="D146" s="446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</row>
    <row r="147" spans="1:48">
      <c r="A147" s="446"/>
      <c r="B147" s="468"/>
      <c r="C147" s="446"/>
      <c r="D147" s="446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</row>
    <row r="148" spans="1:48">
      <c r="A148" s="446"/>
      <c r="B148" s="468"/>
      <c r="C148" s="446"/>
      <c r="D148" s="446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</row>
    <row r="149" spans="1:48">
      <c r="A149" s="446"/>
      <c r="B149" s="468"/>
      <c r="C149" s="446"/>
      <c r="D149" s="446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Z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customWidth="1"/>
    <col min="4" max="4" width="14" style="424" bestFit="1" customWidth="1"/>
    <col min="5" max="5" width="15.6328125" style="5" bestFit="1" customWidth="1"/>
    <col min="6" max="9" width="11.7265625" style="63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52" s="4" customFormat="1" ht="18.399999999999999" customHeight="1">
      <c r="A1" s="551"/>
      <c r="B1" s="447"/>
      <c r="C1" s="448"/>
      <c r="D1" s="447"/>
      <c r="E1" s="552"/>
      <c r="F1" s="446"/>
      <c r="G1" s="446"/>
      <c r="H1" s="446"/>
      <c r="I1" s="446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</row>
    <row r="2" spans="1:52">
      <c r="A2" s="553" t="s">
        <v>0</v>
      </c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</row>
    <row r="3" spans="1:52" ht="14.65" customHeight="1">
      <c r="A3" s="553" t="s">
        <v>1</v>
      </c>
      <c r="B3" s="450"/>
      <c r="C3" s="450"/>
      <c r="D3" s="450"/>
      <c r="E3" s="555" t="s">
        <v>2</v>
      </c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6" t="s">
        <v>2</v>
      </c>
      <c r="S3" s="556" t="s">
        <v>2</v>
      </c>
      <c r="T3" s="556" t="s">
        <v>2</v>
      </c>
      <c r="U3" s="556" t="s">
        <v>2</v>
      </c>
      <c r="V3" s="557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</row>
    <row r="4" spans="1:52" ht="14.65" customHeight="1">
      <c r="A4" s="446"/>
      <c r="B4" s="456" t="s">
        <v>6</v>
      </c>
      <c r="C4" s="457" t="s">
        <v>7</v>
      </c>
      <c r="D4" s="456" t="s">
        <v>8</v>
      </c>
      <c r="E4" s="558"/>
      <c r="F4" s="446"/>
      <c r="G4" s="446"/>
      <c r="H4" s="446"/>
      <c r="I4" s="446"/>
      <c r="J4" s="558"/>
      <c r="K4" s="558"/>
      <c r="L4" s="558"/>
      <c r="M4" s="558"/>
      <c r="N4" s="558"/>
      <c r="O4" s="558"/>
      <c r="P4" s="558"/>
      <c r="Q4" s="558"/>
      <c r="R4" s="559"/>
      <c r="S4" s="559"/>
      <c r="T4" s="559"/>
      <c r="U4" s="559"/>
      <c r="V4" s="560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</row>
    <row r="5" spans="1:52" ht="15" customHeight="1">
      <c r="A5" s="561" t="s">
        <v>9</v>
      </c>
      <c r="B5" s="461"/>
      <c r="C5" s="464"/>
      <c r="D5" s="461"/>
      <c r="E5" s="551"/>
      <c r="F5" s="446"/>
      <c r="G5" s="446"/>
      <c r="H5" s="446"/>
      <c r="I5" s="446"/>
      <c r="J5" s="551"/>
      <c r="K5" s="551"/>
      <c r="L5" s="551"/>
      <c r="M5" s="562"/>
      <c r="N5" s="551"/>
      <c r="O5" s="551"/>
      <c r="P5" s="551"/>
      <c r="Q5" s="551"/>
      <c r="R5" s="551"/>
      <c r="S5" s="551"/>
      <c r="T5" s="551"/>
      <c r="U5" s="551"/>
      <c r="V5" s="551"/>
      <c r="W5" s="446"/>
      <c r="X5" s="471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</row>
    <row r="6" spans="1:52">
      <c r="A6" s="481" t="s">
        <v>954</v>
      </c>
      <c r="B6" s="459" t="s">
        <v>12</v>
      </c>
      <c r="C6" s="460" t="s">
        <v>955</v>
      </c>
      <c r="D6" s="475" t="s">
        <v>14</v>
      </c>
      <c r="E6" s="565"/>
      <c r="F6" s="446"/>
      <c r="G6" s="446"/>
      <c r="H6" s="446"/>
      <c r="I6" s="446"/>
      <c r="J6" s="564"/>
      <c r="K6" s="564"/>
      <c r="L6" s="564"/>
      <c r="M6" s="564">
        <v>0</v>
      </c>
      <c r="N6" s="564">
        <v>0</v>
      </c>
      <c r="O6" s="564">
        <v>0</v>
      </c>
      <c r="P6" s="564">
        <v>0</v>
      </c>
      <c r="Q6" s="564">
        <v>0</v>
      </c>
      <c r="R6" s="565">
        <v>0</v>
      </c>
      <c r="S6" s="565">
        <v>0</v>
      </c>
      <c r="T6" s="565">
        <v>0</v>
      </c>
      <c r="U6" s="565">
        <v>0</v>
      </c>
      <c r="V6" s="458" t="s">
        <v>15</v>
      </c>
      <c r="W6" s="446"/>
      <c r="X6" s="567"/>
      <c r="Y6" s="446"/>
      <c r="Z6" s="446"/>
      <c r="AA6" s="565"/>
      <c r="AB6" s="565"/>
      <c r="AC6" s="565"/>
      <c r="AD6" s="565"/>
      <c r="AE6" s="565"/>
      <c r="AF6" s="565"/>
      <c r="AG6" s="565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</row>
    <row r="7" spans="1:52">
      <c r="A7" s="481" t="s">
        <v>956</v>
      </c>
      <c r="B7" s="459" t="s">
        <v>12</v>
      </c>
      <c r="C7" s="460" t="s">
        <v>957</v>
      </c>
      <c r="D7" s="475" t="s">
        <v>14</v>
      </c>
      <c r="E7" s="565"/>
      <c r="F7" s="446"/>
      <c r="G7" s="446"/>
      <c r="H7" s="446"/>
      <c r="I7" s="446"/>
      <c r="J7" s="564"/>
      <c r="K7" s="564"/>
      <c r="L7" s="564"/>
      <c r="M7" s="564">
        <v>0</v>
      </c>
      <c r="N7" s="564">
        <v>0</v>
      </c>
      <c r="O7" s="564">
        <v>0</v>
      </c>
      <c r="P7" s="564">
        <v>0</v>
      </c>
      <c r="Q7" s="564">
        <v>0</v>
      </c>
      <c r="R7" s="565">
        <v>0</v>
      </c>
      <c r="S7" s="565">
        <v>0</v>
      </c>
      <c r="T7" s="565">
        <v>0</v>
      </c>
      <c r="U7" s="565">
        <v>0</v>
      </c>
      <c r="V7" s="446"/>
      <c r="W7" s="448"/>
      <c r="X7" s="568"/>
      <c r="Y7" s="446"/>
      <c r="Z7" s="446"/>
      <c r="AA7" s="565"/>
      <c r="AB7" s="505"/>
      <c r="AC7" s="505"/>
      <c r="AD7" s="505"/>
      <c r="AE7" s="505"/>
      <c r="AF7" s="505"/>
      <c r="AG7" s="565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</row>
    <row r="8" spans="1:52">
      <c r="A8" s="481" t="s">
        <v>958</v>
      </c>
      <c r="B8" s="459" t="s">
        <v>12</v>
      </c>
      <c r="C8" s="460" t="s">
        <v>959</v>
      </c>
      <c r="D8" s="475" t="s">
        <v>14</v>
      </c>
      <c r="E8" s="565"/>
      <c r="F8" s="446"/>
      <c r="G8" s="446"/>
      <c r="H8" s="446"/>
      <c r="I8" s="446"/>
      <c r="J8" s="564"/>
      <c r="K8" s="564"/>
      <c r="L8" s="564">
        <f>520000</f>
        <v>520000</v>
      </c>
      <c r="M8" s="564"/>
      <c r="N8" s="564"/>
      <c r="O8" s="564">
        <v>0</v>
      </c>
      <c r="P8" s="564"/>
      <c r="Q8" s="564">
        <v>0</v>
      </c>
      <c r="R8" s="565">
        <v>0</v>
      </c>
      <c r="S8" s="565">
        <v>0</v>
      </c>
      <c r="T8" s="565">
        <v>0</v>
      </c>
      <c r="U8" s="565">
        <v>0</v>
      </c>
      <c r="V8" s="446"/>
      <c r="W8" s="448"/>
      <c r="X8" s="569"/>
      <c r="Y8" s="446"/>
      <c r="Z8" s="446"/>
      <c r="AA8" s="565"/>
      <c r="AB8" s="565"/>
      <c r="AC8" s="565"/>
      <c r="AD8" s="565"/>
      <c r="AE8" s="565"/>
      <c r="AF8" s="565"/>
      <c r="AG8" s="565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</row>
    <row r="9" spans="1:52">
      <c r="A9" s="481" t="s">
        <v>960</v>
      </c>
      <c r="B9" s="458" t="s">
        <v>12</v>
      </c>
      <c r="C9" s="458" t="s">
        <v>955</v>
      </c>
      <c r="D9" s="458" t="s">
        <v>19</v>
      </c>
      <c r="E9" s="565"/>
      <c r="F9" s="446"/>
      <c r="G9" s="446"/>
      <c r="H9" s="446"/>
      <c r="I9" s="446"/>
      <c r="J9" s="564"/>
      <c r="K9" s="564"/>
      <c r="L9" s="564"/>
      <c r="M9" s="564">
        <v>0</v>
      </c>
      <c r="N9" s="564">
        <v>0</v>
      </c>
      <c r="O9" s="564">
        <v>0</v>
      </c>
      <c r="P9" s="564">
        <v>0</v>
      </c>
      <c r="Q9" s="564">
        <v>0</v>
      </c>
      <c r="R9" s="565">
        <v>0</v>
      </c>
      <c r="S9" s="565">
        <v>0</v>
      </c>
      <c r="T9" s="565">
        <v>0</v>
      </c>
      <c r="U9" s="565">
        <v>0</v>
      </c>
      <c r="V9" s="446"/>
      <c r="W9" s="448"/>
      <c r="X9" s="570"/>
      <c r="Y9" s="446"/>
      <c r="Z9" s="446"/>
      <c r="AA9" s="565"/>
      <c r="AB9" s="565"/>
      <c r="AC9" s="565"/>
      <c r="AD9" s="505"/>
      <c r="AE9" s="505"/>
      <c r="AF9" s="505"/>
      <c r="AG9" s="565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</row>
    <row r="10" spans="1:52">
      <c r="A10" s="481" t="s">
        <v>961</v>
      </c>
      <c r="B10" s="458" t="s">
        <v>12</v>
      </c>
      <c r="C10" s="458" t="s">
        <v>957</v>
      </c>
      <c r="D10" s="458" t="s">
        <v>19</v>
      </c>
      <c r="E10" s="565"/>
      <c r="F10" s="540"/>
      <c r="G10" s="540"/>
      <c r="H10" s="540"/>
      <c r="I10" s="540"/>
      <c r="J10" s="564"/>
      <c r="K10" s="564"/>
      <c r="L10" s="564"/>
      <c r="M10" s="564">
        <v>0</v>
      </c>
      <c r="N10" s="564">
        <v>0</v>
      </c>
      <c r="O10" s="564">
        <v>0</v>
      </c>
      <c r="P10" s="564">
        <v>0</v>
      </c>
      <c r="Q10" s="564">
        <v>0</v>
      </c>
      <c r="R10" s="565">
        <v>0</v>
      </c>
      <c r="S10" s="565">
        <v>0</v>
      </c>
      <c r="T10" s="565">
        <v>0</v>
      </c>
      <c r="U10" s="565">
        <v>0</v>
      </c>
      <c r="V10" s="446"/>
      <c r="W10" s="448"/>
      <c r="X10" s="570"/>
      <c r="Y10" s="446"/>
      <c r="Z10" s="446"/>
      <c r="AA10" s="565"/>
      <c r="AB10" s="565"/>
      <c r="AC10" s="565"/>
      <c r="AD10" s="505"/>
      <c r="AE10" s="505"/>
      <c r="AF10" s="505"/>
      <c r="AG10" s="565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</row>
    <row r="11" spans="1:52">
      <c r="A11" s="481" t="s">
        <v>962</v>
      </c>
      <c r="B11" s="458" t="s">
        <v>12</v>
      </c>
      <c r="C11" s="458" t="s">
        <v>955</v>
      </c>
      <c r="D11" s="458" t="s">
        <v>24</v>
      </c>
      <c r="E11" s="565"/>
      <c r="F11" s="446"/>
      <c r="G11" s="446"/>
      <c r="H11" s="446"/>
      <c r="I11" s="446"/>
      <c r="J11" s="564"/>
      <c r="K11" s="564"/>
      <c r="L11" s="564"/>
      <c r="M11" s="564">
        <v>50000</v>
      </c>
      <c r="N11" s="564">
        <v>0</v>
      </c>
      <c r="O11" s="564">
        <v>0</v>
      </c>
      <c r="P11" s="564">
        <v>0</v>
      </c>
      <c r="Q11" s="564">
        <v>0</v>
      </c>
      <c r="R11" s="565">
        <v>0</v>
      </c>
      <c r="S11" s="565">
        <v>0</v>
      </c>
      <c r="T11" s="565">
        <v>0</v>
      </c>
      <c r="U11" s="565">
        <v>0</v>
      </c>
      <c r="V11" s="446"/>
      <c r="W11" s="448"/>
      <c r="X11" s="571"/>
      <c r="Y11" s="446"/>
      <c r="Z11" s="446"/>
      <c r="AA11" s="565"/>
      <c r="AB11" s="565"/>
      <c r="AC11" s="565"/>
      <c r="AD11" s="565"/>
      <c r="AE11" s="565"/>
      <c r="AF11" s="565"/>
      <c r="AG11" s="565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</row>
    <row r="12" spans="1:52">
      <c r="A12" s="481" t="s">
        <v>963</v>
      </c>
      <c r="B12" s="458" t="s">
        <v>12</v>
      </c>
      <c r="C12" s="458" t="s">
        <v>964</v>
      </c>
      <c r="D12" s="458" t="s">
        <v>24</v>
      </c>
      <c r="E12" s="563">
        <v>812800</v>
      </c>
      <c r="F12" s="624"/>
      <c r="G12" s="624"/>
      <c r="H12" s="624"/>
      <c r="I12" s="624"/>
      <c r="J12" s="564">
        <v>280000</v>
      </c>
      <c r="K12" s="564">
        <v>280000</v>
      </c>
      <c r="L12" s="564">
        <v>280000</v>
      </c>
      <c r="M12" s="564">
        <v>340000</v>
      </c>
      <c r="N12" s="564">
        <f>2930000/16*3</f>
        <v>549375</v>
      </c>
      <c r="O12" s="564">
        <f>2930000/16*3</f>
        <v>549375</v>
      </c>
      <c r="P12" s="564">
        <f>2930000/16*3</f>
        <v>549375</v>
      </c>
      <c r="Q12" s="564">
        <f>2930000/16*3</f>
        <v>549375</v>
      </c>
      <c r="R12" s="565">
        <f>2930000-SUM(N12:Q12)</f>
        <v>732500</v>
      </c>
      <c r="S12" s="565">
        <v>0</v>
      </c>
      <c r="T12" s="565">
        <v>0</v>
      </c>
      <c r="U12" s="565">
        <v>0</v>
      </c>
      <c r="V12" s="536"/>
      <c r="W12" s="448"/>
      <c r="X12" s="571"/>
      <c r="Y12" s="497"/>
      <c r="Z12" s="497"/>
      <c r="AA12" s="497"/>
      <c r="AB12" s="497"/>
      <c r="AC12" s="497"/>
      <c r="AD12" s="497"/>
      <c r="AE12" s="497"/>
      <c r="AF12" s="497"/>
      <c r="AG12" s="497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</row>
    <row r="13" spans="1:52">
      <c r="A13" s="481" t="s">
        <v>965</v>
      </c>
      <c r="B13" s="458" t="s">
        <v>12</v>
      </c>
      <c r="C13" s="458" t="s">
        <v>959</v>
      </c>
      <c r="D13" s="458" t="s">
        <v>24</v>
      </c>
      <c r="E13" s="565"/>
      <c r="F13" s="624"/>
      <c r="G13" s="624"/>
      <c r="H13" s="624"/>
      <c r="I13" s="624"/>
      <c r="J13" s="564"/>
      <c r="K13" s="564"/>
      <c r="L13" s="564"/>
      <c r="M13" s="564">
        <v>250000</v>
      </c>
      <c r="N13" s="564">
        <v>0</v>
      </c>
      <c r="O13" s="564">
        <v>0</v>
      </c>
      <c r="P13" s="564">
        <v>0</v>
      </c>
      <c r="Q13" s="564">
        <v>0</v>
      </c>
      <c r="R13" s="565">
        <v>0</v>
      </c>
      <c r="S13" s="565">
        <v>0</v>
      </c>
      <c r="T13" s="565">
        <v>0</v>
      </c>
      <c r="U13" s="565">
        <v>0</v>
      </c>
      <c r="V13" s="565"/>
      <c r="W13" s="448"/>
      <c r="X13" s="571"/>
      <c r="Y13" s="497"/>
      <c r="Z13" s="497"/>
      <c r="AA13" s="497"/>
      <c r="AB13" s="497"/>
      <c r="AC13" s="497"/>
      <c r="AD13" s="497"/>
      <c r="AE13" s="497"/>
      <c r="AF13" s="497"/>
      <c r="AG13" s="497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</row>
    <row r="14" spans="1:52">
      <c r="A14" s="481" t="s">
        <v>966</v>
      </c>
      <c r="B14" s="458" t="s">
        <v>12</v>
      </c>
      <c r="C14" s="458" t="s">
        <v>955</v>
      </c>
      <c r="D14" s="458" t="s">
        <v>29</v>
      </c>
      <c r="E14" s="505"/>
      <c r="F14" s="446"/>
      <c r="G14" s="446"/>
      <c r="H14" s="446"/>
      <c r="I14" s="446"/>
      <c r="J14" s="564"/>
      <c r="K14" s="564"/>
      <c r="L14" s="564">
        <f>750000/2</f>
        <v>375000</v>
      </c>
      <c r="M14" s="524">
        <f>750000/2</f>
        <v>375000</v>
      </c>
      <c r="N14" s="524">
        <f>(4500000*0.6-SUM($L$14:$M$14))/4</f>
        <v>487500</v>
      </c>
      <c r="O14" s="524">
        <f>(4500000*0.6-SUM($L$14:$M$14))/4</f>
        <v>487500</v>
      </c>
      <c r="P14" s="524">
        <f>(4500000*0.6-SUM($L$14:$M$14))/4</f>
        <v>487500</v>
      </c>
      <c r="Q14" s="524">
        <f>(4500000*0.6-SUM($L$14:$M$14))/4</f>
        <v>487500</v>
      </c>
      <c r="R14" s="565">
        <f>4500000-SUM(L14:Q14)</f>
        <v>1800000</v>
      </c>
      <c r="S14" s="565">
        <v>0</v>
      </c>
      <c r="T14" s="565">
        <v>0</v>
      </c>
      <c r="U14" s="565">
        <v>0</v>
      </c>
      <c r="V14" s="446"/>
      <c r="W14" s="545"/>
      <c r="X14" s="545"/>
      <c r="Y14" s="446"/>
      <c r="Z14" s="446"/>
      <c r="AA14" s="446"/>
      <c r="AB14" s="497"/>
      <c r="AC14" s="497"/>
      <c r="AD14" s="497"/>
      <c r="AE14" s="497"/>
      <c r="AF14" s="497"/>
      <c r="AG14" s="497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</row>
    <row r="15" spans="1:52">
      <c r="A15" s="481" t="s">
        <v>967</v>
      </c>
      <c r="B15" s="458" t="s">
        <v>12</v>
      </c>
      <c r="C15" s="458" t="s">
        <v>957</v>
      </c>
      <c r="D15" s="458" t="s">
        <v>29</v>
      </c>
      <c r="E15" s="505"/>
      <c r="F15" s="446"/>
      <c r="G15" s="446"/>
      <c r="H15" s="446"/>
      <c r="I15" s="446"/>
      <c r="J15" s="564"/>
      <c r="K15" s="564"/>
      <c r="L15" s="564">
        <f>1000000/2</f>
        <v>500000</v>
      </c>
      <c r="M15" s="524">
        <f>1000000/2</f>
        <v>500000</v>
      </c>
      <c r="N15" s="524">
        <f>5200000/3/4</f>
        <v>433333.33333333331</v>
      </c>
      <c r="O15" s="524">
        <f>5200000/3/4</f>
        <v>433333.33333333331</v>
      </c>
      <c r="P15" s="524">
        <f>5200000/3/4</f>
        <v>433333.33333333331</v>
      </c>
      <c r="Q15" s="524">
        <f>5200000/3/4</f>
        <v>433333.33333333331</v>
      </c>
      <c r="R15" s="565">
        <f>5200000/3</f>
        <v>1733333.3333333333</v>
      </c>
      <c r="S15" s="565">
        <f>5200000/3/2</f>
        <v>866666.66666666663</v>
      </c>
      <c r="T15" s="565">
        <f>5200000/3/2</f>
        <v>866666.66666666663</v>
      </c>
      <c r="U15" s="565">
        <v>0</v>
      </c>
      <c r="V15" s="505"/>
      <c r="W15" s="574"/>
      <c r="X15" s="545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</row>
    <row r="16" spans="1:52">
      <c r="A16" s="481" t="s">
        <v>968</v>
      </c>
      <c r="B16" s="458" t="s">
        <v>12</v>
      </c>
      <c r="C16" s="458" t="s">
        <v>959</v>
      </c>
      <c r="D16" s="458" t="s">
        <v>29</v>
      </c>
      <c r="E16" s="505"/>
      <c r="F16" s="446"/>
      <c r="G16" s="446"/>
      <c r="H16" s="446"/>
      <c r="I16" s="446"/>
      <c r="J16" s="564">
        <v>0</v>
      </c>
      <c r="K16" s="564">
        <v>0</v>
      </c>
      <c r="L16" s="564">
        <v>0</v>
      </c>
      <c r="M16" s="524">
        <v>0</v>
      </c>
      <c r="N16" s="524">
        <v>0</v>
      </c>
      <c r="O16" s="524">
        <v>0</v>
      </c>
      <c r="P16" s="524">
        <v>0</v>
      </c>
      <c r="Q16" s="524">
        <v>0</v>
      </c>
      <c r="R16" s="565">
        <v>0</v>
      </c>
      <c r="S16" s="565">
        <v>0</v>
      </c>
      <c r="T16" s="565">
        <v>0</v>
      </c>
      <c r="U16" s="565">
        <v>0</v>
      </c>
      <c r="V16" s="446"/>
      <c r="W16" s="574"/>
      <c r="X16" s="545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</row>
    <row r="17" spans="1:52">
      <c r="A17" s="481" t="s">
        <v>969</v>
      </c>
      <c r="B17" s="458" t="s">
        <v>12</v>
      </c>
      <c r="C17" s="458" t="s">
        <v>970</v>
      </c>
      <c r="D17" s="458" t="s">
        <v>29</v>
      </c>
      <c r="E17" s="565"/>
      <c r="F17" s="614"/>
      <c r="G17" s="614"/>
      <c r="H17" s="614"/>
      <c r="I17" s="614"/>
      <c r="J17" s="564"/>
      <c r="K17" s="564"/>
      <c r="L17" s="564"/>
      <c r="M17" s="524"/>
      <c r="N17" s="524">
        <v>0</v>
      </c>
      <c r="O17" s="524">
        <v>0</v>
      </c>
      <c r="P17" s="524">
        <v>0</v>
      </c>
      <c r="Q17" s="524">
        <v>0</v>
      </c>
      <c r="R17" s="565">
        <f>2187500*0.5</f>
        <v>1093750</v>
      </c>
      <c r="S17" s="565">
        <f>R17/2</f>
        <v>546875</v>
      </c>
      <c r="T17" s="565">
        <f>S17</f>
        <v>546875</v>
      </c>
      <c r="U17" s="565">
        <v>0</v>
      </c>
      <c r="V17" s="446"/>
      <c r="W17" s="545"/>
      <c r="X17" s="545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</row>
    <row r="18" spans="1:52">
      <c r="A18" s="481" t="s">
        <v>971</v>
      </c>
      <c r="B18" s="458" t="s">
        <v>12</v>
      </c>
      <c r="C18" s="458" t="s">
        <v>972</v>
      </c>
      <c r="D18" s="458" t="s">
        <v>29</v>
      </c>
      <c r="E18" s="565"/>
      <c r="F18" s="614"/>
      <c r="G18" s="614"/>
      <c r="H18" s="614"/>
      <c r="I18" s="614"/>
      <c r="J18" s="564"/>
      <c r="K18" s="564">
        <v>1000000</v>
      </c>
      <c r="L18" s="564"/>
      <c r="M18" s="524"/>
      <c r="N18" s="524"/>
      <c r="O18" s="524"/>
      <c r="P18" s="524"/>
      <c r="Q18" s="524"/>
      <c r="R18" s="565"/>
      <c r="S18" s="565"/>
      <c r="T18" s="565"/>
      <c r="U18" s="565"/>
      <c r="V18" s="446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</row>
    <row r="19" spans="1:52" s="5" customFormat="1">
      <c r="A19" s="481" t="s">
        <v>973</v>
      </c>
      <c r="B19" s="548" t="s">
        <v>12</v>
      </c>
      <c r="C19" s="546" t="s">
        <v>974</v>
      </c>
      <c r="D19" s="548" t="s">
        <v>27</v>
      </c>
      <c r="E19" s="565"/>
      <c r="F19" s="540"/>
      <c r="G19" s="540"/>
      <c r="H19" s="540"/>
      <c r="I19" s="540"/>
      <c r="J19" s="564">
        <v>0</v>
      </c>
      <c r="K19" s="564">
        <v>0</v>
      </c>
      <c r="L19" s="564">
        <v>0</v>
      </c>
      <c r="M19" s="524">
        <v>0</v>
      </c>
      <c r="N19" s="524">
        <v>0</v>
      </c>
      <c r="O19" s="524">
        <v>0</v>
      </c>
      <c r="P19" s="524">
        <v>0</v>
      </c>
      <c r="Q19" s="524">
        <v>0</v>
      </c>
      <c r="R19" s="565">
        <v>0</v>
      </c>
      <c r="S19" s="565">
        <v>0</v>
      </c>
      <c r="T19" s="565">
        <v>0</v>
      </c>
      <c r="U19" s="565">
        <v>0</v>
      </c>
      <c r="V19" s="446"/>
      <c r="W19" s="545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</row>
    <row r="20" spans="1:52">
      <c r="A20" s="481" t="s">
        <v>975</v>
      </c>
      <c r="B20" s="458" t="s">
        <v>12</v>
      </c>
      <c r="C20" s="458" t="s">
        <v>972</v>
      </c>
      <c r="D20" s="458" t="s">
        <v>27</v>
      </c>
      <c r="E20" s="565"/>
      <c r="F20" s="446"/>
      <c r="G20" s="446"/>
      <c r="H20" s="446"/>
      <c r="I20" s="446"/>
      <c r="J20" s="564">
        <v>0</v>
      </c>
      <c r="K20" s="564">
        <v>1250000</v>
      </c>
      <c r="L20" s="564">
        <v>0</v>
      </c>
      <c r="M20" s="524">
        <v>0</v>
      </c>
      <c r="N20" s="524">
        <v>0</v>
      </c>
      <c r="O20" s="524">
        <v>0</v>
      </c>
      <c r="P20" s="524">
        <v>0</v>
      </c>
      <c r="Q20" s="524">
        <v>0</v>
      </c>
      <c r="R20" s="565">
        <v>0</v>
      </c>
      <c r="S20" s="565">
        <v>0</v>
      </c>
      <c r="T20" s="565">
        <v>0</v>
      </c>
      <c r="U20" s="565">
        <v>0</v>
      </c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</row>
    <row r="21" spans="1:52">
      <c r="A21" s="481" t="s">
        <v>976</v>
      </c>
      <c r="B21" s="458" t="s">
        <v>12</v>
      </c>
      <c r="C21" s="458" t="s">
        <v>977</v>
      </c>
      <c r="D21" s="458" t="s">
        <v>27</v>
      </c>
      <c r="E21" s="565"/>
      <c r="F21" s="491"/>
      <c r="G21" s="491"/>
      <c r="H21" s="491"/>
      <c r="I21" s="491"/>
      <c r="J21" s="564">
        <v>0</v>
      </c>
      <c r="K21" s="564">
        <v>0</v>
      </c>
      <c r="L21" s="564">
        <v>0</v>
      </c>
      <c r="M21" s="564">
        <v>0</v>
      </c>
      <c r="N21" s="564">
        <v>0</v>
      </c>
      <c r="O21" s="564">
        <v>0</v>
      </c>
      <c r="P21" s="564">
        <v>0</v>
      </c>
      <c r="Q21" s="564">
        <v>0</v>
      </c>
      <c r="R21" s="565">
        <v>0</v>
      </c>
      <c r="S21" s="565">
        <v>0</v>
      </c>
      <c r="T21" s="565">
        <v>0</v>
      </c>
      <c r="U21" s="565">
        <v>0</v>
      </c>
      <c r="V21" s="446"/>
      <c r="W21" s="545"/>
      <c r="X21" s="545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</row>
    <row r="22" spans="1:52">
      <c r="A22" s="481" t="s">
        <v>978</v>
      </c>
      <c r="B22" s="458" t="s">
        <v>12</v>
      </c>
      <c r="C22" s="458" t="s">
        <v>979</v>
      </c>
      <c r="D22" s="458" t="s">
        <v>27</v>
      </c>
      <c r="E22" s="565"/>
      <c r="F22" s="540"/>
      <c r="G22" s="540"/>
      <c r="H22" s="540"/>
      <c r="I22" s="540"/>
      <c r="J22" s="564"/>
      <c r="K22" s="564"/>
      <c r="L22" s="564"/>
      <c r="M22" s="564">
        <v>0</v>
      </c>
      <c r="N22" s="564">
        <v>0</v>
      </c>
      <c r="O22" s="564">
        <v>0</v>
      </c>
      <c r="P22" s="564">
        <v>0</v>
      </c>
      <c r="Q22" s="564">
        <v>2500000</v>
      </c>
      <c r="R22" s="565">
        <v>0</v>
      </c>
      <c r="S22" s="565">
        <v>0</v>
      </c>
      <c r="T22" s="565">
        <v>0</v>
      </c>
      <c r="U22" s="565">
        <v>0</v>
      </c>
      <c r="V22" s="536"/>
      <c r="W22" s="545"/>
      <c r="X22" s="545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</row>
    <row r="23" spans="1:52">
      <c r="A23" s="481" t="s">
        <v>30</v>
      </c>
      <c r="B23" s="458" t="s">
        <v>12</v>
      </c>
      <c r="C23" s="458" t="s">
        <v>980</v>
      </c>
      <c r="D23" s="458" t="s">
        <v>31</v>
      </c>
      <c r="E23" s="565"/>
      <c r="F23" s="540"/>
      <c r="G23" s="540"/>
      <c r="H23" s="540"/>
      <c r="I23" s="540"/>
      <c r="J23" s="564"/>
      <c r="K23" s="564"/>
      <c r="L23" s="564"/>
      <c r="M23" s="564"/>
      <c r="N23" s="564"/>
      <c r="O23" s="564"/>
      <c r="P23" s="564"/>
      <c r="Q23" s="564">
        <f>500000+1600000</f>
        <v>2100000</v>
      </c>
      <c r="R23" s="565">
        <v>250000</v>
      </c>
      <c r="S23" s="565">
        <v>650000</v>
      </c>
      <c r="T23" s="565"/>
      <c r="U23" s="565"/>
      <c r="V23" s="536"/>
      <c r="W23" s="579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</row>
    <row r="24" spans="1:52" ht="15" customHeight="1">
      <c r="A24" s="481" t="s">
        <v>33</v>
      </c>
      <c r="B24" s="458" t="s">
        <v>12</v>
      </c>
      <c r="C24" s="458" t="s">
        <v>980</v>
      </c>
      <c r="D24" s="458" t="s">
        <v>34</v>
      </c>
      <c r="E24" s="565"/>
      <c r="F24" s="540"/>
      <c r="G24" s="540"/>
      <c r="H24" s="540"/>
      <c r="I24" s="540"/>
      <c r="J24" s="564"/>
      <c r="K24" s="564"/>
      <c r="L24" s="564"/>
      <c r="M24" s="564"/>
      <c r="N24" s="564"/>
      <c r="O24" s="564"/>
      <c r="P24" s="564">
        <v>0</v>
      </c>
      <c r="Q24" s="564">
        <v>0</v>
      </c>
      <c r="R24" s="565">
        <v>2000000</v>
      </c>
      <c r="S24" s="565">
        <v>2000000</v>
      </c>
      <c r="T24" s="565">
        <v>4000000</v>
      </c>
      <c r="U24" s="565">
        <v>4000000</v>
      </c>
      <c r="V24" s="536"/>
      <c r="W24" s="579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</row>
    <row r="25" spans="1:52">
      <c r="A25" s="572" t="s">
        <v>35</v>
      </c>
      <c r="B25" s="458" t="s">
        <v>36</v>
      </c>
      <c r="C25" s="458" t="s">
        <v>37</v>
      </c>
      <c r="D25" s="446"/>
      <c r="E25" s="565"/>
      <c r="F25" s="540"/>
      <c r="G25" s="540"/>
      <c r="H25" s="540"/>
      <c r="I25" s="540"/>
      <c r="J25" s="573">
        <f t="shared" ref="J25:U25" si="0">SUM(J6:J24)</f>
        <v>280000</v>
      </c>
      <c r="K25" s="573">
        <f t="shared" si="0"/>
        <v>2530000</v>
      </c>
      <c r="L25" s="573">
        <f t="shared" si="0"/>
        <v>1675000</v>
      </c>
      <c r="M25" s="573">
        <f t="shared" si="0"/>
        <v>1515000</v>
      </c>
      <c r="N25" s="573">
        <f t="shared" si="0"/>
        <v>1470208.3333333333</v>
      </c>
      <c r="O25" s="573">
        <f t="shared" si="0"/>
        <v>1470208.3333333333</v>
      </c>
      <c r="P25" s="573">
        <f t="shared" si="0"/>
        <v>1470208.3333333333</v>
      </c>
      <c r="Q25" s="573">
        <f t="shared" si="0"/>
        <v>6070208.333333333</v>
      </c>
      <c r="R25" s="565">
        <f t="shared" si="0"/>
        <v>7609583.333333333</v>
      </c>
      <c r="S25" s="565">
        <f t="shared" si="0"/>
        <v>4063541.6666666665</v>
      </c>
      <c r="T25" s="565">
        <f t="shared" si="0"/>
        <v>5413541.666666666</v>
      </c>
      <c r="U25" s="565">
        <f t="shared" si="0"/>
        <v>4000000</v>
      </c>
      <c r="V25" s="565"/>
      <c r="W25" s="545"/>
      <c r="X25" s="545"/>
      <c r="Y25" s="446"/>
      <c r="Z25" s="491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</row>
    <row r="26" spans="1:52" ht="15" customHeight="1">
      <c r="A26" s="551"/>
      <c r="B26" s="446"/>
      <c r="C26" s="446"/>
      <c r="D26" s="446"/>
      <c r="E26" s="565"/>
      <c r="F26" s="540"/>
      <c r="G26" s="540"/>
      <c r="H26" s="540"/>
      <c r="I26" s="540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45"/>
      <c r="X26" s="545"/>
      <c r="Y26" s="446"/>
      <c r="Z26" s="491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</row>
    <row r="27" spans="1:52">
      <c r="A27" s="561" t="s">
        <v>38</v>
      </c>
      <c r="B27" s="458" t="s">
        <v>12</v>
      </c>
      <c r="C27" s="446"/>
      <c r="D27" s="446"/>
      <c r="E27" s="565"/>
      <c r="F27" s="540"/>
      <c r="G27" s="540"/>
      <c r="H27" s="540"/>
      <c r="I27" s="540"/>
      <c r="J27" s="564">
        <f>-SUM(J6:J24)</f>
        <v>-280000</v>
      </c>
      <c r="K27" s="564">
        <f>-SUM(K6:K24)</f>
        <v>-2530000</v>
      </c>
      <c r="L27" s="564">
        <v>-1155000</v>
      </c>
      <c r="M27" s="564">
        <v>-745000</v>
      </c>
      <c r="N27" s="564">
        <v>-1470208</v>
      </c>
      <c r="O27" s="564">
        <f>-1000000+310000</f>
        <v>-690000</v>
      </c>
      <c r="P27" s="564">
        <v>-1000000</v>
      </c>
      <c r="Q27" s="564">
        <v>-2100000</v>
      </c>
      <c r="R27" s="565">
        <f>-1500000-2000000-250000</f>
        <v>-3750000</v>
      </c>
      <c r="S27" s="565">
        <f>-2000000-650000</f>
        <v>-2650000</v>
      </c>
      <c r="T27" s="565">
        <v>-4000000</v>
      </c>
      <c r="U27" s="565">
        <v>-4000000</v>
      </c>
      <c r="V27" s="566" t="s">
        <v>15</v>
      </c>
      <c r="W27" s="545"/>
      <c r="X27" s="545"/>
      <c r="Y27" s="497"/>
      <c r="Z27" s="497"/>
      <c r="AA27" s="497"/>
      <c r="AB27" s="497"/>
      <c r="AC27" s="497"/>
      <c r="AD27" s="497"/>
      <c r="AE27" s="497"/>
      <c r="AF27" s="497"/>
      <c r="AG27" s="497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</row>
    <row r="28" spans="1:52" ht="15" customHeight="1">
      <c r="A28" s="486" t="s">
        <v>40</v>
      </c>
      <c r="B28" s="458" t="s">
        <v>12</v>
      </c>
      <c r="C28" s="458" t="s">
        <v>41</v>
      </c>
      <c r="D28" s="446"/>
      <c r="E28" s="565"/>
      <c r="F28" s="540"/>
      <c r="G28" s="540"/>
      <c r="H28" s="540"/>
      <c r="I28" s="540"/>
      <c r="J28" s="564"/>
      <c r="K28" s="564"/>
      <c r="L28" s="564"/>
      <c r="M28" s="564"/>
      <c r="N28" s="564">
        <v>1508647.32</v>
      </c>
      <c r="O28" s="564">
        <v>1177500</v>
      </c>
      <c r="P28" s="564">
        <v>1177500</v>
      </c>
      <c r="Q28" s="564">
        <v>1177500</v>
      </c>
      <c r="R28" s="565">
        <v>4929060.68</v>
      </c>
      <c r="S28" s="565">
        <v>3750000</v>
      </c>
      <c r="T28" s="565">
        <v>650000</v>
      </c>
      <c r="U28" s="565">
        <v>1999999.666666667</v>
      </c>
      <c r="V28" s="446"/>
      <c r="W28" s="545"/>
      <c r="X28" s="545"/>
      <c r="Y28" s="497"/>
      <c r="Z28" s="497"/>
      <c r="AA28" s="497"/>
      <c r="AB28" s="497"/>
      <c r="AC28" s="497"/>
      <c r="AD28" s="497"/>
      <c r="AE28" s="497"/>
      <c r="AF28" s="497"/>
      <c r="AG28" s="497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</row>
    <row r="29" spans="1:52">
      <c r="A29" s="561" t="s">
        <v>42</v>
      </c>
      <c r="B29" s="458" t="s">
        <v>36</v>
      </c>
      <c r="C29" s="458" t="s">
        <v>43</v>
      </c>
      <c r="D29" s="446"/>
      <c r="E29" s="565"/>
      <c r="F29" s="540"/>
      <c r="G29" s="540"/>
      <c r="H29" s="540"/>
      <c r="I29" s="540"/>
      <c r="J29" s="573">
        <f>+J27+E29+J28</f>
        <v>-280000</v>
      </c>
      <c r="K29" s="573">
        <f t="shared" ref="K29:U29" si="1">+K27+J29+K28</f>
        <v>-2810000</v>
      </c>
      <c r="L29" s="573">
        <f t="shared" si="1"/>
        <v>-3965000</v>
      </c>
      <c r="M29" s="573">
        <f t="shared" si="1"/>
        <v>-4710000</v>
      </c>
      <c r="N29" s="573">
        <f t="shared" si="1"/>
        <v>-4671560.68</v>
      </c>
      <c r="O29" s="573">
        <f t="shared" si="1"/>
        <v>-4184060.6799999997</v>
      </c>
      <c r="P29" s="573">
        <f t="shared" si="1"/>
        <v>-4006560.6799999997</v>
      </c>
      <c r="Q29" s="573">
        <f t="shared" si="1"/>
        <v>-4929060.68</v>
      </c>
      <c r="R29" s="565">
        <f t="shared" si="1"/>
        <v>-3750000</v>
      </c>
      <c r="S29" s="565">
        <f t="shared" si="1"/>
        <v>-2650000</v>
      </c>
      <c r="T29" s="565">
        <f t="shared" si="1"/>
        <v>-6000000</v>
      </c>
      <c r="U29" s="565">
        <f t="shared" si="1"/>
        <v>-8000000.333333333</v>
      </c>
      <c r="V29" s="446"/>
      <c r="W29" s="545"/>
      <c r="X29" s="545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</row>
    <row r="30" spans="1:52">
      <c r="A30" s="446"/>
      <c r="B30" s="446"/>
      <c r="C30" s="446"/>
      <c r="D30" s="446"/>
      <c r="E30" s="446"/>
      <c r="F30" s="540"/>
      <c r="G30" s="540"/>
      <c r="H30" s="540"/>
      <c r="I30" s="540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545"/>
      <c r="X30" s="545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</row>
    <row r="31" spans="1:52">
      <c r="A31" s="561" t="s">
        <v>44</v>
      </c>
      <c r="B31" s="458" t="s">
        <v>36</v>
      </c>
      <c r="C31" s="458" t="s">
        <v>45</v>
      </c>
      <c r="D31" s="446"/>
      <c r="E31" s="577"/>
      <c r="F31" s="540"/>
      <c r="G31" s="540"/>
      <c r="H31" s="540"/>
      <c r="I31" s="540"/>
      <c r="J31" s="578">
        <f t="shared" ref="J31:U31" si="2">+J25+J27</f>
        <v>0</v>
      </c>
      <c r="K31" s="578">
        <f t="shared" si="2"/>
        <v>0</v>
      </c>
      <c r="L31" s="578">
        <f t="shared" si="2"/>
        <v>520000</v>
      </c>
      <c r="M31" s="578">
        <f t="shared" si="2"/>
        <v>770000</v>
      </c>
      <c r="N31" s="578">
        <f t="shared" si="2"/>
        <v>0.33333333325572312</v>
      </c>
      <c r="O31" s="578">
        <f t="shared" si="2"/>
        <v>780208.33333333326</v>
      </c>
      <c r="P31" s="578">
        <f t="shared" si="2"/>
        <v>470208.33333333326</v>
      </c>
      <c r="Q31" s="578">
        <f t="shared" si="2"/>
        <v>3970208.333333333</v>
      </c>
      <c r="R31" s="505">
        <f t="shared" si="2"/>
        <v>3859583.333333333</v>
      </c>
      <c r="S31" s="505">
        <f t="shared" si="2"/>
        <v>1413541.6666666665</v>
      </c>
      <c r="T31" s="505">
        <f t="shared" si="2"/>
        <v>1413541.666666666</v>
      </c>
      <c r="U31" s="505">
        <f t="shared" si="2"/>
        <v>0</v>
      </c>
      <c r="V31" s="446"/>
      <c r="W31" s="545"/>
      <c r="X31" s="545"/>
      <c r="Y31" s="446"/>
      <c r="Z31" s="446"/>
      <c r="AA31" s="446"/>
      <c r="AB31" s="497"/>
      <c r="AC31" s="497"/>
      <c r="AD31" s="497"/>
      <c r="AE31" s="497"/>
      <c r="AF31" s="497"/>
      <c r="AG31" s="497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</row>
    <row r="32" spans="1:52">
      <c r="A32" s="561" t="s">
        <v>46</v>
      </c>
      <c r="B32" s="458" t="s">
        <v>36</v>
      </c>
      <c r="C32" s="458" t="s">
        <v>47</v>
      </c>
      <c r="D32" s="446"/>
      <c r="E32" s="577"/>
      <c r="F32" s="540"/>
      <c r="G32" s="540"/>
      <c r="H32" s="540"/>
      <c r="I32" s="540"/>
      <c r="J32" s="578">
        <f t="shared" ref="J32:U32" si="3">+J28+J31</f>
        <v>0</v>
      </c>
      <c r="K32" s="578">
        <f t="shared" si="3"/>
        <v>0</v>
      </c>
      <c r="L32" s="578">
        <f t="shared" si="3"/>
        <v>520000</v>
      </c>
      <c r="M32" s="578">
        <f t="shared" si="3"/>
        <v>770000</v>
      </c>
      <c r="N32" s="578">
        <f t="shared" si="3"/>
        <v>1508647.6533333333</v>
      </c>
      <c r="O32" s="578">
        <f t="shared" si="3"/>
        <v>1957708.3333333333</v>
      </c>
      <c r="P32" s="578">
        <f t="shared" si="3"/>
        <v>1647708.3333333333</v>
      </c>
      <c r="Q32" s="578">
        <f t="shared" si="3"/>
        <v>5147708.333333333</v>
      </c>
      <c r="R32" s="505">
        <f t="shared" si="3"/>
        <v>8788644.0133333318</v>
      </c>
      <c r="S32" s="505">
        <f t="shared" si="3"/>
        <v>5163541.666666666</v>
      </c>
      <c r="T32" s="505">
        <f t="shared" si="3"/>
        <v>2063541.666666666</v>
      </c>
      <c r="U32" s="505">
        <f t="shared" si="3"/>
        <v>1999999.666666667</v>
      </c>
      <c r="V32" s="446"/>
      <c r="W32" s="545"/>
      <c r="X32" s="545"/>
      <c r="Y32" s="446"/>
      <c r="Z32" s="446"/>
      <c r="AA32" s="446"/>
      <c r="AB32" s="497"/>
      <c r="AC32" s="497"/>
      <c r="AD32" s="497"/>
      <c r="AE32" s="497"/>
      <c r="AF32" s="497"/>
      <c r="AG32" s="497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</row>
    <row r="33" spans="1:52">
      <c r="A33" s="446"/>
      <c r="B33" s="446"/>
      <c r="C33" s="446"/>
      <c r="D33" s="446"/>
      <c r="E33" s="565"/>
      <c r="F33" s="614"/>
      <c r="G33" s="614"/>
      <c r="H33" s="614"/>
      <c r="I33" s="614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45"/>
      <c r="X33" s="545"/>
      <c r="Y33" s="446"/>
      <c r="Z33" s="446"/>
      <c r="AA33" s="446"/>
      <c r="AB33" s="497"/>
      <c r="AC33" s="497"/>
      <c r="AD33" s="497"/>
      <c r="AE33" s="497"/>
      <c r="AF33" s="497"/>
      <c r="AG33" s="497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</row>
    <row r="34" spans="1:52" ht="15" customHeight="1">
      <c r="A34" s="561" t="s">
        <v>48</v>
      </c>
      <c r="B34" s="446"/>
      <c r="C34" s="446"/>
      <c r="D34" s="446"/>
      <c r="E34" s="565"/>
      <c r="F34" s="540"/>
      <c r="G34" s="540"/>
      <c r="H34" s="540"/>
      <c r="I34" s="540"/>
      <c r="J34" s="565"/>
      <c r="K34" s="565"/>
      <c r="L34" s="446"/>
      <c r="M34" s="446"/>
      <c r="N34" s="565"/>
      <c r="O34" s="580"/>
      <c r="P34" s="580"/>
      <c r="Q34" s="580"/>
      <c r="R34" s="580"/>
      <c r="S34" s="580"/>
      <c r="T34" s="580"/>
      <c r="U34" s="580"/>
      <c r="V34" s="565"/>
      <c r="W34" s="545"/>
      <c r="X34" s="545"/>
      <c r="Y34" s="497"/>
      <c r="Z34" s="497"/>
      <c r="AA34" s="497"/>
      <c r="AB34" s="497"/>
      <c r="AC34" s="497"/>
      <c r="AD34" s="497"/>
      <c r="AE34" s="497"/>
      <c r="AF34" s="497"/>
      <c r="AG34" s="497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</row>
    <row r="35" spans="1:52">
      <c r="A35" s="593" t="s">
        <v>981</v>
      </c>
      <c r="B35" s="458" t="s">
        <v>12</v>
      </c>
      <c r="C35" s="458" t="s">
        <v>982</v>
      </c>
      <c r="D35" s="458" t="s">
        <v>14</v>
      </c>
      <c r="E35" s="505"/>
      <c r="F35" s="446"/>
      <c r="G35" s="446"/>
      <c r="H35" s="446"/>
      <c r="I35" s="446"/>
      <c r="J35" s="524">
        <f>88442/4</f>
        <v>22110.5</v>
      </c>
      <c r="K35" s="524">
        <f>88442/4</f>
        <v>22110.5</v>
      </c>
      <c r="L35" s="524">
        <f>88442/4</f>
        <v>22110.5</v>
      </c>
      <c r="M35" s="524">
        <f>88442/4</f>
        <v>22110.5</v>
      </c>
      <c r="N35" s="524">
        <f>180000/4</f>
        <v>45000</v>
      </c>
      <c r="O35" s="524">
        <f>180000/4</f>
        <v>45000</v>
      </c>
      <c r="P35" s="524">
        <f>180000/4</f>
        <v>45000</v>
      </c>
      <c r="Q35" s="524">
        <f>180000/4</f>
        <v>45000</v>
      </c>
      <c r="R35" s="505">
        <v>180000</v>
      </c>
      <c r="S35" s="505">
        <v>180000</v>
      </c>
      <c r="T35" s="505">
        <v>180000</v>
      </c>
      <c r="U35" s="505">
        <v>180000</v>
      </c>
      <c r="V35" s="523" t="s">
        <v>15</v>
      </c>
      <c r="W35" s="505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</row>
    <row r="36" spans="1:52">
      <c r="A36" s="593" t="s">
        <v>983</v>
      </c>
      <c r="B36" s="458" t="s">
        <v>12</v>
      </c>
      <c r="C36" s="458" t="s">
        <v>984</v>
      </c>
      <c r="D36" s="458" t="s">
        <v>19</v>
      </c>
      <c r="E36" s="547">
        <v>667500</v>
      </c>
      <c r="F36" s="544"/>
      <c r="G36" s="544"/>
      <c r="H36" s="544"/>
      <c r="I36" s="544"/>
      <c r="J36" s="524">
        <f>91819/4</f>
        <v>22954.75</v>
      </c>
      <c r="K36" s="524">
        <f>91819/4</f>
        <v>22954.75</v>
      </c>
      <c r="L36" s="524">
        <f>91819/4</f>
        <v>22954.75</v>
      </c>
      <c r="M36" s="524">
        <f>91819/4</f>
        <v>22954.75</v>
      </c>
      <c r="N36" s="524">
        <f>240000/4</f>
        <v>60000</v>
      </c>
      <c r="O36" s="524">
        <f>240000/4</f>
        <v>60000</v>
      </c>
      <c r="P36" s="524">
        <f>240000/4</f>
        <v>60000</v>
      </c>
      <c r="Q36" s="524">
        <f>240000/4</f>
        <v>60000</v>
      </c>
      <c r="R36" s="505">
        <v>240000</v>
      </c>
      <c r="S36" s="505">
        <v>240000</v>
      </c>
      <c r="T36" s="505">
        <v>240000</v>
      </c>
      <c r="U36" s="505">
        <v>240000</v>
      </c>
      <c r="V36" s="505"/>
      <c r="W36" s="505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</row>
    <row r="37" spans="1:52">
      <c r="A37" s="593" t="s">
        <v>985</v>
      </c>
      <c r="B37" s="458" t="s">
        <v>12</v>
      </c>
      <c r="C37" s="458" t="s">
        <v>982</v>
      </c>
      <c r="D37" s="458" t="s">
        <v>24</v>
      </c>
      <c r="E37" s="505"/>
      <c r="F37" s="544"/>
      <c r="G37" s="544"/>
      <c r="H37" s="544"/>
      <c r="I37" s="544"/>
      <c r="J37" s="524">
        <f>200000/4*0</f>
        <v>0</v>
      </c>
      <c r="K37" s="524">
        <f>200000/4*0</f>
        <v>0</v>
      </c>
      <c r="L37" s="524">
        <f>200000/4*0</f>
        <v>0</v>
      </c>
      <c r="M37" s="524">
        <f>200000/4*0</f>
        <v>0</v>
      </c>
      <c r="N37" s="524">
        <f>200000/4</f>
        <v>50000</v>
      </c>
      <c r="O37" s="524">
        <f>400000/4</f>
        <v>100000</v>
      </c>
      <c r="P37" s="524">
        <f>200000/4</f>
        <v>50000</v>
      </c>
      <c r="Q37" s="524">
        <f>200000/4</f>
        <v>50000</v>
      </c>
      <c r="R37" s="505">
        <v>200000</v>
      </c>
      <c r="S37" s="505">
        <v>200000</v>
      </c>
      <c r="T37" s="505">
        <v>200000</v>
      </c>
      <c r="U37" s="505">
        <v>200000</v>
      </c>
      <c r="V37" s="505"/>
      <c r="W37" s="505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</row>
    <row r="38" spans="1:52">
      <c r="A38" s="593" t="s">
        <v>986</v>
      </c>
      <c r="B38" s="458" t="s">
        <v>12</v>
      </c>
      <c r="C38" s="458" t="s">
        <v>982</v>
      </c>
      <c r="D38" s="458" t="s">
        <v>29</v>
      </c>
      <c r="E38" s="505"/>
      <c r="F38" s="544"/>
      <c r="G38" s="544"/>
      <c r="H38" s="544"/>
      <c r="I38" s="544"/>
      <c r="J38" s="524">
        <v>0</v>
      </c>
      <c r="K38" s="524">
        <v>0</v>
      </c>
      <c r="L38" s="524">
        <v>0</v>
      </c>
      <c r="M38" s="524">
        <v>0</v>
      </c>
      <c r="N38" s="524">
        <v>0</v>
      </c>
      <c r="O38" s="524">
        <f>180000/4</f>
        <v>45000</v>
      </c>
      <c r="P38" s="524">
        <f>180000/4</f>
        <v>45000</v>
      </c>
      <c r="Q38" s="524">
        <f>+P38</f>
        <v>45000</v>
      </c>
      <c r="R38" s="505">
        <v>180000</v>
      </c>
      <c r="S38" s="505">
        <v>180000</v>
      </c>
      <c r="T38" s="505">
        <v>180000</v>
      </c>
      <c r="U38" s="505">
        <v>180000</v>
      </c>
      <c r="V38" s="505"/>
      <c r="W38" s="505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</row>
    <row r="39" spans="1:52">
      <c r="A39" s="593" t="s">
        <v>987</v>
      </c>
      <c r="B39" s="458" t="s">
        <v>12</v>
      </c>
      <c r="C39" s="458" t="s">
        <v>988</v>
      </c>
      <c r="D39" s="458" t="s">
        <v>29</v>
      </c>
      <c r="E39" s="505"/>
      <c r="F39" s="544"/>
      <c r="G39" s="544"/>
      <c r="H39" s="544"/>
      <c r="I39" s="544"/>
      <c r="J39" s="524">
        <v>0</v>
      </c>
      <c r="K39" s="524">
        <v>0</v>
      </c>
      <c r="L39" s="524">
        <v>0</v>
      </c>
      <c r="M39" s="524">
        <v>0</v>
      </c>
      <c r="N39" s="524">
        <v>0</v>
      </c>
      <c r="O39" s="524">
        <v>0</v>
      </c>
      <c r="P39" s="524">
        <v>0</v>
      </c>
      <c r="Q39" s="524">
        <v>0</v>
      </c>
      <c r="R39" s="505">
        <v>0</v>
      </c>
      <c r="S39" s="505">
        <v>0</v>
      </c>
      <c r="T39" s="505">
        <v>200000</v>
      </c>
      <c r="U39" s="505">
        <v>206000</v>
      </c>
      <c r="V39" s="505"/>
      <c r="W39" s="505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</row>
    <row r="40" spans="1:52">
      <c r="A40" s="593" t="s">
        <v>989</v>
      </c>
      <c r="B40" s="458" t="s">
        <v>12</v>
      </c>
      <c r="C40" s="458" t="s">
        <v>982</v>
      </c>
      <c r="D40" s="458" t="s">
        <v>27</v>
      </c>
      <c r="E40" s="505"/>
      <c r="F40" s="544"/>
      <c r="G40" s="544"/>
      <c r="H40" s="544"/>
      <c r="I40" s="544"/>
      <c r="J40" s="524"/>
      <c r="K40" s="524">
        <f>108000/4*0</f>
        <v>0</v>
      </c>
      <c r="L40" s="524">
        <f>108000/4*0</f>
        <v>0</v>
      </c>
      <c r="M40" s="524">
        <f>108000/4*0</f>
        <v>0</v>
      </c>
      <c r="N40" s="524">
        <f>108000/4</f>
        <v>27000</v>
      </c>
      <c r="O40" s="524">
        <f>+N40</f>
        <v>27000</v>
      </c>
      <c r="P40" s="524">
        <f>+O40</f>
        <v>27000</v>
      </c>
      <c r="Q40" s="524">
        <f>+P40</f>
        <v>27000</v>
      </c>
      <c r="R40" s="505">
        <v>108000</v>
      </c>
      <c r="S40" s="505">
        <v>108000</v>
      </c>
      <c r="T40" s="505">
        <v>108000</v>
      </c>
      <c r="U40" s="505">
        <v>108000</v>
      </c>
      <c r="V40" s="505"/>
      <c r="W40" s="505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</row>
    <row r="41" spans="1:52" s="417" customFormat="1">
      <c r="A41" s="593" t="s">
        <v>990</v>
      </c>
      <c r="B41" s="548" t="s">
        <v>12</v>
      </c>
      <c r="C41" s="546" t="s">
        <v>988</v>
      </c>
      <c r="D41" s="548" t="s">
        <v>27</v>
      </c>
      <c r="E41" s="505"/>
      <c r="F41" s="540"/>
      <c r="G41" s="540"/>
      <c r="H41" s="540"/>
      <c r="I41" s="540"/>
      <c r="J41" s="524">
        <v>0</v>
      </c>
      <c r="K41" s="524">
        <v>0</v>
      </c>
      <c r="L41" s="524">
        <v>50400</v>
      </c>
      <c r="M41" s="524">
        <v>12500</v>
      </c>
      <c r="N41" s="524">
        <v>12500</v>
      </c>
      <c r="O41" s="524">
        <v>12500</v>
      </c>
      <c r="P41" s="524">
        <v>12500</v>
      </c>
      <c r="Q41" s="524"/>
      <c r="R41" s="505"/>
      <c r="S41" s="505"/>
      <c r="T41" s="505"/>
      <c r="U41" s="505"/>
      <c r="V41" s="505"/>
      <c r="W41" s="505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</row>
    <row r="42" spans="1:52" s="417" customFormat="1">
      <c r="A42" s="593" t="s">
        <v>991</v>
      </c>
      <c r="B42" s="548" t="s">
        <v>12</v>
      </c>
      <c r="C42" s="546" t="s">
        <v>988</v>
      </c>
      <c r="D42" s="548" t="s">
        <v>14</v>
      </c>
      <c r="E42" s="505"/>
      <c r="F42" s="544"/>
      <c r="G42" s="544"/>
      <c r="H42" s="544"/>
      <c r="I42" s="544"/>
      <c r="J42" s="524">
        <v>57077.25</v>
      </c>
      <c r="K42" s="524">
        <v>57077.25</v>
      </c>
      <c r="L42" s="524">
        <v>57077.25</v>
      </c>
      <c r="M42" s="524">
        <v>57077.25</v>
      </c>
      <c r="N42" s="524">
        <v>72879</v>
      </c>
      <c r="O42" s="524">
        <v>72879</v>
      </c>
      <c r="P42" s="524">
        <v>72879</v>
      </c>
      <c r="Q42" s="524">
        <v>72879</v>
      </c>
      <c r="R42" s="505">
        <v>300261.48</v>
      </c>
      <c r="S42" s="505">
        <v>309269.32439999998</v>
      </c>
      <c r="T42" s="505">
        <v>318547.404132</v>
      </c>
      <c r="U42" s="505">
        <v>328103.82625595998</v>
      </c>
      <c r="V42" s="505"/>
      <c r="W42" s="505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</row>
    <row r="43" spans="1:52" s="417" customFormat="1">
      <c r="A43" s="593" t="s">
        <v>992</v>
      </c>
      <c r="B43" s="548" t="s">
        <v>12</v>
      </c>
      <c r="C43" s="546" t="s">
        <v>988</v>
      </c>
      <c r="D43" s="548" t="s">
        <v>19</v>
      </c>
      <c r="E43" s="505"/>
      <c r="F43" s="544"/>
      <c r="G43" s="544"/>
      <c r="H43" s="544"/>
      <c r="I43" s="544"/>
      <c r="J43" s="524">
        <v>49547.75</v>
      </c>
      <c r="K43" s="524">
        <v>49547.75</v>
      </c>
      <c r="L43" s="524">
        <v>49547.75</v>
      </c>
      <c r="M43" s="524">
        <v>49547.75</v>
      </c>
      <c r="N43" s="524">
        <v>63543</v>
      </c>
      <c r="O43" s="524">
        <v>63543</v>
      </c>
      <c r="P43" s="524">
        <v>63543</v>
      </c>
      <c r="Q43" s="524">
        <v>63543</v>
      </c>
      <c r="R43" s="505">
        <v>261797.16</v>
      </c>
      <c r="S43" s="505">
        <v>269651.0748</v>
      </c>
      <c r="T43" s="505">
        <v>277740.607044</v>
      </c>
      <c r="U43" s="505">
        <v>286072.82525532</v>
      </c>
      <c r="V43" s="505"/>
      <c r="W43" s="505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</row>
    <row r="44" spans="1:52" s="30" customFormat="1">
      <c r="A44" s="593" t="s">
        <v>32</v>
      </c>
      <c r="B44" s="447"/>
      <c r="C44" s="448"/>
      <c r="D44" s="447"/>
      <c r="E44" s="505"/>
      <c r="F44" s="544"/>
      <c r="G44" s="544"/>
      <c r="H44" s="544"/>
      <c r="I44" s="544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</row>
    <row r="45" spans="1:52">
      <c r="A45" s="593" t="s">
        <v>30</v>
      </c>
      <c r="B45" s="458" t="s">
        <v>12</v>
      </c>
      <c r="C45" s="458" t="s">
        <v>980</v>
      </c>
      <c r="D45" s="458" t="s">
        <v>31</v>
      </c>
      <c r="E45" s="505"/>
      <c r="F45" s="544"/>
      <c r="G45" s="544"/>
      <c r="H45" s="544"/>
      <c r="I45" s="544"/>
      <c r="J45" s="524"/>
      <c r="K45" s="524"/>
      <c r="L45" s="524"/>
      <c r="M45" s="524"/>
      <c r="N45" s="524"/>
      <c r="O45" s="524"/>
      <c r="P45" s="524"/>
      <c r="Q45" s="524"/>
      <c r="R45" s="505">
        <f>240000*0.5</f>
        <v>120000</v>
      </c>
      <c r="S45" s="505">
        <f>240000*0.75</f>
        <v>180000</v>
      </c>
      <c r="T45" s="505">
        <v>240000</v>
      </c>
      <c r="U45" s="505">
        <v>240000</v>
      </c>
      <c r="V45" s="505"/>
      <c r="W45" s="505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</row>
    <row r="46" spans="1:52" s="30" customFormat="1">
      <c r="A46" s="572" t="s">
        <v>55</v>
      </c>
      <c r="B46" s="548" t="s">
        <v>36</v>
      </c>
      <c r="C46" s="546" t="s">
        <v>56</v>
      </c>
      <c r="D46" s="447"/>
      <c r="E46" s="565"/>
      <c r="F46" s="544"/>
      <c r="G46" s="544"/>
      <c r="H46" s="544"/>
      <c r="I46" s="544"/>
      <c r="J46" s="573">
        <f t="shared" ref="J46:U46" si="4">SUM(J35:J45)</f>
        <v>151690.25</v>
      </c>
      <c r="K46" s="573">
        <f t="shared" si="4"/>
        <v>151690.25</v>
      </c>
      <c r="L46" s="573">
        <f t="shared" si="4"/>
        <v>202090.25</v>
      </c>
      <c r="M46" s="573">
        <f t="shared" si="4"/>
        <v>164190.25</v>
      </c>
      <c r="N46" s="573">
        <f t="shared" si="4"/>
        <v>330922</v>
      </c>
      <c r="O46" s="573">
        <f t="shared" si="4"/>
        <v>425922</v>
      </c>
      <c r="P46" s="573">
        <f t="shared" si="4"/>
        <v>375922</v>
      </c>
      <c r="Q46" s="573">
        <f t="shared" si="4"/>
        <v>363422</v>
      </c>
      <c r="R46" s="565">
        <f t="shared" si="4"/>
        <v>1590058.64</v>
      </c>
      <c r="S46" s="565">
        <f t="shared" si="4"/>
        <v>1666920.3992000001</v>
      </c>
      <c r="T46" s="565">
        <f t="shared" si="4"/>
        <v>1944288.0111759999</v>
      </c>
      <c r="U46" s="565">
        <f t="shared" si="4"/>
        <v>1968176.6515112799</v>
      </c>
      <c r="V46" s="565"/>
      <c r="W46" s="446"/>
      <c r="X46" s="446"/>
      <c r="Y46" s="446"/>
      <c r="Z46" s="446"/>
      <c r="AA46" s="446"/>
      <c r="AB46" s="446"/>
      <c r="AC46" s="446"/>
      <c r="AD46" s="505"/>
      <c r="AE46" s="505"/>
      <c r="AF46" s="505"/>
      <c r="AG46" s="505"/>
      <c r="AH46" s="505"/>
      <c r="AI46" s="505"/>
      <c r="AJ46" s="505"/>
      <c r="AK46" s="446"/>
      <c r="AL46" s="505"/>
      <c r="AM46" s="505"/>
      <c r="AN46" s="505"/>
      <c r="AO46" s="505"/>
      <c r="AP46" s="505"/>
      <c r="AQ46" s="505"/>
      <c r="AR46" s="505"/>
      <c r="AS46" s="446"/>
      <c r="AT46" s="446"/>
      <c r="AU46" s="446"/>
      <c r="AV46" s="446"/>
      <c r="AW46" s="446"/>
      <c r="AX46" s="446"/>
      <c r="AY46" s="446"/>
      <c r="AZ46" s="446"/>
    </row>
    <row r="47" spans="1:52" ht="15" customHeight="1">
      <c r="A47" s="446"/>
      <c r="B47" s="446"/>
      <c r="C47" s="446"/>
      <c r="D47" s="446"/>
      <c r="E47" s="565"/>
      <c r="F47" s="544"/>
      <c r="G47" s="544"/>
      <c r="H47" s="544"/>
      <c r="I47" s="544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45"/>
      <c r="X47" s="545"/>
      <c r="Y47" s="446"/>
      <c r="Z47" s="446"/>
      <c r="AA47" s="446"/>
      <c r="AB47" s="497"/>
      <c r="AC47" s="497"/>
      <c r="AD47" s="497"/>
      <c r="AE47" s="497"/>
      <c r="AF47" s="497"/>
      <c r="AG47" s="497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</row>
    <row r="48" spans="1:52">
      <c r="A48" s="594" t="s">
        <v>38</v>
      </c>
      <c r="B48" s="458" t="s">
        <v>12</v>
      </c>
      <c r="C48" s="446"/>
      <c r="D48" s="446"/>
      <c r="E48" s="565"/>
      <c r="F48" s="544"/>
      <c r="G48" s="544"/>
      <c r="H48" s="544"/>
      <c r="I48" s="544"/>
      <c r="J48" s="564">
        <f>-J36</f>
        <v>-22954.75</v>
      </c>
      <c r="K48" s="564">
        <f>-K36</f>
        <v>-22954.75</v>
      </c>
      <c r="L48" s="564">
        <f>-L36</f>
        <v>-22954.75</v>
      </c>
      <c r="M48" s="564">
        <f>-M36</f>
        <v>-22954.75</v>
      </c>
      <c r="N48" s="564">
        <v>-194500</v>
      </c>
      <c r="O48" s="564"/>
      <c r="P48" s="564"/>
      <c r="Q48" s="564"/>
      <c r="R48" s="565"/>
      <c r="S48" s="565"/>
      <c r="T48" s="565"/>
      <c r="U48" s="565">
        <v>0</v>
      </c>
      <c r="V48" s="546" t="s">
        <v>15</v>
      </c>
      <c r="W48" s="545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595"/>
      <c r="AI48" s="595"/>
      <c r="AJ48" s="595"/>
      <c r="AK48" s="595"/>
      <c r="AL48" s="596"/>
      <c r="AM48" s="634"/>
      <c r="AN48" s="635"/>
      <c r="AO48" s="635"/>
      <c r="AP48" s="635"/>
      <c r="AQ48" s="635"/>
      <c r="AR48" s="635"/>
      <c r="AS48" s="446"/>
      <c r="AT48" s="634"/>
      <c r="AU48" s="635"/>
      <c r="AV48" s="635"/>
      <c r="AW48" s="635"/>
      <c r="AX48" s="635"/>
      <c r="AY48" s="635"/>
      <c r="AZ48" s="635"/>
    </row>
    <row r="49" spans="1:52" ht="15" customHeight="1">
      <c r="A49" s="594" t="s">
        <v>993</v>
      </c>
      <c r="B49" s="458" t="s">
        <v>12</v>
      </c>
      <c r="C49" s="458" t="s">
        <v>59</v>
      </c>
      <c r="D49" s="446"/>
      <c r="E49" s="565"/>
      <c r="F49" s="565"/>
      <c r="G49" s="565"/>
      <c r="H49" s="565"/>
      <c r="I49" s="565"/>
      <c r="J49" s="564"/>
      <c r="K49" s="564"/>
      <c r="L49" s="564"/>
      <c r="M49" s="564"/>
      <c r="N49" s="564"/>
      <c r="O49" s="564"/>
      <c r="P49" s="564">
        <v>91819</v>
      </c>
      <c r="Q49" s="564">
        <v>194500</v>
      </c>
      <c r="R49" s="565">
        <f>-Q48</f>
        <v>0</v>
      </c>
      <c r="S49" s="565">
        <f>-R48</f>
        <v>0</v>
      </c>
      <c r="T49" s="565">
        <f>-S48</f>
        <v>0</v>
      </c>
      <c r="U49" s="565">
        <f>-T48</f>
        <v>0</v>
      </c>
      <c r="V49" s="448"/>
      <c r="W49" s="545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595"/>
      <c r="AI49" s="595"/>
      <c r="AJ49" s="595"/>
      <c r="AK49" s="595"/>
      <c r="AL49" s="596"/>
      <c r="AM49" s="471"/>
      <c r="AN49" s="471"/>
      <c r="AO49" s="471"/>
      <c r="AP49" s="471"/>
      <c r="AQ49" s="471"/>
      <c r="AR49" s="471"/>
      <c r="AS49" s="446"/>
      <c r="AT49" s="471"/>
      <c r="AU49" s="471"/>
      <c r="AV49" s="471"/>
      <c r="AW49" s="471"/>
      <c r="AX49" s="471"/>
      <c r="AY49" s="471"/>
      <c r="AZ49" s="471"/>
    </row>
    <row r="50" spans="1:52">
      <c r="A50" s="561" t="s">
        <v>60</v>
      </c>
      <c r="B50" s="458" t="s">
        <v>36</v>
      </c>
      <c r="C50" s="458" t="s">
        <v>61</v>
      </c>
      <c r="D50" s="446"/>
      <c r="E50" s="565"/>
      <c r="F50" s="565"/>
      <c r="G50" s="565"/>
      <c r="H50" s="565"/>
      <c r="I50" s="565"/>
      <c r="J50" s="573">
        <f>+J48+E50+J49</f>
        <v>-22954.75</v>
      </c>
      <c r="K50" s="573">
        <f t="shared" ref="K50:U50" si="5">+K48+J50+K49</f>
        <v>-45909.5</v>
      </c>
      <c r="L50" s="573">
        <f t="shared" si="5"/>
        <v>-68864.25</v>
      </c>
      <c r="M50" s="573">
        <f t="shared" si="5"/>
        <v>-91819</v>
      </c>
      <c r="N50" s="573">
        <f t="shared" si="5"/>
        <v>-286319</v>
      </c>
      <c r="O50" s="573">
        <f t="shared" si="5"/>
        <v>-286319</v>
      </c>
      <c r="P50" s="573">
        <f t="shared" si="5"/>
        <v>-194500</v>
      </c>
      <c r="Q50" s="573">
        <f t="shared" si="5"/>
        <v>0</v>
      </c>
      <c r="R50" s="565">
        <f t="shared" si="5"/>
        <v>0</v>
      </c>
      <c r="S50" s="565">
        <f t="shared" si="5"/>
        <v>0</v>
      </c>
      <c r="T50" s="565">
        <f t="shared" si="5"/>
        <v>0</v>
      </c>
      <c r="U50" s="565">
        <f t="shared" si="5"/>
        <v>0</v>
      </c>
      <c r="V50" s="565"/>
      <c r="W50" s="545"/>
      <c r="X50" s="545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</row>
    <row r="51" spans="1:52">
      <c r="A51" s="446"/>
      <c r="B51" s="446"/>
      <c r="C51" s="446"/>
      <c r="D51" s="446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45"/>
      <c r="X51" s="545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</row>
    <row r="52" spans="1:52" s="30" customFormat="1">
      <c r="A52" s="561" t="s">
        <v>62</v>
      </c>
      <c r="B52" s="548" t="s">
        <v>36</v>
      </c>
      <c r="C52" s="546" t="s">
        <v>63</v>
      </c>
      <c r="D52" s="447"/>
      <c r="E52" s="597"/>
      <c r="F52" s="565"/>
      <c r="G52" s="565"/>
      <c r="H52" s="565"/>
      <c r="I52" s="565"/>
      <c r="J52" s="582">
        <f t="shared" ref="J52:U52" si="6">+J46+J48</f>
        <v>128735.5</v>
      </c>
      <c r="K52" s="578">
        <f t="shared" si="6"/>
        <v>128735.5</v>
      </c>
      <c r="L52" s="578">
        <f t="shared" si="6"/>
        <v>179135.5</v>
      </c>
      <c r="M52" s="578">
        <f t="shared" si="6"/>
        <v>141235.5</v>
      </c>
      <c r="N52" s="578">
        <f t="shared" si="6"/>
        <v>136422</v>
      </c>
      <c r="O52" s="578">
        <f t="shared" si="6"/>
        <v>425922</v>
      </c>
      <c r="P52" s="578">
        <f t="shared" si="6"/>
        <v>375922</v>
      </c>
      <c r="Q52" s="578">
        <f t="shared" si="6"/>
        <v>363422</v>
      </c>
      <c r="R52" s="497">
        <f t="shared" si="6"/>
        <v>1590058.64</v>
      </c>
      <c r="S52" s="497">
        <f t="shared" si="6"/>
        <v>1666920.3992000001</v>
      </c>
      <c r="T52" s="505">
        <f t="shared" si="6"/>
        <v>1944288.0111759999</v>
      </c>
      <c r="U52" s="505">
        <f t="shared" si="6"/>
        <v>1968176.6515112799</v>
      </c>
      <c r="V52" s="565"/>
      <c r="W52" s="446"/>
      <c r="X52" s="446"/>
      <c r="Y52" s="446"/>
      <c r="Z52" s="446"/>
      <c r="AA52" s="446"/>
      <c r="AB52" s="446"/>
      <c r="AC52" s="446"/>
      <c r="AD52" s="505"/>
      <c r="AE52" s="505"/>
      <c r="AF52" s="505"/>
      <c r="AG52" s="505"/>
      <c r="AH52" s="505"/>
      <c r="AI52" s="505"/>
      <c r="AJ52" s="505"/>
      <c r="AK52" s="446"/>
      <c r="AL52" s="505"/>
      <c r="AM52" s="505"/>
      <c r="AN52" s="505"/>
      <c r="AO52" s="505"/>
      <c r="AP52" s="505"/>
      <c r="AQ52" s="505"/>
      <c r="AR52" s="505"/>
      <c r="AS52" s="446"/>
      <c r="AT52" s="446"/>
      <c r="AU52" s="446"/>
      <c r="AV52" s="446"/>
      <c r="AW52" s="446"/>
      <c r="AX52" s="446"/>
      <c r="AY52" s="446"/>
      <c r="AZ52" s="446"/>
    </row>
    <row r="53" spans="1:52" s="30" customFormat="1">
      <c r="A53" s="561" t="s">
        <v>64</v>
      </c>
      <c r="B53" s="548" t="s">
        <v>36</v>
      </c>
      <c r="C53" s="546" t="s">
        <v>65</v>
      </c>
      <c r="D53" s="447"/>
      <c r="E53" s="577"/>
      <c r="F53" s="565"/>
      <c r="G53" s="565"/>
      <c r="H53" s="565"/>
      <c r="I53" s="565"/>
      <c r="J53" s="578">
        <f t="shared" ref="J53:U53" si="7">+J49+J52</f>
        <v>128735.5</v>
      </c>
      <c r="K53" s="578">
        <f t="shared" si="7"/>
        <v>128735.5</v>
      </c>
      <c r="L53" s="578">
        <f t="shared" si="7"/>
        <v>179135.5</v>
      </c>
      <c r="M53" s="578">
        <f t="shared" si="7"/>
        <v>141235.5</v>
      </c>
      <c r="N53" s="578">
        <f t="shared" si="7"/>
        <v>136422</v>
      </c>
      <c r="O53" s="578">
        <f t="shared" si="7"/>
        <v>425922</v>
      </c>
      <c r="P53" s="578">
        <f t="shared" si="7"/>
        <v>467741</v>
      </c>
      <c r="Q53" s="578">
        <f t="shared" si="7"/>
        <v>557922</v>
      </c>
      <c r="R53" s="505">
        <f t="shared" si="7"/>
        <v>1590058.64</v>
      </c>
      <c r="S53" s="505">
        <f t="shared" si="7"/>
        <v>1666920.3992000001</v>
      </c>
      <c r="T53" s="505">
        <f t="shared" si="7"/>
        <v>1944288.0111759999</v>
      </c>
      <c r="U53" s="505">
        <f t="shared" si="7"/>
        <v>1968176.6515112799</v>
      </c>
      <c r="V53" s="565"/>
      <c r="W53" s="446"/>
      <c r="X53" s="446"/>
      <c r="Y53" s="446"/>
      <c r="Z53" s="446"/>
      <c r="AA53" s="446"/>
      <c r="AB53" s="446"/>
      <c r="AC53" s="446"/>
      <c r="AD53" s="505"/>
      <c r="AE53" s="505"/>
      <c r="AF53" s="505"/>
      <c r="AG53" s="505"/>
      <c r="AH53" s="505"/>
      <c r="AI53" s="505"/>
      <c r="AJ53" s="505"/>
      <c r="AK53" s="446"/>
      <c r="AL53" s="505"/>
      <c r="AM53" s="505"/>
      <c r="AN53" s="505"/>
      <c r="AO53" s="505"/>
      <c r="AP53" s="505"/>
      <c r="AQ53" s="505"/>
      <c r="AR53" s="505"/>
      <c r="AS53" s="446"/>
      <c r="AT53" s="446"/>
      <c r="AU53" s="446"/>
      <c r="AV53" s="446"/>
      <c r="AW53" s="446"/>
      <c r="AX53" s="446"/>
      <c r="AY53" s="446"/>
      <c r="AZ53" s="446"/>
    </row>
    <row r="54" spans="1:52">
      <c r="A54" s="446"/>
      <c r="B54" s="446"/>
      <c r="C54" s="446"/>
      <c r="D54" s="446"/>
      <c r="E54" s="565"/>
      <c r="F54" s="446"/>
      <c r="G54" s="446"/>
      <c r="H54" s="446"/>
      <c r="I54" s="446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446"/>
      <c r="W54" s="545"/>
      <c r="X54" s="545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</row>
    <row r="55" spans="1:52">
      <c r="A55" s="561" t="s">
        <v>66</v>
      </c>
      <c r="B55" s="446"/>
      <c r="C55" s="446"/>
      <c r="D55" s="446"/>
      <c r="E55" s="565"/>
      <c r="F55" s="446"/>
      <c r="G55" s="446"/>
      <c r="H55" s="446"/>
      <c r="I55" s="446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446"/>
      <c r="W55" s="545"/>
      <c r="X55" s="545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</row>
    <row r="56" spans="1:52">
      <c r="A56" s="561" t="s">
        <v>68</v>
      </c>
      <c r="B56" s="458" t="s">
        <v>36</v>
      </c>
      <c r="C56" s="458" t="s">
        <v>69</v>
      </c>
      <c r="D56" s="446"/>
      <c r="E56" s="583"/>
      <c r="F56" s="446"/>
      <c r="G56" s="446"/>
      <c r="H56" s="446"/>
      <c r="I56" s="446"/>
      <c r="J56" s="584">
        <f>1/(1-'c12_inputs'!$E$7)</f>
        <v>1.0526315789473684</v>
      </c>
      <c r="K56" s="584">
        <f>1/(1-'c12_inputs'!$E$7)</f>
        <v>1.0526315789473684</v>
      </c>
      <c r="L56" s="584">
        <f>1/(1-'c12_inputs'!$E$7)</f>
        <v>1.0526315789473684</v>
      </c>
      <c r="M56" s="584">
        <f>1/(1-'c12_inputs'!$E$7)</f>
        <v>1.0526315789473684</v>
      </c>
      <c r="N56" s="584">
        <f>1/(1-'c12_inputs'!$E$7)</f>
        <v>1.0526315789473684</v>
      </c>
      <c r="O56" s="584">
        <f>1/(1-'c12_inputs'!$E$7)</f>
        <v>1.0526315789473684</v>
      </c>
      <c r="P56" s="584">
        <f>1/(1-'c12_inputs'!$E$7)</f>
        <v>1.0526315789473684</v>
      </c>
      <c r="Q56" s="584">
        <f>1/(1-'c12_inputs'!$E$7)</f>
        <v>1.0526315789473684</v>
      </c>
      <c r="R56" s="583">
        <f>1/(1-'c12_inputs'!$E$7)</f>
        <v>1.0526315789473684</v>
      </c>
      <c r="S56" s="583">
        <f>1/(1-'c12_inputs'!$E$7)</f>
        <v>1.0526315789473684</v>
      </c>
      <c r="T56" s="583">
        <f>1/(1-'c12_inputs'!$E$7)</f>
        <v>1.0526315789473684</v>
      </c>
      <c r="U56" s="583">
        <f>1/(1-'c12_inputs'!$E$7)</f>
        <v>1.0526315789473684</v>
      </c>
      <c r="V56" s="565"/>
      <c r="W56" s="545"/>
      <c r="X56" s="545"/>
      <c r="Y56" s="446"/>
      <c r="Z56" s="446"/>
      <c r="AA56" s="446"/>
      <c r="AB56" s="497"/>
      <c r="AC56" s="497"/>
      <c r="AD56" s="497"/>
      <c r="AE56" s="497"/>
      <c r="AF56" s="497"/>
      <c r="AG56" s="497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</row>
    <row r="57" spans="1:52">
      <c r="A57" s="561" t="s">
        <v>70</v>
      </c>
      <c r="B57" s="458" t="s">
        <v>36</v>
      </c>
      <c r="C57" s="458" t="s">
        <v>71</v>
      </c>
      <c r="D57" s="446"/>
      <c r="E57" s="505"/>
      <c r="F57" s="446"/>
      <c r="G57" s="446"/>
      <c r="H57" s="446"/>
      <c r="I57" s="446"/>
      <c r="J57" s="585">
        <f t="shared" ref="J57:U57" si="8">J78</f>
        <v>84959.999999999985</v>
      </c>
      <c r="K57" s="585">
        <f t="shared" si="8"/>
        <v>84959.999999999985</v>
      </c>
      <c r="L57" s="585">
        <f t="shared" si="8"/>
        <v>84959.999999999985</v>
      </c>
      <c r="M57" s="585">
        <f t="shared" si="8"/>
        <v>123922.5</v>
      </c>
      <c r="N57" s="585">
        <f t="shared" si="8"/>
        <v>85679.999999999985</v>
      </c>
      <c r="O57" s="585">
        <f t="shared" si="8"/>
        <v>85679.999999999985</v>
      </c>
      <c r="P57" s="585">
        <f t="shared" si="8"/>
        <v>85679.999999999985</v>
      </c>
      <c r="Q57" s="585">
        <f t="shared" si="8"/>
        <v>116849.99999999997</v>
      </c>
      <c r="R57" s="505">
        <f t="shared" si="8"/>
        <v>373889.99999999994</v>
      </c>
      <c r="S57" s="505">
        <f t="shared" si="8"/>
        <v>373889.99999999994</v>
      </c>
      <c r="T57" s="505">
        <f t="shared" si="8"/>
        <v>373889.99999999994</v>
      </c>
      <c r="U57" s="505">
        <f t="shared" si="8"/>
        <v>373889.99999999994</v>
      </c>
      <c r="V57" s="565"/>
      <c r="W57" s="545"/>
      <c r="X57" s="545"/>
      <c r="Y57" s="446"/>
      <c r="Z57" s="446"/>
      <c r="AA57" s="446"/>
      <c r="AB57" s="497"/>
      <c r="AC57" s="497"/>
      <c r="AD57" s="497"/>
      <c r="AE57" s="497"/>
      <c r="AF57" s="497"/>
      <c r="AG57" s="497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</row>
    <row r="58" spans="1:52" s="30" customFormat="1">
      <c r="A58" s="572" t="s">
        <v>994</v>
      </c>
      <c r="B58" s="548" t="s">
        <v>36</v>
      </c>
      <c r="C58" s="546" t="s">
        <v>73</v>
      </c>
      <c r="D58" s="447"/>
      <c r="E58" s="565"/>
      <c r="F58" s="446"/>
      <c r="G58" s="446"/>
      <c r="H58" s="446"/>
      <c r="I58" s="446"/>
      <c r="J58" s="573">
        <f t="shared" ref="J58:U58" si="9">J57*J56</f>
        <v>89431.578947368398</v>
      </c>
      <c r="K58" s="573">
        <f t="shared" si="9"/>
        <v>89431.578947368398</v>
      </c>
      <c r="L58" s="573">
        <f t="shared" si="9"/>
        <v>89431.578947368398</v>
      </c>
      <c r="M58" s="573">
        <f t="shared" si="9"/>
        <v>130444.73684210525</v>
      </c>
      <c r="N58" s="573">
        <f t="shared" si="9"/>
        <v>90189.473684210505</v>
      </c>
      <c r="O58" s="573">
        <f t="shared" si="9"/>
        <v>90189.473684210505</v>
      </c>
      <c r="P58" s="573">
        <f t="shared" si="9"/>
        <v>90189.473684210505</v>
      </c>
      <c r="Q58" s="573">
        <f t="shared" si="9"/>
        <v>122999.99999999996</v>
      </c>
      <c r="R58" s="565">
        <f t="shared" si="9"/>
        <v>393568.42105263151</v>
      </c>
      <c r="S58" s="565">
        <f t="shared" si="9"/>
        <v>393568.42105263151</v>
      </c>
      <c r="T58" s="565">
        <f t="shared" si="9"/>
        <v>393568.42105263151</v>
      </c>
      <c r="U58" s="565">
        <f t="shared" si="9"/>
        <v>393568.42105263151</v>
      </c>
      <c r="V58" s="565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91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</row>
    <row r="59" spans="1:52" s="30" customFormat="1" ht="15" thickBot="1">
      <c r="A59" s="551"/>
      <c r="B59" s="447"/>
      <c r="C59" s="448"/>
      <c r="D59" s="447"/>
      <c r="E59" s="565"/>
      <c r="F59" s="446"/>
      <c r="G59" s="446"/>
      <c r="H59" s="446"/>
      <c r="I59" s="446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91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</row>
    <row r="60" spans="1:52" s="422" customFormat="1" ht="15.5" thickTop="1" thickBot="1">
      <c r="A60" s="572" t="s">
        <v>995</v>
      </c>
      <c r="B60" s="548" t="s">
        <v>36</v>
      </c>
      <c r="C60" s="546" t="s">
        <v>996</v>
      </c>
      <c r="D60" s="447"/>
      <c r="E60" s="586"/>
      <c r="F60" s="446"/>
      <c r="G60" s="446"/>
      <c r="H60" s="446"/>
      <c r="I60" s="446"/>
      <c r="J60" s="587">
        <f t="shared" ref="J60:U60" si="10">+J53+J32+J58</f>
        <v>218167.0789473684</v>
      </c>
      <c r="K60" s="587">
        <f t="shared" si="10"/>
        <v>218167.0789473684</v>
      </c>
      <c r="L60" s="587">
        <f t="shared" si="10"/>
        <v>788567.07894736843</v>
      </c>
      <c r="M60" s="587">
        <f t="shared" si="10"/>
        <v>1041680.2368421053</v>
      </c>
      <c r="N60" s="587">
        <f t="shared" si="10"/>
        <v>1735259.1270175439</v>
      </c>
      <c r="O60" s="587">
        <f t="shared" si="10"/>
        <v>2473819.8070175434</v>
      </c>
      <c r="P60" s="587">
        <f t="shared" si="10"/>
        <v>2205638.8070175434</v>
      </c>
      <c r="Q60" s="587">
        <f t="shared" si="10"/>
        <v>5828630.333333333</v>
      </c>
      <c r="R60" s="586">
        <f t="shared" si="10"/>
        <v>10772271.074385963</v>
      </c>
      <c r="S60" s="586">
        <f t="shared" si="10"/>
        <v>7224030.4869192978</v>
      </c>
      <c r="T60" s="586">
        <f t="shared" si="10"/>
        <v>4401398.0988952974</v>
      </c>
      <c r="U60" s="586">
        <f t="shared" si="10"/>
        <v>4361744.7392305788</v>
      </c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91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</row>
    <row r="61" spans="1:52" ht="15" thickTop="1">
      <c r="A61" s="588"/>
      <c r="B61" s="446"/>
      <c r="C61" s="446"/>
      <c r="D61" s="446"/>
      <c r="E61" s="565"/>
      <c r="F61" s="446"/>
      <c r="G61" s="446"/>
      <c r="H61" s="446"/>
      <c r="I61" s="446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</row>
    <row r="62" spans="1:52">
      <c r="A62" s="572" t="s">
        <v>76</v>
      </c>
      <c r="B62" s="458" t="s">
        <v>36</v>
      </c>
      <c r="C62" s="458" t="s">
        <v>77</v>
      </c>
      <c r="D62" s="446"/>
      <c r="E62" s="565"/>
      <c r="F62" s="446"/>
      <c r="G62" s="446"/>
      <c r="H62" s="446"/>
      <c r="I62" s="446"/>
      <c r="J62" s="573">
        <f t="shared" ref="J62:U62" si="11">+J29+J50</f>
        <v>-302954.75</v>
      </c>
      <c r="K62" s="573">
        <f t="shared" si="11"/>
        <v>-2855909.5</v>
      </c>
      <c r="L62" s="573">
        <f t="shared" si="11"/>
        <v>-4033864.25</v>
      </c>
      <c r="M62" s="573">
        <f t="shared" si="11"/>
        <v>-4801819</v>
      </c>
      <c r="N62" s="573">
        <f t="shared" si="11"/>
        <v>-4957879.68</v>
      </c>
      <c r="O62" s="573">
        <f t="shared" si="11"/>
        <v>-4470379.68</v>
      </c>
      <c r="P62" s="573">
        <f t="shared" si="11"/>
        <v>-4201060.68</v>
      </c>
      <c r="Q62" s="573">
        <f t="shared" si="11"/>
        <v>-4929060.68</v>
      </c>
      <c r="R62" s="565">
        <f t="shared" si="11"/>
        <v>-3750000</v>
      </c>
      <c r="S62" s="565">
        <f t="shared" si="11"/>
        <v>-2650000</v>
      </c>
      <c r="T62" s="565">
        <f t="shared" si="11"/>
        <v>-6000000</v>
      </c>
      <c r="U62" s="565">
        <f t="shared" si="11"/>
        <v>-8000000.333333333</v>
      </c>
      <c r="V62" s="565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</row>
    <row r="63" spans="1:52" ht="15" customHeight="1">
      <c r="A63" s="446"/>
      <c r="B63" s="446"/>
      <c r="C63" s="446"/>
      <c r="D63" s="446"/>
      <c r="E63" s="565"/>
      <c r="F63" s="446"/>
      <c r="G63" s="446"/>
      <c r="H63" s="446"/>
      <c r="I63" s="446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</row>
    <row r="64" spans="1:52" ht="15" customHeight="1">
      <c r="A64" s="561" t="s">
        <v>78</v>
      </c>
      <c r="B64" s="458" t="s">
        <v>36</v>
      </c>
      <c r="C64" s="458" t="s">
        <v>79</v>
      </c>
      <c r="D64" s="446"/>
      <c r="E64" s="534"/>
      <c r="F64" s="446"/>
      <c r="G64" s="446"/>
      <c r="H64" s="446"/>
      <c r="I64" s="446"/>
      <c r="J64" s="589">
        <f>'c12_inputs'!$E$8</f>
        <v>0.35</v>
      </c>
      <c r="K64" s="589">
        <f>'c12_inputs'!$E$8</f>
        <v>0.35</v>
      </c>
      <c r="L64" s="589">
        <f>'c12_inputs'!$E$8</f>
        <v>0.35</v>
      </c>
      <c r="M64" s="589">
        <f>'c12_inputs'!$E$8</f>
        <v>0.35</v>
      </c>
      <c r="N64" s="589">
        <f>'c12_inputs'!$E$8</f>
        <v>0.35</v>
      </c>
      <c r="O64" s="589">
        <f>'c12_inputs'!$E$8</f>
        <v>0.35</v>
      </c>
      <c r="P64" s="589">
        <f>'c12_inputs'!$E$8</f>
        <v>0.35</v>
      </c>
      <c r="Q64" s="589">
        <f>'c12_inputs'!$E$8</f>
        <v>0.35</v>
      </c>
      <c r="R64" s="534">
        <f>'c12_inputs'!$E$8</f>
        <v>0.35</v>
      </c>
      <c r="S64" s="534">
        <f>'c12_inputs'!$E$8</f>
        <v>0.35</v>
      </c>
      <c r="T64" s="534">
        <f>'c12_inputs'!$E$8</f>
        <v>0.35</v>
      </c>
      <c r="U64" s="534">
        <f>'c12_inputs'!$E$8</f>
        <v>0.35</v>
      </c>
      <c r="V64" s="565"/>
      <c r="W64" s="545"/>
      <c r="X64" s="545"/>
      <c r="Y64" s="446"/>
      <c r="Z64" s="446"/>
      <c r="AA64" s="446"/>
      <c r="AB64" s="497"/>
      <c r="AC64" s="497"/>
      <c r="AD64" s="497"/>
      <c r="AE64" s="497"/>
      <c r="AF64" s="497"/>
      <c r="AG64" s="497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</row>
    <row r="65" spans="1:52" s="417" customFormat="1" ht="15" customHeight="1">
      <c r="A65" s="561" t="s">
        <v>80</v>
      </c>
      <c r="B65" s="548" t="s">
        <v>12</v>
      </c>
      <c r="C65" s="546" t="s">
        <v>997</v>
      </c>
      <c r="D65" s="447"/>
      <c r="E65" s="462">
        <v>0.15</v>
      </c>
      <c r="F65" s="446"/>
      <c r="G65" s="446"/>
      <c r="H65" s="446"/>
      <c r="I65" s="446"/>
      <c r="J65" s="590">
        <v>0.15</v>
      </c>
      <c r="K65" s="590">
        <v>0.15</v>
      </c>
      <c r="L65" s="590">
        <v>0.15</v>
      </c>
      <c r="M65" s="590">
        <v>0.15</v>
      </c>
      <c r="N65" s="590">
        <v>0</v>
      </c>
      <c r="O65" s="590">
        <v>0</v>
      </c>
      <c r="P65" s="590">
        <v>0</v>
      </c>
      <c r="Q65" s="590">
        <v>0</v>
      </c>
      <c r="R65" s="534">
        <v>0</v>
      </c>
      <c r="S65" s="534">
        <v>0</v>
      </c>
      <c r="T65" s="534">
        <v>0</v>
      </c>
      <c r="U65" s="534">
        <v>0</v>
      </c>
      <c r="V65" s="565"/>
      <c r="W65" s="545"/>
      <c r="X65" s="545"/>
      <c r="Y65" s="446"/>
      <c r="Z65" s="446"/>
      <c r="AA65" s="446"/>
      <c r="AB65" s="497"/>
      <c r="AC65" s="497"/>
      <c r="AD65" s="497"/>
      <c r="AE65" s="497"/>
      <c r="AF65" s="497"/>
      <c r="AG65" s="497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</row>
    <row r="66" spans="1:52" s="417" customFormat="1" ht="15" customHeight="1">
      <c r="A66" s="561" t="s">
        <v>82</v>
      </c>
      <c r="B66" s="548" t="s">
        <v>12</v>
      </c>
      <c r="C66" s="546" t="s">
        <v>998</v>
      </c>
      <c r="D66" s="447"/>
      <c r="E66" s="462">
        <v>0.15</v>
      </c>
      <c r="F66" s="446"/>
      <c r="G66" s="446"/>
      <c r="H66" s="446"/>
      <c r="I66" s="446"/>
      <c r="J66" s="590">
        <v>0.15</v>
      </c>
      <c r="K66" s="590">
        <v>0.15</v>
      </c>
      <c r="L66" s="590">
        <v>0.15</v>
      </c>
      <c r="M66" s="590">
        <v>0.15</v>
      </c>
      <c r="N66" s="590">
        <v>0.15</v>
      </c>
      <c r="O66" s="590">
        <v>0.15</v>
      </c>
      <c r="P66" s="590">
        <v>0.15</v>
      </c>
      <c r="Q66" s="590">
        <v>0.15</v>
      </c>
      <c r="R66" s="534">
        <v>0</v>
      </c>
      <c r="S66" s="534">
        <v>0</v>
      </c>
      <c r="T66" s="534">
        <v>0</v>
      </c>
      <c r="U66" s="534">
        <v>0</v>
      </c>
      <c r="V66" s="565"/>
      <c r="W66" s="545"/>
      <c r="X66" s="545"/>
      <c r="Y66" s="446"/>
      <c r="Z66" s="446"/>
      <c r="AA66" s="446"/>
      <c r="AB66" s="497"/>
      <c r="AC66" s="497"/>
      <c r="AD66" s="497"/>
      <c r="AE66" s="497"/>
      <c r="AF66" s="497"/>
      <c r="AG66" s="497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</row>
    <row r="67" spans="1:52" s="30" customFormat="1">
      <c r="A67" s="561" t="s">
        <v>84</v>
      </c>
      <c r="B67" s="548" t="s">
        <v>36</v>
      </c>
      <c r="C67" s="546" t="s">
        <v>85</v>
      </c>
      <c r="D67" s="447"/>
      <c r="E67" s="591"/>
      <c r="F67" s="446"/>
      <c r="G67" s="446"/>
      <c r="H67" s="446"/>
      <c r="I67" s="446"/>
      <c r="J67" s="592">
        <f>'c12_inputs'!$E$7</f>
        <v>0.05</v>
      </c>
      <c r="K67" s="592">
        <f>'c12_inputs'!$E$7</f>
        <v>0.05</v>
      </c>
      <c r="L67" s="592">
        <f>'c12_inputs'!$E$7</f>
        <v>0.05</v>
      </c>
      <c r="M67" s="592">
        <f>'c12_inputs'!$E$7</f>
        <v>0.05</v>
      </c>
      <c r="N67" s="592">
        <f>'c12_inputs'!$E$7</f>
        <v>0.05</v>
      </c>
      <c r="O67" s="592">
        <f>'c12_inputs'!$E$7</f>
        <v>0.05</v>
      </c>
      <c r="P67" s="592">
        <f>'c12_inputs'!$E$7</f>
        <v>0.05</v>
      </c>
      <c r="Q67" s="592">
        <f>'c12_inputs'!$E$7</f>
        <v>0.05</v>
      </c>
      <c r="R67" s="591">
        <f>'c12_inputs'!$E$7</f>
        <v>0.05</v>
      </c>
      <c r="S67" s="591">
        <f>'c12_inputs'!$E$7</f>
        <v>0.05</v>
      </c>
      <c r="T67" s="591">
        <f>'c12_inputs'!$E$7</f>
        <v>0.05</v>
      </c>
      <c r="U67" s="591">
        <f>'c12_inputs'!$E$7</f>
        <v>0.05</v>
      </c>
      <c r="V67" s="446"/>
      <c r="W67" s="446"/>
      <c r="X67" s="446"/>
      <c r="Y67" s="446"/>
      <c r="Z67" s="446"/>
      <c r="AA67" s="446"/>
      <c r="AB67" s="446"/>
      <c r="AC67" s="446"/>
      <c r="AD67" s="505"/>
      <c r="AE67" s="505"/>
      <c r="AF67" s="505"/>
      <c r="AG67" s="505"/>
      <c r="AH67" s="505"/>
      <c r="AI67" s="505"/>
      <c r="AJ67" s="505"/>
      <c r="AK67" s="446"/>
      <c r="AL67" s="505"/>
      <c r="AM67" s="505"/>
      <c r="AN67" s="505"/>
      <c r="AO67" s="505"/>
      <c r="AP67" s="505"/>
      <c r="AQ67" s="505"/>
      <c r="AR67" s="505"/>
      <c r="AS67" s="446"/>
      <c r="AT67" s="446"/>
      <c r="AU67" s="446"/>
      <c r="AV67" s="446"/>
      <c r="AW67" s="446"/>
      <c r="AX67" s="446"/>
      <c r="AY67" s="446"/>
      <c r="AZ67" s="446"/>
    </row>
    <row r="68" spans="1:52">
      <c r="A68" s="561" t="s">
        <v>86</v>
      </c>
      <c r="B68" s="458" t="s">
        <v>36</v>
      </c>
      <c r="C68" s="458" t="s">
        <v>87</v>
      </c>
      <c r="D68" s="446"/>
      <c r="E68" s="565"/>
      <c r="F68" s="446"/>
      <c r="G68" s="446"/>
      <c r="H68" s="446"/>
      <c r="I68" s="446"/>
      <c r="J68" s="573">
        <f t="shared" ref="J68:U68" si="12">(J64+J65)*(J31+J52)+(J64+J66)*(J49+J28)</f>
        <v>64367.75</v>
      </c>
      <c r="K68" s="573">
        <f t="shared" si="12"/>
        <v>64367.75</v>
      </c>
      <c r="L68" s="573">
        <f t="shared" si="12"/>
        <v>349567.75</v>
      </c>
      <c r="M68" s="573">
        <f t="shared" si="12"/>
        <v>455617.75</v>
      </c>
      <c r="N68" s="573">
        <f t="shared" si="12"/>
        <v>802071.47666666668</v>
      </c>
      <c r="O68" s="573">
        <f t="shared" si="12"/>
        <v>1010895.6166666667</v>
      </c>
      <c r="P68" s="573">
        <f t="shared" si="12"/>
        <v>930805.1166666667</v>
      </c>
      <c r="Q68" s="573">
        <f t="shared" si="12"/>
        <v>2202770.6166666662</v>
      </c>
      <c r="R68" s="565">
        <f t="shared" si="12"/>
        <v>3632545.9286666662</v>
      </c>
      <c r="S68" s="565">
        <f t="shared" si="12"/>
        <v>2390661.7230533333</v>
      </c>
      <c r="T68" s="565">
        <f t="shared" si="12"/>
        <v>1402740.3872449331</v>
      </c>
      <c r="U68" s="565">
        <f t="shared" si="12"/>
        <v>1388861.7113622813</v>
      </c>
      <c r="V68" s="534"/>
      <c r="W68" s="545"/>
      <c r="X68" s="545"/>
      <c r="Y68" s="446"/>
      <c r="Z68" s="446"/>
      <c r="AA68" s="446"/>
      <c r="AB68" s="497"/>
      <c r="AC68" s="497"/>
      <c r="AD68" s="497"/>
      <c r="AE68" s="497"/>
      <c r="AF68" s="497"/>
      <c r="AG68" s="497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</row>
    <row r="69" spans="1:52" ht="15" thickBot="1">
      <c r="A69" s="561" t="s">
        <v>88</v>
      </c>
      <c r="B69" s="458" t="s">
        <v>36</v>
      </c>
      <c r="C69" s="458" t="s">
        <v>89</v>
      </c>
      <c r="D69" s="446"/>
      <c r="E69" s="565"/>
      <c r="F69" s="446"/>
      <c r="G69" s="446"/>
      <c r="H69" s="446"/>
      <c r="I69" s="446"/>
      <c r="J69" s="573">
        <f t="shared" ref="J69:U69" si="13">J67*J58</f>
        <v>4471.5789473684199</v>
      </c>
      <c r="K69" s="573">
        <f t="shared" si="13"/>
        <v>4471.5789473684199</v>
      </c>
      <c r="L69" s="573">
        <f t="shared" si="13"/>
        <v>4471.5789473684199</v>
      </c>
      <c r="M69" s="573">
        <f t="shared" si="13"/>
        <v>6522.2368421052633</v>
      </c>
      <c r="N69" s="573">
        <f t="shared" si="13"/>
        <v>4509.4736842105258</v>
      </c>
      <c r="O69" s="573">
        <f t="shared" si="13"/>
        <v>4509.4736842105258</v>
      </c>
      <c r="P69" s="573">
        <f t="shared" si="13"/>
        <v>4509.4736842105258</v>
      </c>
      <c r="Q69" s="573">
        <f t="shared" si="13"/>
        <v>6149.9999999999982</v>
      </c>
      <c r="R69" s="565">
        <f t="shared" si="13"/>
        <v>19678.421052631576</v>
      </c>
      <c r="S69" s="565">
        <f t="shared" si="13"/>
        <v>19678.421052631576</v>
      </c>
      <c r="T69" s="565">
        <f t="shared" si="13"/>
        <v>19678.421052631576</v>
      </c>
      <c r="U69" s="565">
        <f t="shared" si="13"/>
        <v>19678.421052631576</v>
      </c>
      <c r="V69" s="565"/>
      <c r="W69" s="545"/>
      <c r="X69" s="545"/>
      <c r="Y69" s="446"/>
      <c r="Z69" s="446"/>
      <c r="AA69" s="446"/>
      <c r="AB69" s="497"/>
      <c r="AC69" s="497"/>
      <c r="AD69" s="497"/>
      <c r="AE69" s="497"/>
      <c r="AF69" s="497"/>
      <c r="AG69" s="497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</row>
    <row r="70" spans="1:52" s="417" customFormat="1" ht="15.5" thickTop="1" thickBot="1">
      <c r="A70" s="572" t="s">
        <v>999</v>
      </c>
      <c r="B70" s="548" t="s">
        <v>36</v>
      </c>
      <c r="C70" s="546" t="s">
        <v>1000</v>
      </c>
      <c r="D70" s="447"/>
      <c r="E70" s="586"/>
      <c r="F70" s="446"/>
      <c r="G70" s="446"/>
      <c r="H70" s="446"/>
      <c r="I70" s="446"/>
      <c r="J70" s="587">
        <f t="shared" ref="J70:U70" si="14">J69+J68</f>
        <v>68839.328947368427</v>
      </c>
      <c r="K70" s="587">
        <f t="shared" si="14"/>
        <v>68839.328947368427</v>
      </c>
      <c r="L70" s="587">
        <f t="shared" si="14"/>
        <v>354039.32894736843</v>
      </c>
      <c r="M70" s="587">
        <f t="shared" si="14"/>
        <v>462139.98684210528</v>
      </c>
      <c r="N70" s="587">
        <f t="shared" si="14"/>
        <v>806580.95035087725</v>
      </c>
      <c r="O70" s="587">
        <f t="shared" si="14"/>
        <v>1015405.0903508773</v>
      </c>
      <c r="P70" s="587">
        <f t="shared" si="14"/>
        <v>935314.59035087726</v>
      </c>
      <c r="Q70" s="587">
        <f t="shared" si="14"/>
        <v>2208920.6166666662</v>
      </c>
      <c r="R70" s="586">
        <f t="shared" si="14"/>
        <v>3652224.3497192976</v>
      </c>
      <c r="S70" s="586">
        <f t="shared" si="14"/>
        <v>2410340.1441059648</v>
      </c>
      <c r="T70" s="586">
        <f t="shared" si="14"/>
        <v>1422418.8082975647</v>
      </c>
      <c r="U70" s="586">
        <f t="shared" si="14"/>
        <v>1408540.132414913</v>
      </c>
      <c r="V70" s="534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</row>
    <row r="71" spans="1:52" ht="15" thickTop="1">
      <c r="A71" s="551"/>
      <c r="B71" s="446"/>
      <c r="C71" s="446"/>
      <c r="D71" s="446"/>
      <c r="E71" s="565"/>
      <c r="F71" s="446"/>
      <c r="G71" s="446"/>
      <c r="H71" s="446"/>
      <c r="I71" s="446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</row>
    <row r="72" spans="1:52" s="30" customFormat="1">
      <c r="A72" s="561" t="s">
        <v>92</v>
      </c>
      <c r="B72" s="548" t="s">
        <v>36</v>
      </c>
      <c r="C72" s="546" t="s">
        <v>93</v>
      </c>
      <c r="D72" s="447"/>
      <c r="E72" s="565"/>
      <c r="F72" s="446"/>
      <c r="G72" s="446"/>
      <c r="H72" s="446"/>
      <c r="I72" s="446"/>
      <c r="J72" s="573">
        <f t="shared" ref="J72:U72" si="15">-(J64+J65)*(J27+J48)</f>
        <v>151477.375</v>
      </c>
      <c r="K72" s="573">
        <f t="shared" si="15"/>
        <v>1276477.375</v>
      </c>
      <c r="L72" s="573">
        <f t="shared" si="15"/>
        <v>588977.375</v>
      </c>
      <c r="M72" s="573">
        <f t="shared" si="15"/>
        <v>383977.375</v>
      </c>
      <c r="N72" s="573">
        <f t="shared" si="15"/>
        <v>582647.79999999993</v>
      </c>
      <c r="O72" s="573">
        <f t="shared" si="15"/>
        <v>241499.99999999997</v>
      </c>
      <c r="P72" s="573">
        <f t="shared" si="15"/>
        <v>350000</v>
      </c>
      <c r="Q72" s="573">
        <f t="shared" si="15"/>
        <v>735000</v>
      </c>
      <c r="R72" s="565">
        <f t="shared" si="15"/>
        <v>1312500</v>
      </c>
      <c r="S72" s="565">
        <f t="shared" si="15"/>
        <v>927499.99999999988</v>
      </c>
      <c r="T72" s="565">
        <f t="shared" si="15"/>
        <v>1400000</v>
      </c>
      <c r="U72" s="565">
        <f t="shared" si="15"/>
        <v>1400000</v>
      </c>
      <c r="V72" s="446"/>
      <c r="W72" s="446"/>
      <c r="X72" s="446"/>
      <c r="Y72" s="446"/>
      <c r="Z72" s="446"/>
      <c r="AA72" s="446"/>
      <c r="AB72" s="446"/>
      <c r="AC72" s="446"/>
      <c r="AD72" s="505"/>
      <c r="AE72" s="505"/>
      <c r="AF72" s="505"/>
      <c r="AG72" s="505"/>
      <c r="AH72" s="505"/>
      <c r="AI72" s="505"/>
      <c r="AJ72" s="505"/>
      <c r="AK72" s="446"/>
      <c r="AL72" s="505"/>
      <c r="AM72" s="505"/>
      <c r="AN72" s="505"/>
      <c r="AO72" s="505"/>
      <c r="AP72" s="505"/>
      <c r="AQ72" s="505"/>
      <c r="AR72" s="505"/>
      <c r="AS72" s="446"/>
      <c r="AT72" s="446"/>
      <c r="AU72" s="446"/>
      <c r="AV72" s="446"/>
      <c r="AW72" s="446"/>
      <c r="AX72" s="446"/>
      <c r="AY72" s="446"/>
      <c r="AZ72" s="446"/>
    </row>
    <row r="73" spans="1:52" s="30" customFormat="1">
      <c r="A73" s="561" t="s">
        <v>94</v>
      </c>
      <c r="B73" s="548" t="s">
        <v>36</v>
      </c>
      <c r="C73" s="546" t="s">
        <v>95</v>
      </c>
      <c r="D73" s="447"/>
      <c r="E73" s="565"/>
      <c r="F73" s="446"/>
      <c r="G73" s="446"/>
      <c r="H73" s="446"/>
      <c r="I73" s="446"/>
      <c r="J73" s="573">
        <f t="shared" ref="J73:U73" si="16">-(J64+J66)*(J28+J49)</f>
        <v>0</v>
      </c>
      <c r="K73" s="573">
        <f t="shared" si="16"/>
        <v>0</v>
      </c>
      <c r="L73" s="573">
        <f t="shared" si="16"/>
        <v>0</v>
      </c>
      <c r="M73" s="573">
        <f t="shared" si="16"/>
        <v>0</v>
      </c>
      <c r="N73" s="573">
        <f t="shared" si="16"/>
        <v>-754323.66</v>
      </c>
      <c r="O73" s="573">
        <f t="shared" si="16"/>
        <v>-588750</v>
      </c>
      <c r="P73" s="573">
        <f t="shared" si="16"/>
        <v>-634659.5</v>
      </c>
      <c r="Q73" s="573">
        <f t="shared" si="16"/>
        <v>-686000</v>
      </c>
      <c r="R73" s="565">
        <f t="shared" si="16"/>
        <v>-1725171.2379999999</v>
      </c>
      <c r="S73" s="565">
        <f t="shared" si="16"/>
        <v>-1312500</v>
      </c>
      <c r="T73" s="565">
        <f t="shared" si="16"/>
        <v>-227500</v>
      </c>
      <c r="U73" s="565">
        <f t="shared" si="16"/>
        <v>-699999.88333333342</v>
      </c>
      <c r="V73" s="446"/>
      <c r="W73" s="446"/>
      <c r="X73" s="446"/>
      <c r="Y73" s="446"/>
      <c r="Z73" s="446"/>
      <c r="AA73" s="446"/>
      <c r="AB73" s="446"/>
      <c r="AC73" s="446"/>
      <c r="AD73" s="505"/>
      <c r="AE73" s="505"/>
      <c r="AF73" s="505"/>
      <c r="AG73" s="505"/>
      <c r="AH73" s="505"/>
      <c r="AI73" s="505"/>
      <c r="AJ73" s="505"/>
      <c r="AK73" s="446"/>
      <c r="AL73" s="505"/>
      <c r="AM73" s="505"/>
      <c r="AN73" s="505"/>
      <c r="AO73" s="505"/>
      <c r="AP73" s="505"/>
      <c r="AQ73" s="505"/>
      <c r="AR73" s="505"/>
      <c r="AS73" s="446"/>
      <c r="AT73" s="446"/>
      <c r="AU73" s="446"/>
      <c r="AV73" s="446"/>
      <c r="AW73" s="446"/>
      <c r="AX73" s="446"/>
      <c r="AY73" s="446"/>
      <c r="AZ73" s="446"/>
    </row>
    <row r="74" spans="1:52">
      <c r="A74" s="561" t="s">
        <v>96</v>
      </c>
      <c r="B74" s="458" t="s">
        <v>12</v>
      </c>
      <c r="C74" s="458" t="s">
        <v>97</v>
      </c>
      <c r="D74" s="446"/>
      <c r="E74" s="565"/>
      <c r="F74" s="446"/>
      <c r="G74" s="446"/>
      <c r="H74" s="446"/>
      <c r="I74" s="446"/>
      <c r="J74" s="564">
        <f>SUM(J72:J73)+E74</f>
        <v>151477.375</v>
      </c>
      <c r="K74" s="564">
        <f t="shared" ref="K74:U74" si="17">SUM(K72:K73)+J74</f>
        <v>1427954.75</v>
      </c>
      <c r="L74" s="564">
        <f t="shared" si="17"/>
        <v>2016932.125</v>
      </c>
      <c r="M74" s="564">
        <f t="shared" si="17"/>
        <v>2400909.5</v>
      </c>
      <c r="N74" s="564">
        <f t="shared" si="17"/>
        <v>2229233.6399999997</v>
      </c>
      <c r="O74" s="564">
        <f t="shared" si="17"/>
        <v>1881983.6399999997</v>
      </c>
      <c r="P74" s="564">
        <f t="shared" si="17"/>
        <v>1597324.1399999997</v>
      </c>
      <c r="Q74" s="564">
        <f t="shared" si="17"/>
        <v>1646324.1399999997</v>
      </c>
      <c r="R74" s="565">
        <f t="shared" si="17"/>
        <v>1233652.9019999998</v>
      </c>
      <c r="S74" s="565">
        <f t="shared" si="17"/>
        <v>848652.90199999965</v>
      </c>
      <c r="T74" s="565">
        <f t="shared" si="17"/>
        <v>2021152.9019999998</v>
      </c>
      <c r="U74" s="565">
        <f t="shared" si="17"/>
        <v>2721153.0186666665</v>
      </c>
      <c r="V74" s="565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</row>
    <row r="75" spans="1:52">
      <c r="A75" s="446"/>
      <c r="B75" s="446"/>
      <c r="C75" s="446"/>
      <c r="D75" s="446"/>
      <c r="E75" s="565"/>
      <c r="F75" s="446"/>
      <c r="G75" s="446"/>
      <c r="H75" s="446"/>
      <c r="I75" s="446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</row>
    <row r="76" spans="1:52">
      <c r="A76" s="561" t="s">
        <v>99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</row>
    <row r="77" spans="1:52" s="30" customFormat="1" ht="14.65" customHeight="1">
      <c r="A77" s="523" t="s">
        <v>100</v>
      </c>
      <c r="B77" s="548" t="s">
        <v>36</v>
      </c>
      <c r="C77" s="546" t="s">
        <v>101</v>
      </c>
      <c r="D77" s="447"/>
      <c r="E77" s="505"/>
      <c r="F77" s="446"/>
      <c r="G77" s="446"/>
      <c r="H77" s="446"/>
      <c r="I77" s="446"/>
      <c r="J77" s="585">
        <f>'.c12_d&amp;s_hr'!J45</f>
        <v>515519.99999999994</v>
      </c>
      <c r="K77" s="585">
        <f>'.c12_d&amp;s_hr'!K45</f>
        <v>515519.99999999994</v>
      </c>
      <c r="L77" s="585">
        <f>'.c12_d&amp;s_hr'!L45</f>
        <v>515519.99999999994</v>
      </c>
      <c r="M77" s="585">
        <f>'.c12_d&amp;s_hr'!M45</f>
        <v>1652177.5</v>
      </c>
      <c r="N77" s="585">
        <f>'.c12_d&amp;s_hr'!N45</f>
        <v>560159.99999999988</v>
      </c>
      <c r="O77" s="585">
        <f>'.c12_d&amp;s_hr'!O45</f>
        <v>520559.99999999994</v>
      </c>
      <c r="P77" s="585">
        <f>'.c12_d&amp;s_hr'!P45</f>
        <v>560159.99999999988</v>
      </c>
      <c r="Q77" s="585">
        <f>'.c12_d&amp;s_hr'!Q45</f>
        <v>1221223.75</v>
      </c>
      <c r="R77" s="505">
        <f>'.c12_d&amp;s_hr'!R45</f>
        <v>2809492.4999999995</v>
      </c>
      <c r="S77" s="505">
        <f>'.c12_d&amp;s_hr'!S45</f>
        <v>2809492.4999999995</v>
      </c>
      <c r="T77" s="505">
        <f>'.c12_d&amp;s_hr'!T45</f>
        <v>2809492.4999999995</v>
      </c>
      <c r="U77" s="505">
        <f>'.c12_d&amp;s_hr'!U45</f>
        <v>2809492.4999999995</v>
      </c>
      <c r="V77" s="544"/>
      <c r="W77" s="545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</row>
    <row r="78" spans="1:52" s="30" customFormat="1">
      <c r="A78" s="523" t="s">
        <v>102</v>
      </c>
      <c r="B78" s="548" t="s">
        <v>36</v>
      </c>
      <c r="C78" s="546" t="s">
        <v>103</v>
      </c>
      <c r="D78" s="447"/>
      <c r="E78" s="505"/>
      <c r="F78" s="446"/>
      <c r="G78" s="446"/>
      <c r="H78" s="446"/>
      <c r="I78" s="446"/>
      <c r="J78" s="585">
        <f>'.c12_d&amp;s_hr'!J46</f>
        <v>84959.999999999985</v>
      </c>
      <c r="K78" s="585">
        <f>'.c12_d&amp;s_hr'!K46</f>
        <v>84959.999999999985</v>
      </c>
      <c r="L78" s="585">
        <f>'.c12_d&amp;s_hr'!L46</f>
        <v>84959.999999999985</v>
      </c>
      <c r="M78" s="585">
        <f>'.c12_d&amp;s_hr'!M46</f>
        <v>123922.5</v>
      </c>
      <c r="N78" s="585">
        <f>'.c12_d&amp;s_hr'!N46</f>
        <v>85679.999999999985</v>
      </c>
      <c r="O78" s="585">
        <f>'.c12_d&amp;s_hr'!O46</f>
        <v>85679.999999999985</v>
      </c>
      <c r="P78" s="585">
        <f>'.c12_d&amp;s_hr'!P46</f>
        <v>85679.999999999985</v>
      </c>
      <c r="Q78" s="585">
        <f>'.c12_d&amp;s_hr'!Q46</f>
        <v>116849.99999999997</v>
      </c>
      <c r="R78" s="505">
        <f>'.c12_d&amp;s_hr'!R46</f>
        <v>373889.99999999994</v>
      </c>
      <c r="S78" s="505">
        <f>'.c12_d&amp;s_hr'!S46</f>
        <v>373889.99999999994</v>
      </c>
      <c r="T78" s="505">
        <f>'.c12_d&amp;s_hr'!T46</f>
        <v>373889.99999999994</v>
      </c>
      <c r="U78" s="505">
        <f>'.c12_d&amp;s_hr'!U46</f>
        <v>373889.99999999994</v>
      </c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91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</row>
    <row r="79" spans="1:52" s="30" customFormat="1">
      <c r="A79" s="523" t="s">
        <v>104</v>
      </c>
      <c r="B79" s="548" t="s">
        <v>36</v>
      </c>
      <c r="C79" s="546" t="s">
        <v>105</v>
      </c>
      <c r="D79" s="447"/>
      <c r="E79" s="505"/>
      <c r="F79" s="446"/>
      <c r="G79" s="446"/>
      <c r="H79" s="446"/>
      <c r="I79" s="446"/>
      <c r="J79" s="585">
        <f>'.c12_d&amp;s_hr'!J47</f>
        <v>430560</v>
      </c>
      <c r="K79" s="585">
        <f>'.c12_d&amp;s_hr'!K47</f>
        <v>430560</v>
      </c>
      <c r="L79" s="585">
        <f>'.c12_d&amp;s_hr'!L47</f>
        <v>430560</v>
      </c>
      <c r="M79" s="585">
        <f>'.c12_d&amp;s_hr'!M47</f>
        <v>1528255</v>
      </c>
      <c r="N79" s="585">
        <f>'.c12_d&amp;s_hr'!N47</f>
        <v>474480</v>
      </c>
      <c r="O79" s="585">
        <f>'.c12_d&amp;s_hr'!O47</f>
        <v>434880</v>
      </c>
      <c r="P79" s="585">
        <f>'.c12_d&amp;s_hr'!P47</f>
        <v>474480</v>
      </c>
      <c r="Q79" s="585">
        <f>'.c12_d&amp;s_hr'!Q47</f>
        <v>1104373.75</v>
      </c>
      <c r="R79" s="505">
        <f>'.c12_d&amp;s_hr'!R47</f>
        <v>2435602.4999999995</v>
      </c>
      <c r="S79" s="505">
        <f>'.c12_d&amp;s_hr'!S47</f>
        <v>2435602.4999999995</v>
      </c>
      <c r="T79" s="505">
        <f>'.c12_d&amp;s_hr'!T47</f>
        <v>2435602.4999999995</v>
      </c>
      <c r="U79" s="505">
        <f>'.c12_d&amp;s_hr'!U47</f>
        <v>2435602.4999999995</v>
      </c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91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</row>
    <row r="80" spans="1:52" s="30" customFormat="1">
      <c r="A80" s="523" t="s">
        <v>106</v>
      </c>
      <c r="B80" s="548" t="s">
        <v>36</v>
      </c>
      <c r="C80" s="546" t="s">
        <v>107</v>
      </c>
      <c r="D80" s="447"/>
      <c r="E80" s="505"/>
      <c r="F80" s="446"/>
      <c r="G80" s="446"/>
      <c r="H80" s="446"/>
      <c r="I80" s="446"/>
      <c r="J80" s="585">
        <f>'.c12_d&amp;s_hr'!J48</f>
        <v>0</v>
      </c>
      <c r="K80" s="585">
        <f>'.c12_d&amp;s_hr'!K48</f>
        <v>0</v>
      </c>
      <c r="L80" s="585">
        <f>'.c12_d&amp;s_hr'!L48</f>
        <v>0</v>
      </c>
      <c r="M80" s="585">
        <f>'.c12_d&amp;s_hr'!M48</f>
        <v>0</v>
      </c>
      <c r="N80" s="585">
        <f>'.c12_d&amp;s_hr'!N48</f>
        <v>0</v>
      </c>
      <c r="O80" s="585">
        <f>'.c12_d&amp;s_hr'!O48</f>
        <v>0</v>
      </c>
      <c r="P80" s="585">
        <f>'.c12_d&amp;s_hr'!P48</f>
        <v>0</v>
      </c>
      <c r="Q80" s="585">
        <f>'.c12_d&amp;s_hr'!Q48</f>
        <v>0</v>
      </c>
      <c r="R80" s="505">
        <f>'.c12_d&amp;s_hr'!R48</f>
        <v>0</v>
      </c>
      <c r="S80" s="505">
        <f>'.c12_d&amp;s_hr'!S48</f>
        <v>0</v>
      </c>
      <c r="T80" s="505">
        <f>'.c12_d&amp;s_hr'!T48</f>
        <v>0</v>
      </c>
      <c r="U80" s="505">
        <f>'.c12_d&amp;s_hr'!U48</f>
        <v>0</v>
      </c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91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</row>
    <row r="81" spans="1:52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</row>
    <row r="82" spans="1:52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</row>
    <row r="83" spans="1:52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</row>
    <row r="84" spans="1:52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</row>
    <row r="85" spans="1:52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</row>
    <row r="86" spans="1:52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</row>
    <row r="87" spans="1:52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</row>
    <row r="88" spans="1:52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</row>
    <row r="89" spans="1:52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</row>
    <row r="90" spans="1:52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</row>
    <row r="91" spans="1:52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</row>
    <row r="92" spans="1:52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</row>
    <row r="93" spans="1:52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</row>
    <row r="94" spans="1:52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</row>
    <row r="95" spans="1:52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</row>
    <row r="96" spans="1:52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</row>
    <row r="97" spans="1:52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</row>
    <row r="98" spans="1:52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</row>
    <row r="99" spans="1:52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</row>
    <row r="100" spans="1:52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</row>
    <row r="101" spans="1:52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</row>
    <row r="102" spans="1:52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</row>
    <row r="103" spans="1:52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</row>
    <row r="104" spans="1:52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</row>
    <row r="105" spans="1:52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8"/>
      <c r="X105" s="448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</row>
    <row r="106" spans="1:52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</row>
    <row r="107" spans="1:52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</row>
    <row r="108" spans="1:52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</row>
    <row r="109" spans="1:52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</row>
    <row r="110" spans="1:52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</row>
    <row r="111" spans="1:52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</row>
    <row r="112" spans="1:52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</row>
    <row r="113" spans="1:52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</row>
    <row r="114" spans="1:52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</row>
    <row r="115" spans="1:52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</row>
    <row r="116" spans="1:52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</row>
    <row r="117" spans="1:52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</row>
    <row r="118" spans="1:52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</row>
    <row r="119" spans="1:52" s="5" customFormat="1">
      <c r="A119" s="551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91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</row>
    <row r="120" spans="1:52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</row>
    <row r="121" spans="1:52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</row>
    <row r="122" spans="1:52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</row>
    <row r="123" spans="1:52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</row>
    <row r="124" spans="1:52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569"/>
      <c r="T124" s="569"/>
      <c r="U124" s="446"/>
      <c r="V124" s="448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</row>
    <row r="125" spans="1:52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</row>
    <row r="126" spans="1:52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</row>
    <row r="127" spans="1:52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</row>
    <row r="128" spans="1:52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</row>
    <row r="129" spans="1:52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</row>
    <row r="130" spans="1:52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</row>
    <row r="131" spans="1:52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</row>
    <row r="132" spans="1:52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</row>
    <row r="133" spans="1:52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</row>
    <row r="134" spans="1:52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</row>
    <row r="135" spans="1:52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</row>
    <row r="136" spans="1:52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</row>
    <row r="137" spans="1:52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</row>
    <row r="138" spans="1:52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546" t="s">
        <v>108</v>
      </c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</row>
    <row r="139" spans="1:52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</row>
    <row r="140" spans="1:52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</row>
    <row r="141" spans="1:52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</row>
    <row r="142" spans="1:52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</row>
    <row r="143" spans="1:52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</row>
    <row r="144" spans="1:52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</row>
    <row r="145" spans="1:52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</row>
    <row r="146" spans="1:52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</row>
    <row r="147" spans="1:52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</row>
    <row r="148" spans="1:52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</row>
    <row r="149" spans="1:52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</row>
  </sheetData>
  <mergeCells count="2">
    <mergeCell ref="AT48:AZ48"/>
    <mergeCell ref="AM48:AR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Z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bestFit="1" customWidth="1"/>
    <col min="4" max="4" width="11.81640625" style="424" bestFit="1" customWidth="1"/>
    <col min="5" max="5" width="15.6328125" style="5" bestFit="1" customWidth="1"/>
    <col min="6" max="9" width="11.7265625" style="63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52" s="4" customFormat="1" ht="18.399999999999999" customHeight="1">
      <c r="A1" s="551"/>
      <c r="B1" s="447"/>
      <c r="C1" s="448"/>
      <c r="D1" s="447"/>
      <c r="E1" s="552"/>
      <c r="F1" s="446"/>
      <c r="G1" s="446"/>
      <c r="H1" s="446"/>
      <c r="I1" s="446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</row>
    <row r="2" spans="1:52">
      <c r="A2" s="553" t="s">
        <v>0</v>
      </c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</row>
    <row r="3" spans="1:52" ht="14.65" customHeight="1">
      <c r="A3" s="553" t="s">
        <v>1</v>
      </c>
      <c r="B3" s="450"/>
      <c r="C3" s="450"/>
      <c r="D3" s="450"/>
      <c r="E3" s="555" t="s">
        <v>2</v>
      </c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6" t="s">
        <v>2</v>
      </c>
      <c r="S3" s="556" t="s">
        <v>2</v>
      </c>
      <c r="T3" s="556" t="s">
        <v>2</v>
      </c>
      <c r="U3" s="556" t="s">
        <v>2</v>
      </c>
      <c r="V3" s="557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</row>
    <row r="4" spans="1:52" ht="14.65" customHeight="1">
      <c r="A4" s="446"/>
      <c r="B4" s="456" t="s">
        <v>6</v>
      </c>
      <c r="C4" s="457" t="s">
        <v>7</v>
      </c>
      <c r="D4" s="456" t="s">
        <v>8</v>
      </c>
      <c r="E4" s="558"/>
      <c r="F4" s="446"/>
      <c r="G4" s="446"/>
      <c r="H4" s="446"/>
      <c r="I4" s="446"/>
      <c r="J4" s="558"/>
      <c r="K4" s="558"/>
      <c r="L4" s="558"/>
      <c r="M4" s="558"/>
      <c r="N4" s="558"/>
      <c r="O4" s="558"/>
      <c r="P4" s="558"/>
      <c r="Q4" s="558"/>
      <c r="R4" s="559"/>
      <c r="S4" s="559"/>
      <c r="T4" s="559"/>
      <c r="U4" s="559"/>
      <c r="V4" s="560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</row>
    <row r="5" spans="1:52" ht="15" customHeight="1">
      <c r="A5" s="561" t="s">
        <v>9</v>
      </c>
      <c r="B5" s="461"/>
      <c r="C5" s="460" t="s">
        <v>10</v>
      </c>
      <c r="D5" s="461"/>
      <c r="E5" s="551"/>
      <c r="F5" s="446"/>
      <c r="G5" s="446"/>
      <c r="H5" s="446"/>
      <c r="I5" s="446"/>
      <c r="J5" s="551"/>
      <c r="K5" s="551"/>
      <c r="L5" s="551"/>
      <c r="M5" s="562"/>
      <c r="N5" s="551"/>
      <c r="O5" s="551"/>
      <c r="P5" s="551"/>
      <c r="Q5" s="551"/>
      <c r="R5" s="551"/>
      <c r="S5" s="551"/>
      <c r="T5" s="551"/>
      <c r="U5" s="551"/>
      <c r="V5" s="551"/>
      <c r="W5" s="446"/>
      <c r="X5" s="471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</row>
    <row r="6" spans="1:52" s="417" customFormat="1" ht="15" customHeight="1">
      <c r="A6" s="561" t="s">
        <v>32</v>
      </c>
      <c r="B6" s="461"/>
      <c r="C6" s="464"/>
      <c r="D6" s="465"/>
      <c r="E6" s="551"/>
      <c r="F6" s="446"/>
      <c r="G6" s="446"/>
      <c r="H6" s="446"/>
      <c r="I6" s="446"/>
      <c r="J6" s="551"/>
      <c r="K6" s="551"/>
      <c r="L6" s="551"/>
      <c r="M6" s="562"/>
      <c r="N6" s="551"/>
      <c r="O6" s="551"/>
      <c r="P6" s="551"/>
      <c r="Q6" s="551"/>
      <c r="R6" s="551"/>
      <c r="S6" s="551"/>
      <c r="T6" s="551"/>
      <c r="U6" s="551"/>
      <c r="V6" s="551"/>
      <c r="W6" s="446"/>
      <c r="X6" s="471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</row>
    <row r="7" spans="1:52" s="417" customFormat="1" ht="15" customHeight="1">
      <c r="A7" s="561" t="s">
        <v>32</v>
      </c>
      <c r="B7" s="461"/>
      <c r="C7" s="464"/>
      <c r="D7" s="465"/>
      <c r="E7" s="551"/>
      <c r="F7" s="446"/>
      <c r="G7" s="446"/>
      <c r="H7" s="446"/>
      <c r="I7" s="446"/>
      <c r="J7" s="551"/>
      <c r="K7" s="551"/>
      <c r="L7" s="551"/>
      <c r="M7" s="562"/>
      <c r="N7" s="551"/>
      <c r="O7" s="551"/>
      <c r="P7" s="551"/>
      <c r="Q7" s="551"/>
      <c r="R7" s="551"/>
      <c r="S7" s="551"/>
      <c r="T7" s="551"/>
      <c r="U7" s="551"/>
      <c r="V7" s="551"/>
      <c r="W7" s="446"/>
      <c r="X7" s="471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</row>
    <row r="8" spans="1:52" s="417" customFormat="1" ht="15" customHeight="1">
      <c r="A8" s="561" t="s">
        <v>32</v>
      </c>
      <c r="B8" s="461"/>
      <c r="C8" s="464"/>
      <c r="D8" s="465"/>
      <c r="E8" s="551"/>
      <c r="F8" s="446"/>
      <c r="G8" s="446"/>
      <c r="H8" s="446"/>
      <c r="I8" s="446"/>
      <c r="J8" s="551"/>
      <c r="K8" s="551"/>
      <c r="L8" s="551"/>
      <c r="M8" s="562"/>
      <c r="N8" s="551"/>
      <c r="O8" s="551"/>
      <c r="P8" s="551"/>
      <c r="Q8" s="551"/>
      <c r="R8" s="551"/>
      <c r="S8" s="551"/>
      <c r="T8" s="551"/>
      <c r="U8" s="551"/>
      <c r="V8" s="551"/>
      <c r="W8" s="446"/>
      <c r="X8" s="471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</row>
    <row r="9" spans="1:52" s="417" customFormat="1" ht="15" customHeight="1">
      <c r="A9" s="561" t="s">
        <v>32</v>
      </c>
      <c r="B9" s="447"/>
      <c r="C9" s="448"/>
      <c r="D9" s="447"/>
      <c r="E9" s="551"/>
      <c r="F9" s="446"/>
      <c r="G9" s="446"/>
      <c r="H9" s="446"/>
      <c r="I9" s="446"/>
      <c r="J9" s="551"/>
      <c r="K9" s="551"/>
      <c r="L9" s="551"/>
      <c r="M9" s="562"/>
      <c r="N9" s="551"/>
      <c r="O9" s="551"/>
      <c r="P9" s="551"/>
      <c r="Q9" s="551"/>
      <c r="R9" s="551"/>
      <c r="S9" s="551"/>
      <c r="T9" s="551"/>
      <c r="U9" s="551"/>
      <c r="V9" s="551"/>
      <c r="W9" s="446"/>
      <c r="X9" s="471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</row>
    <row r="10" spans="1:52" s="417" customFormat="1" ht="15" customHeight="1">
      <c r="A10" s="561" t="s">
        <v>32</v>
      </c>
      <c r="B10" s="447"/>
      <c r="C10" s="448"/>
      <c r="D10" s="447"/>
      <c r="E10" s="551"/>
      <c r="F10" s="540"/>
      <c r="G10" s="540"/>
      <c r="H10" s="540"/>
      <c r="I10" s="540"/>
      <c r="J10" s="551"/>
      <c r="K10" s="551"/>
      <c r="L10" s="551"/>
      <c r="M10" s="562"/>
      <c r="N10" s="551"/>
      <c r="O10" s="551"/>
      <c r="P10" s="551"/>
      <c r="Q10" s="551"/>
      <c r="R10" s="551"/>
      <c r="S10" s="551"/>
      <c r="T10" s="551"/>
      <c r="U10" s="551"/>
      <c r="V10" s="551"/>
      <c r="W10" s="446"/>
      <c r="X10" s="471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</row>
    <row r="11" spans="1:52" s="417" customFormat="1" ht="15" customHeight="1">
      <c r="A11" s="561" t="s">
        <v>32</v>
      </c>
      <c r="B11" s="447"/>
      <c r="C11" s="448"/>
      <c r="D11" s="447"/>
      <c r="E11" s="551"/>
      <c r="F11" s="446"/>
      <c r="G11" s="446"/>
      <c r="H11" s="446"/>
      <c r="I11" s="446"/>
      <c r="J11" s="551"/>
      <c r="K11" s="551"/>
      <c r="L11" s="551"/>
      <c r="M11" s="562"/>
      <c r="N11" s="551"/>
      <c r="O11" s="551"/>
      <c r="P11" s="551"/>
      <c r="Q11" s="551"/>
      <c r="R11" s="551"/>
      <c r="S11" s="551"/>
      <c r="T11" s="551"/>
      <c r="U11" s="551"/>
      <c r="V11" s="551"/>
      <c r="W11" s="446"/>
      <c r="X11" s="471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</row>
    <row r="12" spans="1:52" s="417" customFormat="1" ht="15" customHeight="1">
      <c r="A12" s="561" t="s">
        <v>32</v>
      </c>
      <c r="B12" s="447"/>
      <c r="C12" s="448"/>
      <c r="D12" s="447"/>
      <c r="E12" s="551"/>
      <c r="F12" s="624"/>
      <c r="G12" s="624"/>
      <c r="H12" s="624"/>
      <c r="I12" s="624"/>
      <c r="J12" s="551"/>
      <c r="K12" s="551"/>
      <c r="L12" s="551"/>
      <c r="M12" s="562"/>
      <c r="N12" s="551"/>
      <c r="O12" s="551"/>
      <c r="P12" s="551"/>
      <c r="Q12" s="551"/>
      <c r="R12" s="551"/>
      <c r="S12" s="551"/>
      <c r="T12" s="551"/>
      <c r="U12" s="551"/>
      <c r="V12" s="551"/>
      <c r="W12" s="446"/>
      <c r="X12" s="471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</row>
    <row r="13" spans="1:52" s="417" customFormat="1" ht="15" customHeight="1">
      <c r="A13" s="561" t="s">
        <v>32</v>
      </c>
      <c r="B13" s="447"/>
      <c r="C13" s="448"/>
      <c r="D13" s="447"/>
      <c r="E13" s="551"/>
      <c r="F13" s="624"/>
      <c r="G13" s="624"/>
      <c r="H13" s="624"/>
      <c r="I13" s="624"/>
      <c r="J13" s="551"/>
      <c r="K13" s="551"/>
      <c r="L13" s="551"/>
      <c r="M13" s="562"/>
      <c r="N13" s="551"/>
      <c r="O13" s="551"/>
      <c r="P13" s="551"/>
      <c r="Q13" s="551"/>
      <c r="R13" s="551"/>
      <c r="S13" s="551"/>
      <c r="T13" s="551"/>
      <c r="U13" s="551"/>
      <c r="V13" s="551"/>
      <c r="W13" s="446"/>
      <c r="X13" s="471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</row>
    <row r="14" spans="1:52" s="417" customFormat="1" ht="15" customHeight="1">
      <c r="A14" s="561" t="s">
        <v>32</v>
      </c>
      <c r="B14" s="447"/>
      <c r="C14" s="448"/>
      <c r="D14" s="447"/>
      <c r="E14" s="551"/>
      <c r="F14" s="446"/>
      <c r="G14" s="446"/>
      <c r="H14" s="446"/>
      <c r="I14" s="446"/>
      <c r="J14" s="551"/>
      <c r="K14" s="551"/>
      <c r="L14" s="551"/>
      <c r="M14" s="562"/>
      <c r="N14" s="551"/>
      <c r="O14" s="551"/>
      <c r="P14" s="551"/>
      <c r="Q14" s="551"/>
      <c r="R14" s="551"/>
      <c r="S14" s="551"/>
      <c r="T14" s="551"/>
      <c r="U14" s="551"/>
      <c r="V14" s="551"/>
      <c r="W14" s="446"/>
      <c r="X14" s="471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</row>
    <row r="15" spans="1:52" s="417" customFormat="1" ht="15" customHeight="1">
      <c r="A15" s="561" t="s">
        <v>32</v>
      </c>
      <c r="B15" s="447"/>
      <c r="C15" s="448"/>
      <c r="D15" s="447"/>
      <c r="E15" s="551"/>
      <c r="F15" s="446"/>
      <c r="G15" s="446"/>
      <c r="H15" s="446"/>
      <c r="I15" s="446"/>
      <c r="J15" s="551"/>
      <c r="K15" s="551"/>
      <c r="L15" s="551"/>
      <c r="M15" s="562"/>
      <c r="N15" s="551"/>
      <c r="O15" s="551"/>
      <c r="P15" s="551"/>
      <c r="Q15" s="551"/>
      <c r="R15" s="551"/>
      <c r="S15" s="551"/>
      <c r="T15" s="551"/>
      <c r="U15" s="551"/>
      <c r="V15" s="551"/>
      <c r="W15" s="446"/>
      <c r="X15" s="471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</row>
    <row r="16" spans="1:52" s="417" customFormat="1" ht="15" customHeight="1">
      <c r="A16" s="561" t="s">
        <v>32</v>
      </c>
      <c r="B16" s="447"/>
      <c r="C16" s="448"/>
      <c r="D16" s="447"/>
      <c r="E16" s="551"/>
      <c r="F16" s="446"/>
      <c r="G16" s="446"/>
      <c r="H16" s="446"/>
      <c r="I16" s="446"/>
      <c r="J16" s="551"/>
      <c r="K16" s="551"/>
      <c r="L16" s="551"/>
      <c r="M16" s="562"/>
      <c r="N16" s="551"/>
      <c r="O16" s="551"/>
      <c r="P16" s="551"/>
      <c r="Q16" s="551"/>
      <c r="R16" s="551"/>
      <c r="S16" s="551"/>
      <c r="T16" s="551"/>
      <c r="U16" s="551"/>
      <c r="V16" s="551"/>
      <c r="W16" s="446"/>
      <c r="X16" s="471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</row>
    <row r="17" spans="1:52" s="417" customFormat="1" ht="15" customHeight="1">
      <c r="A17" s="561" t="s">
        <v>32</v>
      </c>
      <c r="B17" s="447"/>
      <c r="C17" s="448"/>
      <c r="D17" s="447"/>
      <c r="E17" s="551"/>
      <c r="F17" s="614"/>
      <c r="G17" s="614"/>
      <c r="H17" s="614"/>
      <c r="I17" s="614"/>
      <c r="J17" s="551"/>
      <c r="K17" s="551"/>
      <c r="L17" s="551"/>
      <c r="M17" s="562"/>
      <c r="N17" s="551"/>
      <c r="O17" s="551"/>
      <c r="P17" s="551"/>
      <c r="Q17" s="551"/>
      <c r="R17" s="551"/>
      <c r="S17" s="551"/>
      <c r="T17" s="551"/>
      <c r="U17" s="551"/>
      <c r="V17" s="551"/>
      <c r="W17" s="446"/>
      <c r="X17" s="471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</row>
    <row r="18" spans="1:52" s="417" customFormat="1" ht="15" customHeight="1">
      <c r="A18" s="561" t="s">
        <v>32</v>
      </c>
      <c r="B18" s="447"/>
      <c r="C18" s="448"/>
      <c r="D18" s="447"/>
      <c r="E18" s="551"/>
      <c r="F18" s="614"/>
      <c r="G18" s="614"/>
      <c r="H18" s="614"/>
      <c r="I18" s="614"/>
      <c r="J18" s="551"/>
      <c r="K18" s="551"/>
      <c r="L18" s="551"/>
      <c r="M18" s="562"/>
      <c r="N18" s="551"/>
      <c r="O18" s="551"/>
      <c r="P18" s="551"/>
      <c r="Q18" s="551"/>
      <c r="R18" s="551"/>
      <c r="S18" s="551"/>
      <c r="T18" s="551"/>
      <c r="U18" s="551"/>
      <c r="V18" s="551"/>
      <c r="W18" s="446"/>
      <c r="X18" s="471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</row>
    <row r="19" spans="1:52" s="417" customFormat="1" ht="15" customHeight="1">
      <c r="A19" s="561" t="s">
        <v>32</v>
      </c>
      <c r="B19" s="447"/>
      <c r="C19" s="448"/>
      <c r="D19" s="447"/>
      <c r="E19" s="551"/>
      <c r="F19" s="540"/>
      <c r="G19" s="540"/>
      <c r="H19" s="540"/>
      <c r="I19" s="540"/>
      <c r="J19" s="551"/>
      <c r="K19" s="551"/>
      <c r="L19" s="551"/>
      <c r="M19" s="562"/>
      <c r="N19" s="551"/>
      <c r="O19" s="551"/>
      <c r="P19" s="551"/>
      <c r="Q19" s="551"/>
      <c r="R19" s="551"/>
      <c r="S19" s="551"/>
      <c r="T19" s="551"/>
      <c r="U19" s="551"/>
      <c r="V19" s="551"/>
      <c r="W19" s="446"/>
      <c r="X19" s="471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</row>
    <row r="20" spans="1:52" s="417" customFormat="1" ht="15" customHeight="1">
      <c r="A20" s="561" t="s">
        <v>32</v>
      </c>
      <c r="B20" s="447"/>
      <c r="C20" s="448"/>
      <c r="D20" s="447"/>
      <c r="E20" s="551"/>
      <c r="F20" s="446"/>
      <c r="G20" s="446"/>
      <c r="H20" s="446"/>
      <c r="I20" s="446"/>
      <c r="J20" s="551"/>
      <c r="K20" s="551"/>
      <c r="L20" s="551"/>
      <c r="M20" s="562"/>
      <c r="N20" s="551"/>
      <c r="O20" s="551"/>
      <c r="P20" s="551"/>
      <c r="Q20" s="551"/>
      <c r="R20" s="551"/>
      <c r="S20" s="551"/>
      <c r="T20" s="551"/>
      <c r="U20" s="551"/>
      <c r="V20" s="551"/>
      <c r="W20" s="446"/>
      <c r="X20" s="471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</row>
    <row r="21" spans="1:52" s="417" customFormat="1" ht="15" customHeight="1">
      <c r="A21" s="561" t="s">
        <v>32</v>
      </c>
      <c r="B21" s="447"/>
      <c r="C21" s="448"/>
      <c r="D21" s="447"/>
      <c r="E21" s="551"/>
      <c r="F21" s="491"/>
      <c r="G21" s="491"/>
      <c r="H21" s="491"/>
      <c r="I21" s="491"/>
      <c r="J21" s="551"/>
      <c r="K21" s="551"/>
      <c r="L21" s="551"/>
      <c r="M21" s="562"/>
      <c r="N21" s="551"/>
      <c r="O21" s="551"/>
      <c r="P21" s="551"/>
      <c r="Q21" s="551"/>
      <c r="R21" s="551"/>
      <c r="S21" s="551"/>
      <c r="T21" s="551"/>
      <c r="U21" s="551"/>
      <c r="V21" s="551"/>
      <c r="W21" s="446"/>
      <c r="X21" s="471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</row>
    <row r="22" spans="1:52">
      <c r="A22" s="561" t="s">
        <v>32</v>
      </c>
      <c r="B22" s="446"/>
      <c r="C22" s="446"/>
      <c r="D22" s="446"/>
      <c r="E22" s="565"/>
      <c r="F22" s="540"/>
      <c r="G22" s="540"/>
      <c r="H22" s="540"/>
      <c r="I22" s="540"/>
      <c r="J22" s="565">
        <v>0</v>
      </c>
      <c r="K22" s="565">
        <v>0</v>
      </c>
      <c r="L22" s="565">
        <v>0</v>
      </c>
      <c r="M22" s="565">
        <v>0</v>
      </c>
      <c r="N22" s="565">
        <v>0</v>
      </c>
      <c r="O22" s="565">
        <v>0</v>
      </c>
      <c r="P22" s="565">
        <v>0</v>
      </c>
      <c r="Q22" s="565">
        <v>0</v>
      </c>
      <c r="R22" s="565">
        <v>0</v>
      </c>
      <c r="S22" s="565">
        <v>0</v>
      </c>
      <c r="T22" s="565">
        <v>0</v>
      </c>
      <c r="U22" s="565">
        <v>0</v>
      </c>
      <c r="V22" s="566" t="s">
        <v>15</v>
      </c>
      <c r="W22" s="446"/>
      <c r="X22" s="567"/>
      <c r="Y22" s="446"/>
      <c r="Z22" s="446"/>
      <c r="AA22" s="565"/>
      <c r="AB22" s="565"/>
      <c r="AC22" s="565"/>
      <c r="AD22" s="565"/>
      <c r="AE22" s="565"/>
      <c r="AF22" s="565"/>
      <c r="AG22" s="565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</row>
    <row r="23" spans="1:52">
      <c r="A23" s="561" t="s">
        <v>32</v>
      </c>
      <c r="B23" s="446"/>
      <c r="C23" s="446"/>
      <c r="D23" s="446"/>
      <c r="E23" s="565"/>
      <c r="F23" s="540"/>
      <c r="G23" s="540"/>
      <c r="H23" s="540"/>
      <c r="I23" s="540"/>
      <c r="J23" s="565">
        <v>0</v>
      </c>
      <c r="K23" s="565">
        <v>0</v>
      </c>
      <c r="L23" s="565">
        <v>0</v>
      </c>
      <c r="M23" s="565">
        <v>0</v>
      </c>
      <c r="N23" s="565">
        <v>0</v>
      </c>
      <c r="O23" s="565">
        <v>0</v>
      </c>
      <c r="P23" s="565">
        <v>0</v>
      </c>
      <c r="Q23" s="565">
        <v>0</v>
      </c>
      <c r="R23" s="565">
        <v>0</v>
      </c>
      <c r="S23" s="565">
        <v>0</v>
      </c>
      <c r="T23" s="565">
        <v>0</v>
      </c>
      <c r="U23" s="565">
        <v>0</v>
      </c>
      <c r="V23" s="536"/>
      <c r="W23" s="579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</row>
    <row r="24" spans="1:52" ht="15" customHeight="1">
      <c r="A24" s="561" t="s">
        <v>32</v>
      </c>
      <c r="B24" s="446"/>
      <c r="C24" s="446"/>
      <c r="D24" s="446"/>
      <c r="E24" s="565"/>
      <c r="F24" s="540"/>
      <c r="G24" s="540"/>
      <c r="H24" s="540"/>
      <c r="I24" s="540"/>
      <c r="J24" s="565">
        <v>0</v>
      </c>
      <c r="K24" s="565">
        <v>0</v>
      </c>
      <c r="L24" s="565">
        <v>0</v>
      </c>
      <c r="M24" s="565">
        <v>0</v>
      </c>
      <c r="N24" s="565">
        <v>0</v>
      </c>
      <c r="O24" s="565">
        <v>0</v>
      </c>
      <c r="P24" s="565">
        <v>0</v>
      </c>
      <c r="Q24" s="565">
        <v>0</v>
      </c>
      <c r="R24" s="565">
        <v>0</v>
      </c>
      <c r="S24" s="565">
        <v>0</v>
      </c>
      <c r="T24" s="565">
        <v>0</v>
      </c>
      <c r="U24" s="565">
        <v>0</v>
      </c>
      <c r="V24" s="536"/>
      <c r="W24" s="579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</row>
    <row r="25" spans="1:52">
      <c r="A25" s="572" t="s">
        <v>35</v>
      </c>
      <c r="B25" s="458" t="s">
        <v>36</v>
      </c>
      <c r="C25" s="458" t="s">
        <v>37</v>
      </c>
      <c r="D25" s="446"/>
      <c r="E25" s="565"/>
      <c r="F25" s="540"/>
      <c r="G25" s="540"/>
      <c r="H25" s="540"/>
      <c r="I25" s="540"/>
      <c r="J25" s="573">
        <f t="shared" ref="J25:U25" si="0">SUM(J22:J24)</f>
        <v>0</v>
      </c>
      <c r="K25" s="573">
        <f t="shared" si="0"/>
        <v>0</v>
      </c>
      <c r="L25" s="573">
        <f t="shared" si="0"/>
        <v>0</v>
      </c>
      <c r="M25" s="573">
        <f t="shared" si="0"/>
        <v>0</v>
      </c>
      <c r="N25" s="573">
        <f t="shared" si="0"/>
        <v>0</v>
      </c>
      <c r="O25" s="573">
        <f t="shared" si="0"/>
        <v>0</v>
      </c>
      <c r="P25" s="573">
        <f t="shared" si="0"/>
        <v>0</v>
      </c>
      <c r="Q25" s="573">
        <f t="shared" si="0"/>
        <v>0</v>
      </c>
      <c r="R25" s="565">
        <f t="shared" si="0"/>
        <v>0</v>
      </c>
      <c r="S25" s="565">
        <f t="shared" si="0"/>
        <v>0</v>
      </c>
      <c r="T25" s="565">
        <f t="shared" si="0"/>
        <v>0</v>
      </c>
      <c r="U25" s="565">
        <f t="shared" si="0"/>
        <v>0</v>
      </c>
      <c r="V25" s="565"/>
      <c r="W25" s="545"/>
      <c r="X25" s="545"/>
      <c r="Y25" s="446"/>
      <c r="Z25" s="491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</row>
    <row r="26" spans="1:52" ht="15" customHeight="1">
      <c r="A26" s="551"/>
      <c r="B26" s="446"/>
      <c r="C26" s="446"/>
      <c r="D26" s="446"/>
      <c r="E26" s="565"/>
      <c r="F26" s="540"/>
      <c r="G26" s="540"/>
      <c r="H26" s="540"/>
      <c r="I26" s="540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45"/>
      <c r="X26" s="545"/>
      <c r="Y26" s="446"/>
      <c r="Z26" s="491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</row>
    <row r="27" spans="1:52">
      <c r="A27" s="561" t="s">
        <v>38</v>
      </c>
      <c r="B27" s="458" t="s">
        <v>12</v>
      </c>
      <c r="C27" s="458" t="s">
        <v>39</v>
      </c>
      <c r="D27" s="446"/>
      <c r="E27" s="565"/>
      <c r="F27" s="540"/>
      <c r="G27" s="540"/>
      <c r="H27" s="540"/>
      <c r="I27" s="540"/>
      <c r="J27" s="564">
        <v>0</v>
      </c>
      <c r="K27" s="564">
        <v>0</v>
      </c>
      <c r="L27" s="564">
        <v>0</v>
      </c>
      <c r="M27" s="564">
        <v>0</v>
      </c>
      <c r="N27" s="564">
        <v>0</v>
      </c>
      <c r="O27" s="564">
        <v>0</v>
      </c>
      <c r="P27" s="564">
        <v>0</v>
      </c>
      <c r="Q27" s="564">
        <v>0</v>
      </c>
      <c r="R27" s="565">
        <v>0</v>
      </c>
      <c r="S27" s="565">
        <v>0</v>
      </c>
      <c r="T27" s="565">
        <v>0</v>
      </c>
      <c r="U27" s="565">
        <v>0</v>
      </c>
      <c r="V27" s="566" t="s">
        <v>15</v>
      </c>
      <c r="W27" s="545"/>
      <c r="X27" s="545"/>
      <c r="Y27" s="497"/>
      <c r="Z27" s="497"/>
      <c r="AA27" s="497"/>
      <c r="AB27" s="497"/>
      <c r="AC27" s="497"/>
      <c r="AD27" s="497"/>
      <c r="AE27" s="497"/>
      <c r="AF27" s="497"/>
      <c r="AG27" s="497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</row>
    <row r="28" spans="1:52" ht="15" customHeight="1">
      <c r="A28" s="486" t="s">
        <v>40</v>
      </c>
      <c r="B28" s="458" t="s">
        <v>12</v>
      </c>
      <c r="C28" s="458" t="s">
        <v>41</v>
      </c>
      <c r="D28" s="446"/>
      <c r="E28" s="565"/>
      <c r="F28" s="540"/>
      <c r="G28" s="540"/>
      <c r="H28" s="540"/>
      <c r="I28" s="540"/>
      <c r="J28" s="564">
        <v>0</v>
      </c>
      <c r="K28" s="564">
        <v>0</v>
      </c>
      <c r="L28" s="564">
        <v>0</v>
      </c>
      <c r="M28" s="564">
        <v>0</v>
      </c>
      <c r="N28" s="564">
        <v>0</v>
      </c>
      <c r="O28" s="564">
        <v>0</v>
      </c>
      <c r="P28" s="564">
        <v>0</v>
      </c>
      <c r="Q28" s="564">
        <v>0</v>
      </c>
      <c r="R28" s="565">
        <v>0</v>
      </c>
      <c r="S28" s="565">
        <v>0</v>
      </c>
      <c r="T28" s="565">
        <v>0</v>
      </c>
      <c r="U28" s="565">
        <v>0</v>
      </c>
      <c r="V28" s="446"/>
      <c r="W28" s="545"/>
      <c r="X28" s="545"/>
      <c r="Y28" s="497"/>
      <c r="Z28" s="497"/>
      <c r="AA28" s="497"/>
      <c r="AB28" s="497"/>
      <c r="AC28" s="497"/>
      <c r="AD28" s="497"/>
      <c r="AE28" s="497"/>
      <c r="AF28" s="497"/>
      <c r="AG28" s="497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</row>
    <row r="29" spans="1:52">
      <c r="A29" s="561" t="s">
        <v>42</v>
      </c>
      <c r="B29" s="458" t="s">
        <v>36</v>
      </c>
      <c r="C29" s="458" t="s">
        <v>43</v>
      </c>
      <c r="D29" s="446"/>
      <c r="E29" s="565"/>
      <c r="F29" s="540"/>
      <c r="G29" s="540"/>
      <c r="H29" s="540"/>
      <c r="I29" s="540"/>
      <c r="J29" s="573">
        <f>+J27+E29+J28</f>
        <v>0</v>
      </c>
      <c r="K29" s="573">
        <f t="shared" ref="K29:U29" si="1">+K27+J29+K28</f>
        <v>0</v>
      </c>
      <c r="L29" s="573">
        <f t="shared" si="1"/>
        <v>0</v>
      </c>
      <c r="M29" s="573">
        <f t="shared" si="1"/>
        <v>0</v>
      </c>
      <c r="N29" s="573">
        <f t="shared" si="1"/>
        <v>0</v>
      </c>
      <c r="O29" s="573">
        <f t="shared" si="1"/>
        <v>0</v>
      </c>
      <c r="P29" s="573">
        <f t="shared" si="1"/>
        <v>0</v>
      </c>
      <c r="Q29" s="573">
        <f t="shared" si="1"/>
        <v>0</v>
      </c>
      <c r="R29" s="565">
        <f t="shared" si="1"/>
        <v>0</v>
      </c>
      <c r="S29" s="565">
        <f t="shared" si="1"/>
        <v>0</v>
      </c>
      <c r="T29" s="565">
        <f t="shared" si="1"/>
        <v>0</v>
      </c>
      <c r="U29" s="565">
        <f t="shared" si="1"/>
        <v>0</v>
      </c>
      <c r="V29" s="446"/>
      <c r="W29" s="545"/>
      <c r="X29" s="545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</row>
    <row r="30" spans="1:52">
      <c r="A30" s="446"/>
      <c r="B30" s="446"/>
      <c r="C30" s="446"/>
      <c r="D30" s="446"/>
      <c r="E30" s="446"/>
      <c r="F30" s="540"/>
      <c r="G30" s="540"/>
      <c r="H30" s="540"/>
      <c r="I30" s="540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545"/>
      <c r="X30" s="545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</row>
    <row r="31" spans="1:52">
      <c r="A31" s="561" t="s">
        <v>44</v>
      </c>
      <c r="B31" s="458" t="s">
        <v>36</v>
      </c>
      <c r="C31" s="458" t="s">
        <v>45</v>
      </c>
      <c r="D31" s="446"/>
      <c r="E31" s="577"/>
      <c r="F31" s="540"/>
      <c r="G31" s="540"/>
      <c r="H31" s="540"/>
      <c r="I31" s="540"/>
      <c r="J31" s="578">
        <f t="shared" ref="J31:U31" si="2">+J25+J27</f>
        <v>0</v>
      </c>
      <c r="K31" s="578">
        <f t="shared" si="2"/>
        <v>0</v>
      </c>
      <c r="L31" s="578">
        <f t="shared" si="2"/>
        <v>0</v>
      </c>
      <c r="M31" s="578">
        <f t="shared" si="2"/>
        <v>0</v>
      </c>
      <c r="N31" s="578">
        <f t="shared" si="2"/>
        <v>0</v>
      </c>
      <c r="O31" s="578">
        <f t="shared" si="2"/>
        <v>0</v>
      </c>
      <c r="P31" s="578">
        <f t="shared" si="2"/>
        <v>0</v>
      </c>
      <c r="Q31" s="578">
        <f t="shared" si="2"/>
        <v>0</v>
      </c>
      <c r="R31" s="505">
        <f t="shared" si="2"/>
        <v>0</v>
      </c>
      <c r="S31" s="505">
        <f t="shared" si="2"/>
        <v>0</v>
      </c>
      <c r="T31" s="505">
        <f t="shared" si="2"/>
        <v>0</v>
      </c>
      <c r="U31" s="505">
        <f t="shared" si="2"/>
        <v>0</v>
      </c>
      <c r="V31" s="446"/>
      <c r="W31" s="545"/>
      <c r="X31" s="545"/>
      <c r="Y31" s="446"/>
      <c r="Z31" s="446"/>
      <c r="AA31" s="446"/>
      <c r="AB31" s="497"/>
      <c r="AC31" s="497"/>
      <c r="AD31" s="497"/>
      <c r="AE31" s="497"/>
      <c r="AF31" s="497"/>
      <c r="AG31" s="497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</row>
    <row r="32" spans="1:52">
      <c r="A32" s="561" t="s">
        <v>46</v>
      </c>
      <c r="B32" s="458" t="s">
        <v>36</v>
      </c>
      <c r="C32" s="458" t="s">
        <v>47</v>
      </c>
      <c r="D32" s="446"/>
      <c r="E32" s="577"/>
      <c r="F32" s="540"/>
      <c r="G32" s="540"/>
      <c r="H32" s="540"/>
      <c r="I32" s="540"/>
      <c r="J32" s="578">
        <f t="shared" ref="J32:U32" si="3">+J28+J31</f>
        <v>0</v>
      </c>
      <c r="K32" s="578">
        <f t="shared" si="3"/>
        <v>0</v>
      </c>
      <c r="L32" s="578">
        <f t="shared" si="3"/>
        <v>0</v>
      </c>
      <c r="M32" s="578">
        <f t="shared" si="3"/>
        <v>0</v>
      </c>
      <c r="N32" s="578">
        <f t="shared" si="3"/>
        <v>0</v>
      </c>
      <c r="O32" s="578">
        <f t="shared" si="3"/>
        <v>0</v>
      </c>
      <c r="P32" s="578">
        <f t="shared" si="3"/>
        <v>0</v>
      </c>
      <c r="Q32" s="578">
        <f t="shared" si="3"/>
        <v>0</v>
      </c>
      <c r="R32" s="505">
        <f t="shared" si="3"/>
        <v>0</v>
      </c>
      <c r="S32" s="505">
        <f t="shared" si="3"/>
        <v>0</v>
      </c>
      <c r="T32" s="505">
        <f t="shared" si="3"/>
        <v>0</v>
      </c>
      <c r="U32" s="505">
        <f t="shared" si="3"/>
        <v>0</v>
      </c>
      <c r="V32" s="446"/>
      <c r="W32" s="545"/>
      <c r="X32" s="545"/>
      <c r="Y32" s="446"/>
      <c r="Z32" s="446"/>
      <c r="AA32" s="446"/>
      <c r="AB32" s="497"/>
      <c r="AC32" s="497"/>
      <c r="AD32" s="497"/>
      <c r="AE32" s="497"/>
      <c r="AF32" s="497"/>
      <c r="AG32" s="497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</row>
    <row r="33" spans="1:52">
      <c r="A33" s="446"/>
      <c r="B33" s="446"/>
      <c r="C33" s="446"/>
      <c r="D33" s="446"/>
      <c r="E33" s="565"/>
      <c r="F33" s="614"/>
      <c r="G33" s="614"/>
      <c r="H33" s="614"/>
      <c r="I33" s="614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45"/>
      <c r="X33" s="545"/>
      <c r="Y33" s="446"/>
      <c r="Z33" s="446"/>
      <c r="AA33" s="446"/>
      <c r="AB33" s="497"/>
      <c r="AC33" s="497"/>
      <c r="AD33" s="497"/>
      <c r="AE33" s="497"/>
      <c r="AF33" s="497"/>
      <c r="AG33" s="497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</row>
    <row r="34" spans="1:52" ht="15" customHeight="1">
      <c r="A34" s="561" t="s">
        <v>48</v>
      </c>
      <c r="B34" s="446"/>
      <c r="C34" s="458" t="s">
        <v>49</v>
      </c>
      <c r="D34" s="446"/>
      <c r="E34" s="565"/>
      <c r="F34" s="540"/>
      <c r="G34" s="540"/>
      <c r="H34" s="540"/>
      <c r="I34" s="540"/>
      <c r="J34" s="565"/>
      <c r="K34" s="565"/>
      <c r="L34" s="446"/>
      <c r="M34" s="446"/>
      <c r="N34" s="565"/>
      <c r="O34" s="580"/>
      <c r="P34" s="580"/>
      <c r="Q34" s="580"/>
      <c r="R34" s="580"/>
      <c r="S34" s="580"/>
      <c r="T34" s="580"/>
      <c r="U34" s="580"/>
      <c r="V34" s="565"/>
      <c r="W34" s="545"/>
      <c r="X34" s="545"/>
      <c r="Y34" s="497"/>
      <c r="Z34" s="497"/>
      <c r="AA34" s="497"/>
      <c r="AB34" s="497"/>
      <c r="AC34" s="497"/>
      <c r="AD34" s="497"/>
      <c r="AE34" s="497"/>
      <c r="AF34" s="497"/>
      <c r="AG34" s="497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</row>
    <row r="35" spans="1:52">
      <c r="A35" s="593" t="s">
        <v>50</v>
      </c>
      <c r="B35" s="458" t="s">
        <v>12</v>
      </c>
      <c r="C35" s="458" t="s">
        <v>51</v>
      </c>
      <c r="D35" s="458" t="s">
        <v>14</v>
      </c>
      <c r="E35" s="565"/>
      <c r="F35" s="446"/>
      <c r="G35" s="446"/>
      <c r="H35" s="446"/>
      <c r="I35" s="446"/>
      <c r="J35" s="564">
        <v>0</v>
      </c>
      <c r="K35" s="564">
        <v>0</v>
      </c>
      <c r="L35" s="564">
        <v>0</v>
      </c>
      <c r="M35" s="564">
        <v>0</v>
      </c>
      <c r="N35" s="564">
        <f t="shared" ref="N35:Q36" si="4">60000/4</f>
        <v>15000</v>
      </c>
      <c r="O35" s="564">
        <f t="shared" si="4"/>
        <v>15000</v>
      </c>
      <c r="P35" s="564">
        <f t="shared" si="4"/>
        <v>15000</v>
      </c>
      <c r="Q35" s="564">
        <f t="shared" si="4"/>
        <v>15000</v>
      </c>
      <c r="R35" s="565">
        <v>60000</v>
      </c>
      <c r="S35" s="565">
        <v>60000</v>
      </c>
      <c r="T35" s="565">
        <v>60000</v>
      </c>
      <c r="U35" s="565">
        <v>60000</v>
      </c>
      <c r="V35" s="458" t="s">
        <v>15</v>
      </c>
      <c r="W35" s="545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</row>
    <row r="36" spans="1:52">
      <c r="A36" s="593" t="s">
        <v>1001</v>
      </c>
      <c r="B36" s="458" t="s">
        <v>12</v>
      </c>
      <c r="C36" s="458" t="s">
        <v>51</v>
      </c>
      <c r="D36" s="458" t="s">
        <v>19</v>
      </c>
      <c r="E36" s="565"/>
      <c r="F36" s="544"/>
      <c r="G36" s="544"/>
      <c r="H36" s="544"/>
      <c r="I36" s="544"/>
      <c r="J36" s="564">
        <v>0</v>
      </c>
      <c r="K36" s="564">
        <v>0</v>
      </c>
      <c r="L36" s="564">
        <v>0</v>
      </c>
      <c r="M36" s="564">
        <v>0</v>
      </c>
      <c r="N36" s="564">
        <f t="shared" si="4"/>
        <v>15000</v>
      </c>
      <c r="O36" s="564">
        <f t="shared" si="4"/>
        <v>15000</v>
      </c>
      <c r="P36" s="564">
        <f t="shared" si="4"/>
        <v>15000</v>
      </c>
      <c r="Q36" s="564">
        <f t="shared" si="4"/>
        <v>15000</v>
      </c>
      <c r="R36" s="565">
        <v>60000</v>
      </c>
      <c r="S36" s="565">
        <v>60000</v>
      </c>
      <c r="T36" s="565">
        <v>60000</v>
      </c>
      <c r="U36" s="565">
        <v>60000</v>
      </c>
      <c r="V36" s="446"/>
      <c r="W36" s="545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</row>
    <row r="37" spans="1:52">
      <c r="A37" s="593" t="s">
        <v>53</v>
      </c>
      <c r="B37" s="458" t="s">
        <v>12</v>
      </c>
      <c r="C37" s="458" t="s">
        <v>51</v>
      </c>
      <c r="D37" s="458" t="s">
        <v>24</v>
      </c>
      <c r="E37" s="565"/>
      <c r="F37" s="544"/>
      <c r="G37" s="544"/>
      <c r="H37" s="544"/>
      <c r="I37" s="544"/>
      <c r="J37" s="564">
        <v>0</v>
      </c>
      <c r="K37" s="564">
        <v>0</v>
      </c>
      <c r="L37" s="564">
        <v>0</v>
      </c>
      <c r="M37" s="564">
        <v>0</v>
      </c>
      <c r="N37" s="564">
        <v>0</v>
      </c>
      <c r="O37" s="564">
        <v>0</v>
      </c>
      <c r="P37" s="564">
        <v>0</v>
      </c>
      <c r="Q37" s="564">
        <v>0</v>
      </c>
      <c r="R37" s="565">
        <f>15000*2</f>
        <v>30000</v>
      </c>
      <c r="S37" s="565">
        <v>60000</v>
      </c>
      <c r="T37" s="565">
        <v>60000</v>
      </c>
      <c r="U37" s="565">
        <v>60000</v>
      </c>
      <c r="V37" s="446"/>
      <c r="W37" s="545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</row>
    <row r="38" spans="1:52">
      <c r="A38" s="593" t="s">
        <v>28</v>
      </c>
      <c r="B38" s="458" t="s">
        <v>12</v>
      </c>
      <c r="C38" s="458" t="s">
        <v>51</v>
      </c>
      <c r="D38" s="458" t="s">
        <v>29</v>
      </c>
      <c r="E38" s="565"/>
      <c r="F38" s="544"/>
      <c r="G38" s="544"/>
      <c r="H38" s="544"/>
      <c r="I38" s="544"/>
      <c r="J38" s="564">
        <v>0</v>
      </c>
      <c r="K38" s="564">
        <v>0</v>
      </c>
      <c r="L38" s="564">
        <v>0</v>
      </c>
      <c r="M38" s="564">
        <v>0</v>
      </c>
      <c r="N38" s="564">
        <v>0</v>
      </c>
      <c r="O38" s="564">
        <v>0</v>
      </c>
      <c r="P38" s="564">
        <v>0</v>
      </c>
      <c r="Q38" s="564">
        <v>0</v>
      </c>
      <c r="R38" s="565">
        <v>0</v>
      </c>
      <c r="S38" s="565">
        <v>60000</v>
      </c>
      <c r="T38" s="565">
        <v>60000</v>
      </c>
      <c r="U38" s="565">
        <v>60000</v>
      </c>
      <c r="V38" s="446"/>
      <c r="W38" s="545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</row>
    <row r="39" spans="1:52">
      <c r="A39" s="593" t="s">
        <v>54</v>
      </c>
      <c r="B39" s="458" t="s">
        <v>12</v>
      </c>
      <c r="C39" s="458" t="s">
        <v>51</v>
      </c>
      <c r="D39" s="458" t="s">
        <v>27</v>
      </c>
      <c r="E39" s="565"/>
      <c r="F39" s="544"/>
      <c r="G39" s="544"/>
      <c r="H39" s="544"/>
      <c r="I39" s="544"/>
      <c r="J39" s="564">
        <v>0</v>
      </c>
      <c r="K39" s="564">
        <v>0</v>
      </c>
      <c r="L39" s="564">
        <v>0</v>
      </c>
      <c r="M39" s="564">
        <v>0</v>
      </c>
      <c r="N39" s="564">
        <v>0</v>
      </c>
      <c r="O39" s="564">
        <f t="shared" ref="O39:U39" si="5">+N39</f>
        <v>0</v>
      </c>
      <c r="P39" s="564">
        <f t="shared" si="5"/>
        <v>0</v>
      </c>
      <c r="Q39" s="564">
        <f t="shared" si="5"/>
        <v>0</v>
      </c>
      <c r="R39" s="565">
        <f t="shared" si="5"/>
        <v>0</v>
      </c>
      <c r="S39" s="565">
        <f t="shared" si="5"/>
        <v>0</v>
      </c>
      <c r="T39" s="565">
        <f t="shared" si="5"/>
        <v>0</v>
      </c>
      <c r="U39" s="565">
        <f t="shared" si="5"/>
        <v>0</v>
      </c>
      <c r="V39" s="446"/>
      <c r="W39" s="545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</row>
    <row r="40" spans="1:52" s="417" customFormat="1">
      <c r="A40" s="561" t="s">
        <v>32</v>
      </c>
      <c r="B40" s="447"/>
      <c r="C40" s="448"/>
      <c r="D40" s="447"/>
      <c r="E40" s="565"/>
      <c r="F40" s="544"/>
      <c r="G40" s="544"/>
      <c r="H40" s="544"/>
      <c r="I40" s="544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446"/>
      <c r="W40" s="545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</row>
    <row r="41" spans="1:52" s="417" customFormat="1">
      <c r="A41" s="561" t="s">
        <v>32</v>
      </c>
      <c r="B41" s="447"/>
      <c r="C41" s="448"/>
      <c r="D41" s="447"/>
      <c r="E41" s="565"/>
      <c r="F41" s="540"/>
      <c r="G41" s="540"/>
      <c r="H41" s="540"/>
      <c r="I41" s="540"/>
      <c r="J41" s="565"/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U41" s="565"/>
      <c r="V41" s="446"/>
      <c r="W41" s="545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</row>
    <row r="42" spans="1:52" s="417" customFormat="1">
      <c r="A42" s="561" t="s">
        <v>32</v>
      </c>
      <c r="B42" s="447"/>
      <c r="C42" s="448"/>
      <c r="D42" s="447"/>
      <c r="E42" s="565"/>
      <c r="F42" s="544"/>
      <c r="G42" s="544"/>
      <c r="H42" s="544"/>
      <c r="I42" s="544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5"/>
      <c r="V42" s="446"/>
      <c r="W42" s="545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</row>
    <row r="43" spans="1:52" s="417" customFormat="1">
      <c r="A43" s="561" t="s">
        <v>32</v>
      </c>
      <c r="B43" s="447"/>
      <c r="C43" s="448"/>
      <c r="D43" s="447"/>
      <c r="E43" s="565"/>
      <c r="F43" s="544"/>
      <c r="G43" s="544"/>
      <c r="H43" s="544"/>
      <c r="I43" s="544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5"/>
      <c r="V43" s="446"/>
      <c r="W43" s="545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</row>
    <row r="44" spans="1:52" s="417" customFormat="1">
      <c r="A44" s="561" t="s">
        <v>32</v>
      </c>
      <c r="B44" s="447"/>
      <c r="C44" s="448"/>
      <c r="D44" s="447"/>
      <c r="E44" s="565"/>
      <c r="F44" s="544"/>
      <c r="G44" s="544"/>
      <c r="H44" s="544"/>
      <c r="I44" s="544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U44" s="565"/>
      <c r="V44" s="446"/>
      <c r="W44" s="545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</row>
    <row r="45" spans="1:52" ht="15" customHeight="1">
      <c r="A45" s="593" t="s">
        <v>30</v>
      </c>
      <c r="B45" s="458" t="s">
        <v>12</v>
      </c>
      <c r="C45" s="458" t="s">
        <v>51</v>
      </c>
      <c r="D45" s="458" t="s">
        <v>31</v>
      </c>
      <c r="E45" s="565"/>
      <c r="F45" s="544"/>
      <c r="G45" s="544"/>
      <c r="H45" s="544"/>
      <c r="I45" s="544"/>
      <c r="J45" s="564"/>
      <c r="K45" s="564"/>
      <c r="L45" s="564"/>
      <c r="M45" s="564"/>
      <c r="N45" s="564"/>
      <c r="O45" s="564"/>
      <c r="P45" s="564"/>
      <c r="Q45" s="564"/>
      <c r="R45" s="565"/>
      <c r="S45" s="565"/>
      <c r="T45" s="565"/>
      <c r="U45" s="565"/>
      <c r="V45" s="446"/>
      <c r="W45" s="545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</row>
    <row r="46" spans="1:52" s="30" customFormat="1">
      <c r="A46" s="572" t="s">
        <v>1002</v>
      </c>
      <c r="B46" s="548" t="s">
        <v>36</v>
      </c>
      <c r="C46" s="546" t="s">
        <v>56</v>
      </c>
      <c r="D46" s="447"/>
      <c r="E46" s="565"/>
      <c r="F46" s="544"/>
      <c r="G46" s="544"/>
      <c r="H46" s="544"/>
      <c r="I46" s="544"/>
      <c r="J46" s="573">
        <f t="shared" ref="J46:U46" si="6">SUM(J35:J45)</f>
        <v>0</v>
      </c>
      <c r="K46" s="573">
        <f t="shared" si="6"/>
        <v>0</v>
      </c>
      <c r="L46" s="573">
        <f t="shared" si="6"/>
        <v>0</v>
      </c>
      <c r="M46" s="573">
        <f t="shared" si="6"/>
        <v>0</v>
      </c>
      <c r="N46" s="573">
        <f t="shared" si="6"/>
        <v>30000</v>
      </c>
      <c r="O46" s="573">
        <f t="shared" si="6"/>
        <v>30000</v>
      </c>
      <c r="P46" s="573">
        <f t="shared" si="6"/>
        <v>30000</v>
      </c>
      <c r="Q46" s="573">
        <f t="shared" si="6"/>
        <v>30000</v>
      </c>
      <c r="R46" s="565">
        <f t="shared" si="6"/>
        <v>150000</v>
      </c>
      <c r="S46" s="565">
        <f t="shared" si="6"/>
        <v>240000</v>
      </c>
      <c r="T46" s="565">
        <f t="shared" si="6"/>
        <v>240000</v>
      </c>
      <c r="U46" s="565">
        <f t="shared" si="6"/>
        <v>240000</v>
      </c>
      <c r="V46" s="565"/>
      <c r="W46" s="446"/>
      <c r="X46" s="446"/>
      <c r="Y46" s="446"/>
      <c r="Z46" s="446"/>
      <c r="AA46" s="446"/>
      <c r="AB46" s="446"/>
      <c r="AC46" s="446"/>
      <c r="AD46" s="505"/>
      <c r="AE46" s="505"/>
      <c r="AF46" s="505"/>
      <c r="AG46" s="505"/>
      <c r="AH46" s="505"/>
      <c r="AI46" s="505"/>
      <c r="AJ46" s="505"/>
      <c r="AK46" s="446"/>
      <c r="AL46" s="505"/>
      <c r="AM46" s="505"/>
      <c r="AN46" s="505"/>
      <c r="AO46" s="505"/>
      <c r="AP46" s="505"/>
      <c r="AQ46" s="505"/>
      <c r="AR46" s="505"/>
      <c r="AS46" s="446"/>
      <c r="AT46" s="446"/>
      <c r="AU46" s="446"/>
      <c r="AV46" s="446"/>
      <c r="AW46" s="446"/>
      <c r="AX46" s="446"/>
      <c r="AY46" s="446"/>
      <c r="AZ46" s="446"/>
    </row>
    <row r="47" spans="1:52" ht="15" customHeight="1">
      <c r="A47" s="446"/>
      <c r="B47" s="446"/>
      <c r="C47" s="446"/>
      <c r="D47" s="446"/>
      <c r="E47" s="565"/>
      <c r="F47" s="544"/>
      <c r="G47" s="544"/>
      <c r="H47" s="544"/>
      <c r="I47" s="544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45"/>
      <c r="X47" s="545"/>
      <c r="Y47" s="446"/>
      <c r="Z47" s="446"/>
      <c r="AA47" s="446"/>
      <c r="AB47" s="497"/>
      <c r="AC47" s="497"/>
      <c r="AD47" s="497"/>
      <c r="AE47" s="497"/>
      <c r="AF47" s="497"/>
      <c r="AG47" s="497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</row>
    <row r="48" spans="1:52">
      <c r="A48" s="594" t="s">
        <v>38</v>
      </c>
      <c r="B48" s="458" t="s">
        <v>12</v>
      </c>
      <c r="C48" s="458" t="s">
        <v>57</v>
      </c>
      <c r="D48" s="446"/>
      <c r="E48" s="565"/>
      <c r="F48" s="544"/>
      <c r="G48" s="544"/>
      <c r="H48" s="544"/>
      <c r="I48" s="544"/>
      <c r="J48" s="564">
        <f>-J36</f>
        <v>0</v>
      </c>
      <c r="K48" s="564"/>
      <c r="L48" s="564"/>
      <c r="M48" s="564"/>
      <c r="N48" s="564"/>
      <c r="O48" s="564"/>
      <c r="P48" s="564"/>
      <c r="Q48" s="564"/>
      <c r="R48" s="565"/>
      <c r="S48" s="565"/>
      <c r="T48" s="565"/>
      <c r="U48" s="565"/>
      <c r="V48" s="546" t="s">
        <v>15</v>
      </c>
      <c r="W48" s="545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595"/>
      <c r="AI48" s="595"/>
      <c r="AJ48" s="595"/>
      <c r="AK48" s="595"/>
      <c r="AL48" s="596"/>
      <c r="AM48" s="634"/>
      <c r="AN48" s="635"/>
      <c r="AO48" s="635"/>
      <c r="AP48" s="635"/>
      <c r="AQ48" s="635"/>
      <c r="AR48" s="635"/>
      <c r="AS48" s="446"/>
      <c r="AT48" s="634"/>
      <c r="AU48" s="635"/>
      <c r="AV48" s="635"/>
      <c r="AW48" s="635"/>
      <c r="AX48" s="635"/>
      <c r="AY48" s="635"/>
      <c r="AZ48" s="635"/>
    </row>
    <row r="49" spans="1:52" ht="15" customHeight="1">
      <c r="A49" s="594" t="s">
        <v>993</v>
      </c>
      <c r="B49" s="458" t="s">
        <v>12</v>
      </c>
      <c r="C49" s="458" t="s">
        <v>59</v>
      </c>
      <c r="D49" s="446"/>
      <c r="E49" s="565"/>
      <c r="F49" s="565"/>
      <c r="G49" s="565"/>
      <c r="H49" s="565"/>
      <c r="I49" s="565"/>
      <c r="J49" s="564"/>
      <c r="K49" s="564"/>
      <c r="L49" s="564"/>
      <c r="M49" s="564"/>
      <c r="N49" s="564"/>
      <c r="O49" s="564"/>
      <c r="P49" s="564"/>
      <c r="Q49" s="564"/>
      <c r="R49" s="565"/>
      <c r="S49" s="565"/>
      <c r="T49" s="565"/>
      <c r="U49" s="565"/>
      <c r="V49" s="448"/>
      <c r="W49" s="545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595"/>
      <c r="AI49" s="595"/>
      <c r="AJ49" s="595"/>
      <c r="AK49" s="595"/>
      <c r="AL49" s="596"/>
      <c r="AM49" s="471"/>
      <c r="AN49" s="471"/>
      <c r="AO49" s="471"/>
      <c r="AP49" s="471"/>
      <c r="AQ49" s="471"/>
      <c r="AR49" s="471"/>
      <c r="AS49" s="446"/>
      <c r="AT49" s="471"/>
      <c r="AU49" s="471"/>
      <c r="AV49" s="471"/>
      <c r="AW49" s="471"/>
      <c r="AX49" s="471"/>
      <c r="AY49" s="471"/>
      <c r="AZ49" s="471"/>
    </row>
    <row r="50" spans="1:52">
      <c r="A50" s="561" t="s">
        <v>60</v>
      </c>
      <c r="B50" s="458" t="s">
        <v>36</v>
      </c>
      <c r="C50" s="458" t="s">
        <v>61</v>
      </c>
      <c r="D50" s="446"/>
      <c r="E50" s="565"/>
      <c r="F50" s="565"/>
      <c r="G50" s="565"/>
      <c r="H50" s="565"/>
      <c r="I50" s="565"/>
      <c r="J50" s="573">
        <f>+J48+E50+J49</f>
        <v>0</v>
      </c>
      <c r="K50" s="573">
        <f t="shared" ref="K50:U50" si="7">+K48+J50+K49</f>
        <v>0</v>
      </c>
      <c r="L50" s="573">
        <f t="shared" si="7"/>
        <v>0</v>
      </c>
      <c r="M50" s="573">
        <f t="shared" si="7"/>
        <v>0</v>
      </c>
      <c r="N50" s="573">
        <f t="shared" si="7"/>
        <v>0</v>
      </c>
      <c r="O50" s="573">
        <f t="shared" si="7"/>
        <v>0</v>
      </c>
      <c r="P50" s="573">
        <f t="shared" si="7"/>
        <v>0</v>
      </c>
      <c r="Q50" s="573">
        <f t="shared" si="7"/>
        <v>0</v>
      </c>
      <c r="R50" s="565">
        <f t="shared" si="7"/>
        <v>0</v>
      </c>
      <c r="S50" s="565">
        <f t="shared" si="7"/>
        <v>0</v>
      </c>
      <c r="T50" s="565">
        <f t="shared" si="7"/>
        <v>0</v>
      </c>
      <c r="U50" s="565">
        <f t="shared" si="7"/>
        <v>0</v>
      </c>
      <c r="V50" s="565"/>
      <c r="W50" s="545"/>
      <c r="X50" s="545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</row>
    <row r="51" spans="1:52">
      <c r="A51" s="446"/>
      <c r="B51" s="446"/>
      <c r="C51" s="446"/>
      <c r="D51" s="446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45"/>
      <c r="X51" s="545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</row>
    <row r="52" spans="1:52" s="30" customFormat="1">
      <c r="A52" s="561" t="s">
        <v>62</v>
      </c>
      <c r="B52" s="548" t="s">
        <v>36</v>
      </c>
      <c r="C52" s="546" t="s">
        <v>63</v>
      </c>
      <c r="D52" s="447"/>
      <c r="E52" s="597"/>
      <c r="F52" s="565"/>
      <c r="G52" s="565"/>
      <c r="H52" s="565"/>
      <c r="I52" s="565"/>
      <c r="J52" s="582">
        <f t="shared" ref="J52:U52" si="8">+J46+J48</f>
        <v>0</v>
      </c>
      <c r="K52" s="578">
        <f t="shared" si="8"/>
        <v>0</v>
      </c>
      <c r="L52" s="578">
        <f t="shared" si="8"/>
        <v>0</v>
      </c>
      <c r="M52" s="578">
        <f t="shared" si="8"/>
        <v>0</v>
      </c>
      <c r="N52" s="578">
        <f t="shared" si="8"/>
        <v>30000</v>
      </c>
      <c r="O52" s="578">
        <f t="shared" si="8"/>
        <v>30000</v>
      </c>
      <c r="P52" s="578">
        <f t="shared" si="8"/>
        <v>30000</v>
      </c>
      <c r="Q52" s="578">
        <f t="shared" si="8"/>
        <v>30000</v>
      </c>
      <c r="R52" s="497">
        <f t="shared" si="8"/>
        <v>150000</v>
      </c>
      <c r="S52" s="497">
        <f t="shared" si="8"/>
        <v>240000</v>
      </c>
      <c r="T52" s="505">
        <f t="shared" si="8"/>
        <v>240000</v>
      </c>
      <c r="U52" s="505">
        <f t="shared" si="8"/>
        <v>240000</v>
      </c>
      <c r="V52" s="565"/>
      <c r="W52" s="446"/>
      <c r="X52" s="446"/>
      <c r="Y52" s="446"/>
      <c r="Z52" s="446"/>
      <c r="AA52" s="446"/>
      <c r="AB52" s="446"/>
      <c r="AC52" s="446"/>
      <c r="AD52" s="505"/>
      <c r="AE52" s="505"/>
      <c r="AF52" s="505"/>
      <c r="AG52" s="505"/>
      <c r="AH52" s="505"/>
      <c r="AI52" s="505"/>
      <c r="AJ52" s="505"/>
      <c r="AK52" s="446"/>
      <c r="AL52" s="505"/>
      <c r="AM52" s="505"/>
      <c r="AN52" s="505"/>
      <c r="AO52" s="505"/>
      <c r="AP52" s="505"/>
      <c r="AQ52" s="505"/>
      <c r="AR52" s="505"/>
      <c r="AS52" s="446"/>
      <c r="AT52" s="446"/>
      <c r="AU52" s="446"/>
      <c r="AV52" s="446"/>
      <c r="AW52" s="446"/>
      <c r="AX52" s="446"/>
      <c r="AY52" s="446"/>
      <c r="AZ52" s="446"/>
    </row>
    <row r="53" spans="1:52" s="30" customFormat="1">
      <c r="A53" s="561" t="s">
        <v>64</v>
      </c>
      <c r="B53" s="548" t="s">
        <v>36</v>
      </c>
      <c r="C53" s="546" t="s">
        <v>65</v>
      </c>
      <c r="D53" s="447"/>
      <c r="E53" s="577"/>
      <c r="F53" s="565"/>
      <c r="G53" s="565"/>
      <c r="H53" s="565"/>
      <c r="I53" s="565"/>
      <c r="J53" s="578">
        <f t="shared" ref="J53:U53" si="9">+J49+J52</f>
        <v>0</v>
      </c>
      <c r="K53" s="578">
        <f t="shared" si="9"/>
        <v>0</v>
      </c>
      <c r="L53" s="578">
        <f t="shared" si="9"/>
        <v>0</v>
      </c>
      <c r="M53" s="578">
        <f t="shared" si="9"/>
        <v>0</v>
      </c>
      <c r="N53" s="578">
        <f t="shared" si="9"/>
        <v>30000</v>
      </c>
      <c r="O53" s="578">
        <f t="shared" si="9"/>
        <v>30000</v>
      </c>
      <c r="P53" s="578">
        <f t="shared" si="9"/>
        <v>30000</v>
      </c>
      <c r="Q53" s="578">
        <f t="shared" si="9"/>
        <v>30000</v>
      </c>
      <c r="R53" s="505">
        <f t="shared" si="9"/>
        <v>150000</v>
      </c>
      <c r="S53" s="505">
        <f t="shared" si="9"/>
        <v>240000</v>
      </c>
      <c r="T53" s="505">
        <f t="shared" si="9"/>
        <v>240000</v>
      </c>
      <c r="U53" s="505">
        <f t="shared" si="9"/>
        <v>240000</v>
      </c>
      <c r="V53" s="565"/>
      <c r="W53" s="446"/>
      <c r="X53" s="446"/>
      <c r="Y53" s="446"/>
      <c r="Z53" s="446"/>
      <c r="AA53" s="446"/>
      <c r="AB53" s="446"/>
      <c r="AC53" s="446"/>
      <c r="AD53" s="505"/>
      <c r="AE53" s="505"/>
      <c r="AF53" s="505"/>
      <c r="AG53" s="505"/>
      <c r="AH53" s="505"/>
      <c r="AI53" s="505"/>
      <c r="AJ53" s="505"/>
      <c r="AK53" s="446"/>
      <c r="AL53" s="505"/>
      <c r="AM53" s="505"/>
      <c r="AN53" s="505"/>
      <c r="AO53" s="505"/>
      <c r="AP53" s="505"/>
      <c r="AQ53" s="505"/>
      <c r="AR53" s="505"/>
      <c r="AS53" s="446"/>
      <c r="AT53" s="446"/>
      <c r="AU53" s="446"/>
      <c r="AV53" s="446"/>
      <c r="AW53" s="446"/>
      <c r="AX53" s="446"/>
      <c r="AY53" s="446"/>
      <c r="AZ53" s="446"/>
    </row>
    <row r="54" spans="1:52">
      <c r="A54" s="446"/>
      <c r="B54" s="446"/>
      <c r="C54" s="446"/>
      <c r="D54" s="446"/>
      <c r="E54" s="565"/>
      <c r="F54" s="446"/>
      <c r="G54" s="446"/>
      <c r="H54" s="446"/>
      <c r="I54" s="446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446"/>
      <c r="W54" s="545"/>
      <c r="X54" s="545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</row>
    <row r="55" spans="1:52">
      <c r="A55" s="561" t="s">
        <v>66</v>
      </c>
      <c r="B55" s="446"/>
      <c r="C55" s="446"/>
      <c r="D55" s="446"/>
      <c r="E55" s="565"/>
      <c r="F55" s="446"/>
      <c r="G55" s="446"/>
      <c r="H55" s="446"/>
      <c r="I55" s="446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446"/>
      <c r="W55" s="545"/>
      <c r="X55" s="545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</row>
    <row r="56" spans="1:52">
      <c r="A56" s="561" t="s">
        <v>68</v>
      </c>
      <c r="B56" s="458" t="s">
        <v>36</v>
      </c>
      <c r="C56" s="458" t="s">
        <v>69</v>
      </c>
      <c r="D56" s="446"/>
      <c r="E56" s="583"/>
      <c r="F56" s="446"/>
      <c r="G56" s="446"/>
      <c r="H56" s="446"/>
      <c r="I56" s="446"/>
      <c r="J56" s="584">
        <f>1/(1-'c12_inputs'!$E$7)</f>
        <v>1.0526315789473684</v>
      </c>
      <c r="K56" s="584">
        <f>1/(1-'c12_inputs'!$E$7)</f>
        <v>1.0526315789473684</v>
      </c>
      <c r="L56" s="584">
        <f>1/(1-'c12_inputs'!$E$7)</f>
        <v>1.0526315789473684</v>
      </c>
      <c r="M56" s="584">
        <f>1/(1-'c12_inputs'!$E$7)</f>
        <v>1.0526315789473684</v>
      </c>
      <c r="N56" s="584">
        <f>1/(1-'c12_inputs'!$E$7)</f>
        <v>1.0526315789473684</v>
      </c>
      <c r="O56" s="584">
        <f>1/(1-'c12_inputs'!$E$7)</f>
        <v>1.0526315789473684</v>
      </c>
      <c r="P56" s="584">
        <f>1/(1-'c12_inputs'!$E$7)</f>
        <v>1.0526315789473684</v>
      </c>
      <c r="Q56" s="584">
        <f>1/(1-'c12_inputs'!$E$7)</f>
        <v>1.0526315789473684</v>
      </c>
      <c r="R56" s="583">
        <f>1/(1-'c12_inputs'!$E$7)</f>
        <v>1.0526315789473684</v>
      </c>
      <c r="S56" s="583">
        <f>1/(1-'c12_inputs'!$E$7)</f>
        <v>1.0526315789473684</v>
      </c>
      <c r="T56" s="583">
        <f>1/(1-'c12_inputs'!$E$7)</f>
        <v>1.0526315789473684</v>
      </c>
      <c r="U56" s="583">
        <f>1/(1-'c12_inputs'!$E$7)</f>
        <v>1.0526315789473684</v>
      </c>
      <c r="V56" s="565"/>
      <c r="W56" s="545"/>
      <c r="X56" s="545"/>
      <c r="Y56" s="446"/>
      <c r="Z56" s="446"/>
      <c r="AA56" s="446"/>
      <c r="AB56" s="497"/>
      <c r="AC56" s="497"/>
      <c r="AD56" s="497"/>
      <c r="AE56" s="497"/>
      <c r="AF56" s="497"/>
      <c r="AG56" s="497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</row>
    <row r="57" spans="1:52" s="30" customFormat="1" ht="14.65" customHeight="1">
      <c r="A57" s="561" t="s">
        <v>1003</v>
      </c>
      <c r="B57" s="548" t="s">
        <v>36</v>
      </c>
      <c r="C57" s="546" t="s">
        <v>71</v>
      </c>
      <c r="D57" s="447"/>
      <c r="E57" s="565"/>
      <c r="F57" s="446"/>
      <c r="G57" s="446"/>
      <c r="H57" s="446"/>
      <c r="I57" s="446"/>
      <c r="J57" s="573">
        <f t="shared" ref="J57:U57" si="10">J78</f>
        <v>53279.999999999993</v>
      </c>
      <c r="K57" s="573">
        <f t="shared" si="10"/>
        <v>53279.999999999993</v>
      </c>
      <c r="L57" s="573">
        <f t="shared" si="10"/>
        <v>115199.99999999999</v>
      </c>
      <c r="M57" s="573">
        <f t="shared" si="10"/>
        <v>154162.5</v>
      </c>
      <c r="N57" s="573">
        <f t="shared" si="10"/>
        <v>118079.99999999999</v>
      </c>
      <c r="O57" s="573">
        <f t="shared" si="10"/>
        <v>118079.99999999999</v>
      </c>
      <c r="P57" s="573">
        <f t="shared" si="10"/>
        <v>226080</v>
      </c>
      <c r="Q57" s="573">
        <f t="shared" si="10"/>
        <v>314395</v>
      </c>
      <c r="R57" s="505">
        <f t="shared" si="10"/>
        <v>1013415</v>
      </c>
      <c r="S57" s="505">
        <f t="shared" si="10"/>
        <v>1013415</v>
      </c>
      <c r="T57" s="505">
        <f t="shared" si="10"/>
        <v>1013415</v>
      </c>
      <c r="U57" s="505">
        <f t="shared" si="10"/>
        <v>1013415</v>
      </c>
      <c r="V57" s="565"/>
      <c r="W57" s="545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</row>
    <row r="58" spans="1:52" s="30" customFormat="1">
      <c r="A58" s="572" t="s">
        <v>1004</v>
      </c>
      <c r="B58" s="548" t="s">
        <v>36</v>
      </c>
      <c r="C58" s="546" t="s">
        <v>73</v>
      </c>
      <c r="D58" s="447"/>
      <c r="E58" s="565"/>
      <c r="F58" s="446"/>
      <c r="G58" s="446"/>
      <c r="H58" s="446"/>
      <c r="I58" s="446"/>
      <c r="J58" s="573">
        <f t="shared" ref="J58:U58" si="11">J57*J56</f>
        <v>56084.210526315779</v>
      </c>
      <c r="K58" s="573">
        <f t="shared" si="11"/>
        <v>56084.210526315779</v>
      </c>
      <c r="L58" s="573">
        <f t="shared" si="11"/>
        <v>121263.15789473683</v>
      </c>
      <c r="M58" s="573">
        <f t="shared" si="11"/>
        <v>162276.31578947368</v>
      </c>
      <c r="N58" s="573">
        <f t="shared" si="11"/>
        <v>124294.73684210524</v>
      </c>
      <c r="O58" s="573">
        <f t="shared" si="11"/>
        <v>124294.73684210524</v>
      </c>
      <c r="P58" s="573">
        <f t="shared" si="11"/>
        <v>237978.94736842104</v>
      </c>
      <c r="Q58" s="573">
        <f t="shared" si="11"/>
        <v>330942.10526315786</v>
      </c>
      <c r="R58" s="565">
        <f t="shared" si="11"/>
        <v>1066752.6315789474</v>
      </c>
      <c r="S58" s="565">
        <f t="shared" si="11"/>
        <v>1066752.6315789474</v>
      </c>
      <c r="T58" s="565">
        <f t="shared" si="11"/>
        <v>1066752.6315789474</v>
      </c>
      <c r="U58" s="565">
        <f t="shared" si="11"/>
        <v>1066752.6315789474</v>
      </c>
      <c r="V58" s="565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91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</row>
    <row r="59" spans="1:52" s="30" customFormat="1">
      <c r="A59" s="551"/>
      <c r="B59" s="447"/>
      <c r="C59" s="448"/>
      <c r="D59" s="447"/>
      <c r="E59" s="565"/>
      <c r="F59" s="446"/>
      <c r="G59" s="446"/>
      <c r="H59" s="446"/>
      <c r="I59" s="446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91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</row>
    <row r="60" spans="1:52" s="30" customFormat="1">
      <c r="A60" s="572" t="s">
        <v>1005</v>
      </c>
      <c r="B60" s="548" t="s">
        <v>36</v>
      </c>
      <c r="C60" s="546" t="s">
        <v>1006</v>
      </c>
      <c r="D60" s="447"/>
      <c r="E60" s="565"/>
      <c r="F60" s="446"/>
      <c r="G60" s="446"/>
      <c r="H60" s="446"/>
      <c r="I60" s="446"/>
      <c r="J60" s="573">
        <f t="shared" ref="J60:U60" si="12">+J53+J32+J58</f>
        <v>56084.210526315779</v>
      </c>
      <c r="K60" s="573">
        <f t="shared" si="12"/>
        <v>56084.210526315779</v>
      </c>
      <c r="L60" s="573">
        <f t="shared" si="12"/>
        <v>121263.15789473683</v>
      </c>
      <c r="M60" s="573">
        <f t="shared" si="12"/>
        <v>162276.31578947368</v>
      </c>
      <c r="N60" s="573">
        <f t="shared" si="12"/>
        <v>154294.73684210522</v>
      </c>
      <c r="O60" s="573">
        <f t="shared" si="12"/>
        <v>154294.73684210522</v>
      </c>
      <c r="P60" s="573">
        <f t="shared" si="12"/>
        <v>267978.94736842101</v>
      </c>
      <c r="Q60" s="573">
        <f t="shared" si="12"/>
        <v>360942.10526315786</v>
      </c>
      <c r="R60" s="565">
        <f t="shared" si="12"/>
        <v>1216752.6315789474</v>
      </c>
      <c r="S60" s="565">
        <f t="shared" si="12"/>
        <v>1306752.6315789474</v>
      </c>
      <c r="T60" s="565">
        <f t="shared" si="12"/>
        <v>1306752.6315789474</v>
      </c>
      <c r="U60" s="565">
        <f t="shared" si="12"/>
        <v>1306752.6315789474</v>
      </c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91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</row>
    <row r="61" spans="1:52">
      <c r="A61" s="588"/>
      <c r="B61" s="446"/>
      <c r="C61" s="446"/>
      <c r="D61" s="446"/>
      <c r="E61" s="565"/>
      <c r="F61" s="446"/>
      <c r="G61" s="446"/>
      <c r="H61" s="446"/>
      <c r="I61" s="446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</row>
    <row r="62" spans="1:52">
      <c r="A62" s="572" t="s">
        <v>76</v>
      </c>
      <c r="B62" s="458" t="s">
        <v>36</v>
      </c>
      <c r="C62" s="458" t="s">
        <v>77</v>
      </c>
      <c r="D62" s="446"/>
      <c r="E62" s="565"/>
      <c r="F62" s="446"/>
      <c r="G62" s="446"/>
      <c r="H62" s="446"/>
      <c r="I62" s="446"/>
      <c r="J62" s="573">
        <f t="shared" ref="J62:U62" si="13">+J29+J50</f>
        <v>0</v>
      </c>
      <c r="K62" s="573">
        <f t="shared" si="13"/>
        <v>0</v>
      </c>
      <c r="L62" s="573">
        <f t="shared" si="13"/>
        <v>0</v>
      </c>
      <c r="M62" s="573">
        <f t="shared" si="13"/>
        <v>0</v>
      </c>
      <c r="N62" s="573">
        <f t="shared" si="13"/>
        <v>0</v>
      </c>
      <c r="O62" s="573">
        <f t="shared" si="13"/>
        <v>0</v>
      </c>
      <c r="P62" s="573">
        <f t="shared" si="13"/>
        <v>0</v>
      </c>
      <c r="Q62" s="573">
        <f t="shared" si="13"/>
        <v>0</v>
      </c>
      <c r="R62" s="565">
        <f t="shared" si="13"/>
        <v>0</v>
      </c>
      <c r="S62" s="565">
        <f t="shared" si="13"/>
        <v>0</v>
      </c>
      <c r="T62" s="565">
        <f t="shared" si="13"/>
        <v>0</v>
      </c>
      <c r="U62" s="565">
        <f t="shared" si="13"/>
        <v>0</v>
      </c>
      <c r="V62" s="565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</row>
    <row r="63" spans="1:52" ht="15" customHeight="1">
      <c r="A63" s="446"/>
      <c r="B63" s="446"/>
      <c r="C63" s="446"/>
      <c r="D63" s="446"/>
      <c r="E63" s="565"/>
      <c r="F63" s="446"/>
      <c r="G63" s="446"/>
      <c r="H63" s="446"/>
      <c r="I63" s="446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</row>
    <row r="64" spans="1:52" ht="15" customHeight="1">
      <c r="A64" s="561" t="s">
        <v>78</v>
      </c>
      <c r="B64" s="458" t="s">
        <v>36</v>
      </c>
      <c r="C64" s="458" t="s">
        <v>79</v>
      </c>
      <c r="D64" s="446"/>
      <c r="E64" s="534"/>
      <c r="F64" s="446"/>
      <c r="G64" s="446"/>
      <c r="H64" s="446"/>
      <c r="I64" s="446"/>
      <c r="J64" s="589">
        <f>'c12_inputs'!$E$8</f>
        <v>0.35</v>
      </c>
      <c r="K64" s="589">
        <f>'c12_inputs'!$E$8</f>
        <v>0.35</v>
      </c>
      <c r="L64" s="589">
        <f>'c12_inputs'!$E$8</f>
        <v>0.35</v>
      </c>
      <c r="M64" s="589">
        <f>'c12_inputs'!$E$8</f>
        <v>0.35</v>
      </c>
      <c r="N64" s="589">
        <f>'c12_inputs'!$E$8</f>
        <v>0.35</v>
      </c>
      <c r="O64" s="589">
        <f>'c12_inputs'!$E$8</f>
        <v>0.35</v>
      </c>
      <c r="P64" s="589">
        <f>'c12_inputs'!$E$8</f>
        <v>0.35</v>
      </c>
      <c r="Q64" s="589">
        <f>'c12_inputs'!$E$8</f>
        <v>0.35</v>
      </c>
      <c r="R64" s="534">
        <f>'c12_inputs'!$E$8</f>
        <v>0.35</v>
      </c>
      <c r="S64" s="534">
        <f>'c12_inputs'!$E$8</f>
        <v>0.35</v>
      </c>
      <c r="T64" s="534">
        <f>'c12_inputs'!$E$8</f>
        <v>0.35</v>
      </c>
      <c r="U64" s="534">
        <f>'c12_inputs'!$E$8</f>
        <v>0.35</v>
      </c>
      <c r="V64" s="565"/>
      <c r="W64" s="545"/>
      <c r="X64" s="545"/>
      <c r="Y64" s="446"/>
      <c r="Z64" s="446"/>
      <c r="AA64" s="446"/>
      <c r="AB64" s="497"/>
      <c r="AC64" s="497"/>
      <c r="AD64" s="497"/>
      <c r="AE64" s="497"/>
      <c r="AF64" s="497"/>
      <c r="AG64" s="497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</row>
    <row r="65" spans="1:52" s="417" customFormat="1" ht="15" customHeight="1">
      <c r="A65" s="561" t="s">
        <v>80</v>
      </c>
      <c r="B65" s="548" t="s">
        <v>12</v>
      </c>
      <c r="C65" s="546" t="s">
        <v>81</v>
      </c>
      <c r="D65" s="447"/>
      <c r="E65" s="534"/>
      <c r="F65" s="446"/>
      <c r="G65" s="446"/>
      <c r="H65" s="446"/>
      <c r="I65" s="446"/>
      <c r="J65" s="590">
        <v>0.15</v>
      </c>
      <c r="K65" s="590">
        <v>0.15</v>
      </c>
      <c r="L65" s="590">
        <v>0.15</v>
      </c>
      <c r="M65" s="590">
        <v>0.15</v>
      </c>
      <c r="N65" s="590">
        <v>0</v>
      </c>
      <c r="O65" s="590">
        <v>0</v>
      </c>
      <c r="P65" s="590">
        <v>0</v>
      </c>
      <c r="Q65" s="590">
        <v>0</v>
      </c>
      <c r="R65" s="534">
        <v>0</v>
      </c>
      <c r="S65" s="534">
        <v>0</v>
      </c>
      <c r="T65" s="534">
        <v>0</v>
      </c>
      <c r="U65" s="534">
        <v>0</v>
      </c>
      <c r="V65" s="565"/>
      <c r="W65" s="545"/>
      <c r="X65" s="545"/>
      <c r="Y65" s="446"/>
      <c r="Z65" s="446"/>
      <c r="AA65" s="446"/>
      <c r="AB65" s="497"/>
      <c r="AC65" s="497"/>
      <c r="AD65" s="497"/>
      <c r="AE65" s="497"/>
      <c r="AF65" s="497"/>
      <c r="AG65" s="497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</row>
    <row r="66" spans="1:52" s="417" customFormat="1" ht="15" customHeight="1">
      <c r="A66" s="561" t="s">
        <v>82</v>
      </c>
      <c r="B66" s="548" t="s">
        <v>12</v>
      </c>
      <c r="C66" s="546" t="s">
        <v>83</v>
      </c>
      <c r="D66" s="447"/>
      <c r="E66" s="534"/>
      <c r="F66" s="446"/>
      <c r="G66" s="446"/>
      <c r="H66" s="446"/>
      <c r="I66" s="446"/>
      <c r="J66" s="590">
        <v>0.15</v>
      </c>
      <c r="K66" s="590">
        <v>0.15</v>
      </c>
      <c r="L66" s="590">
        <v>0.15</v>
      </c>
      <c r="M66" s="590">
        <v>0.15</v>
      </c>
      <c r="N66" s="590">
        <v>0.15</v>
      </c>
      <c r="O66" s="590">
        <v>0.15</v>
      </c>
      <c r="P66" s="590">
        <v>0.15</v>
      </c>
      <c r="Q66" s="590">
        <v>0.15</v>
      </c>
      <c r="R66" s="534">
        <v>0</v>
      </c>
      <c r="S66" s="534">
        <v>0</v>
      </c>
      <c r="T66" s="534">
        <v>0</v>
      </c>
      <c r="U66" s="534">
        <v>0</v>
      </c>
      <c r="V66" s="565"/>
      <c r="W66" s="545"/>
      <c r="X66" s="545"/>
      <c r="Y66" s="446"/>
      <c r="Z66" s="446"/>
      <c r="AA66" s="446"/>
      <c r="AB66" s="497"/>
      <c r="AC66" s="497"/>
      <c r="AD66" s="497"/>
      <c r="AE66" s="497"/>
      <c r="AF66" s="497"/>
      <c r="AG66" s="497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</row>
    <row r="67" spans="1:52" s="30" customFormat="1">
      <c r="A67" s="561" t="s">
        <v>84</v>
      </c>
      <c r="B67" s="548" t="s">
        <v>36</v>
      </c>
      <c r="C67" s="546" t="s">
        <v>85</v>
      </c>
      <c r="D67" s="447"/>
      <c r="E67" s="591"/>
      <c r="F67" s="446"/>
      <c r="G67" s="446"/>
      <c r="H67" s="446"/>
      <c r="I67" s="446"/>
      <c r="J67" s="592">
        <f>'c12_inputs'!$E$7</f>
        <v>0.05</v>
      </c>
      <c r="K67" s="592">
        <f>'c12_inputs'!$E$7</f>
        <v>0.05</v>
      </c>
      <c r="L67" s="592">
        <f>'c12_inputs'!$E$7</f>
        <v>0.05</v>
      </c>
      <c r="M67" s="592">
        <f>'c12_inputs'!$E$7</f>
        <v>0.05</v>
      </c>
      <c r="N67" s="592">
        <f>'c12_inputs'!$E$7</f>
        <v>0.05</v>
      </c>
      <c r="O67" s="592">
        <f>'c12_inputs'!$E$7</f>
        <v>0.05</v>
      </c>
      <c r="P67" s="592">
        <f>'c12_inputs'!$E$7</f>
        <v>0.05</v>
      </c>
      <c r="Q67" s="592">
        <f>'c12_inputs'!$E$7</f>
        <v>0.05</v>
      </c>
      <c r="R67" s="591">
        <f>'c12_inputs'!$E$7</f>
        <v>0.05</v>
      </c>
      <c r="S67" s="591">
        <f>'c12_inputs'!$E$7</f>
        <v>0.05</v>
      </c>
      <c r="T67" s="591">
        <f>'c12_inputs'!$E$7</f>
        <v>0.05</v>
      </c>
      <c r="U67" s="591">
        <f>'c12_inputs'!$E$7</f>
        <v>0.05</v>
      </c>
      <c r="V67" s="446"/>
      <c r="W67" s="446"/>
      <c r="X67" s="446"/>
      <c r="Y67" s="446"/>
      <c r="Z67" s="446"/>
      <c r="AA67" s="446"/>
      <c r="AB67" s="446"/>
      <c r="AC67" s="446"/>
      <c r="AD67" s="505"/>
      <c r="AE67" s="505"/>
      <c r="AF67" s="505"/>
      <c r="AG67" s="505"/>
      <c r="AH67" s="505"/>
      <c r="AI67" s="505"/>
      <c r="AJ67" s="505"/>
      <c r="AK67" s="446"/>
      <c r="AL67" s="505"/>
      <c r="AM67" s="505"/>
      <c r="AN67" s="505"/>
      <c r="AO67" s="505"/>
      <c r="AP67" s="505"/>
      <c r="AQ67" s="505"/>
      <c r="AR67" s="505"/>
      <c r="AS67" s="446"/>
      <c r="AT67" s="446"/>
      <c r="AU67" s="446"/>
      <c r="AV67" s="446"/>
      <c r="AW67" s="446"/>
      <c r="AX67" s="446"/>
      <c r="AY67" s="446"/>
      <c r="AZ67" s="446"/>
    </row>
    <row r="68" spans="1:52">
      <c r="A68" s="561" t="s">
        <v>86</v>
      </c>
      <c r="B68" s="458" t="s">
        <v>36</v>
      </c>
      <c r="C68" s="458" t="s">
        <v>87</v>
      </c>
      <c r="D68" s="446"/>
      <c r="E68" s="565"/>
      <c r="F68" s="446"/>
      <c r="G68" s="446"/>
      <c r="H68" s="446"/>
      <c r="I68" s="446"/>
      <c r="J68" s="573">
        <f t="shared" ref="J68:U68" si="14">(J64+J65)*(J32+J52)+(J64+J66)*(J49+J29)</f>
        <v>0</v>
      </c>
      <c r="K68" s="573">
        <f t="shared" si="14"/>
        <v>0</v>
      </c>
      <c r="L68" s="573">
        <f t="shared" si="14"/>
        <v>0</v>
      </c>
      <c r="M68" s="573">
        <f t="shared" si="14"/>
        <v>0</v>
      </c>
      <c r="N68" s="573">
        <f t="shared" si="14"/>
        <v>10500</v>
      </c>
      <c r="O68" s="573">
        <f t="shared" si="14"/>
        <v>10500</v>
      </c>
      <c r="P68" s="573">
        <f t="shared" si="14"/>
        <v>10500</v>
      </c>
      <c r="Q68" s="573">
        <f t="shared" si="14"/>
        <v>10500</v>
      </c>
      <c r="R68" s="565">
        <f t="shared" si="14"/>
        <v>52500</v>
      </c>
      <c r="S68" s="565">
        <f t="shared" si="14"/>
        <v>84000</v>
      </c>
      <c r="T68" s="565">
        <f t="shared" si="14"/>
        <v>84000</v>
      </c>
      <c r="U68" s="565">
        <f t="shared" si="14"/>
        <v>84000</v>
      </c>
      <c r="V68" s="534"/>
      <c r="W68" s="545"/>
      <c r="X68" s="545"/>
      <c r="Y68" s="446"/>
      <c r="Z68" s="446"/>
      <c r="AA68" s="446"/>
      <c r="AB68" s="497"/>
      <c r="AC68" s="497"/>
      <c r="AD68" s="497"/>
      <c r="AE68" s="497"/>
      <c r="AF68" s="497"/>
      <c r="AG68" s="497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</row>
    <row r="69" spans="1:52">
      <c r="A69" s="561" t="s">
        <v>1007</v>
      </c>
      <c r="B69" s="458" t="s">
        <v>36</v>
      </c>
      <c r="C69" s="458" t="s">
        <v>89</v>
      </c>
      <c r="D69" s="446"/>
      <c r="E69" s="565"/>
      <c r="F69" s="446"/>
      <c r="G69" s="446"/>
      <c r="H69" s="446"/>
      <c r="I69" s="446"/>
      <c r="J69" s="573">
        <f t="shared" ref="J69:U69" si="15">J58*J67</f>
        <v>2804.2105263157891</v>
      </c>
      <c r="K69" s="573">
        <f t="shared" si="15"/>
        <v>2804.2105263157891</v>
      </c>
      <c r="L69" s="573">
        <f t="shared" si="15"/>
        <v>6063.1578947368416</v>
      </c>
      <c r="M69" s="573">
        <f t="shared" si="15"/>
        <v>8113.8157894736842</v>
      </c>
      <c r="N69" s="573">
        <f t="shared" si="15"/>
        <v>6214.7368421052624</v>
      </c>
      <c r="O69" s="573">
        <f t="shared" si="15"/>
        <v>6214.7368421052624</v>
      </c>
      <c r="P69" s="573">
        <f t="shared" si="15"/>
        <v>11898.947368421053</v>
      </c>
      <c r="Q69" s="573">
        <f t="shared" si="15"/>
        <v>16547.105263157893</v>
      </c>
      <c r="R69" s="565">
        <f t="shared" si="15"/>
        <v>53337.631578947374</v>
      </c>
      <c r="S69" s="565">
        <f t="shared" si="15"/>
        <v>53337.631578947374</v>
      </c>
      <c r="T69" s="565">
        <f t="shared" si="15"/>
        <v>53337.631578947374</v>
      </c>
      <c r="U69" s="565">
        <f t="shared" si="15"/>
        <v>53337.631578947374</v>
      </c>
      <c r="V69" s="565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</row>
    <row r="70" spans="1:52">
      <c r="A70" s="572" t="s">
        <v>1008</v>
      </c>
      <c r="B70" s="458" t="s">
        <v>36</v>
      </c>
      <c r="C70" s="458" t="s">
        <v>1009</v>
      </c>
      <c r="D70" s="446"/>
      <c r="E70" s="565"/>
      <c r="F70" s="446"/>
      <c r="G70" s="446"/>
      <c r="H70" s="446"/>
      <c r="I70" s="446"/>
      <c r="J70" s="573">
        <f t="shared" ref="J70:U70" si="16">J69+J68</f>
        <v>2804.2105263157891</v>
      </c>
      <c r="K70" s="573">
        <f t="shared" si="16"/>
        <v>2804.2105263157891</v>
      </c>
      <c r="L70" s="573">
        <f t="shared" si="16"/>
        <v>6063.1578947368416</v>
      </c>
      <c r="M70" s="573">
        <f t="shared" si="16"/>
        <v>8113.8157894736842</v>
      </c>
      <c r="N70" s="573">
        <f t="shared" si="16"/>
        <v>16714.736842105263</v>
      </c>
      <c r="O70" s="573">
        <f t="shared" si="16"/>
        <v>16714.736842105263</v>
      </c>
      <c r="P70" s="573">
        <f t="shared" si="16"/>
        <v>22398.947368421053</v>
      </c>
      <c r="Q70" s="573">
        <f t="shared" si="16"/>
        <v>27047.105263157893</v>
      </c>
      <c r="R70" s="565">
        <f t="shared" si="16"/>
        <v>105837.63157894737</v>
      </c>
      <c r="S70" s="565">
        <f t="shared" si="16"/>
        <v>137337.63157894736</v>
      </c>
      <c r="T70" s="565">
        <f t="shared" si="16"/>
        <v>137337.63157894736</v>
      </c>
      <c r="U70" s="565">
        <f t="shared" si="16"/>
        <v>137337.63157894736</v>
      </c>
      <c r="V70" s="534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</row>
    <row r="71" spans="1:52">
      <c r="A71" s="446"/>
      <c r="B71" s="446"/>
      <c r="C71" s="446"/>
      <c r="D71" s="446"/>
      <c r="E71" s="565"/>
      <c r="F71" s="446"/>
      <c r="G71" s="446"/>
      <c r="H71" s="446"/>
      <c r="I71" s="446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</row>
    <row r="72" spans="1:52" s="30" customFormat="1">
      <c r="A72" s="561" t="s">
        <v>92</v>
      </c>
      <c r="B72" s="548" t="s">
        <v>36</v>
      </c>
      <c r="C72" s="546" t="s">
        <v>93</v>
      </c>
      <c r="D72" s="447"/>
      <c r="E72" s="565"/>
      <c r="F72" s="446"/>
      <c r="G72" s="446"/>
      <c r="H72" s="446"/>
      <c r="I72" s="446"/>
      <c r="J72" s="573">
        <f t="shared" ref="J72:U72" si="17">-(J64+J65)*(J27+J48)</f>
        <v>0</v>
      </c>
      <c r="K72" s="573">
        <f t="shared" si="17"/>
        <v>0</v>
      </c>
      <c r="L72" s="573">
        <f t="shared" si="17"/>
        <v>0</v>
      </c>
      <c r="M72" s="573">
        <f t="shared" si="17"/>
        <v>0</v>
      </c>
      <c r="N72" s="573">
        <f t="shared" si="17"/>
        <v>0</v>
      </c>
      <c r="O72" s="573">
        <f t="shared" si="17"/>
        <v>0</v>
      </c>
      <c r="P72" s="573">
        <f t="shared" si="17"/>
        <v>0</v>
      </c>
      <c r="Q72" s="573">
        <f t="shared" si="17"/>
        <v>0</v>
      </c>
      <c r="R72" s="565">
        <f t="shared" si="17"/>
        <v>0</v>
      </c>
      <c r="S72" s="565">
        <f t="shared" si="17"/>
        <v>0</v>
      </c>
      <c r="T72" s="565">
        <f t="shared" si="17"/>
        <v>0</v>
      </c>
      <c r="U72" s="565">
        <f t="shared" si="17"/>
        <v>0</v>
      </c>
      <c r="V72" s="446"/>
      <c r="W72" s="446"/>
      <c r="X72" s="446"/>
      <c r="Y72" s="446"/>
      <c r="Z72" s="446"/>
      <c r="AA72" s="446"/>
      <c r="AB72" s="446"/>
      <c r="AC72" s="446"/>
      <c r="AD72" s="505"/>
      <c r="AE72" s="505"/>
      <c r="AF72" s="505"/>
      <c r="AG72" s="505"/>
      <c r="AH72" s="505"/>
      <c r="AI72" s="505"/>
      <c r="AJ72" s="505"/>
      <c r="AK72" s="446"/>
      <c r="AL72" s="505"/>
      <c r="AM72" s="505"/>
      <c r="AN72" s="505"/>
      <c r="AO72" s="505"/>
      <c r="AP72" s="505"/>
      <c r="AQ72" s="505"/>
      <c r="AR72" s="505"/>
      <c r="AS72" s="446"/>
      <c r="AT72" s="446"/>
      <c r="AU72" s="446"/>
      <c r="AV72" s="446"/>
      <c r="AW72" s="446"/>
      <c r="AX72" s="446"/>
      <c r="AY72" s="446"/>
      <c r="AZ72" s="446"/>
    </row>
    <row r="73" spans="1:52" s="30" customFormat="1">
      <c r="A73" s="561" t="s">
        <v>94</v>
      </c>
      <c r="B73" s="548" t="s">
        <v>36</v>
      </c>
      <c r="C73" s="546" t="s">
        <v>95</v>
      </c>
      <c r="D73" s="447"/>
      <c r="E73" s="565"/>
      <c r="F73" s="446"/>
      <c r="G73" s="446"/>
      <c r="H73" s="446"/>
      <c r="I73" s="446"/>
      <c r="J73" s="573">
        <f t="shared" ref="J73:U73" si="18">-(J64+J66)*(J28+J49)</f>
        <v>0</v>
      </c>
      <c r="K73" s="573">
        <f t="shared" si="18"/>
        <v>0</v>
      </c>
      <c r="L73" s="573">
        <f t="shared" si="18"/>
        <v>0</v>
      </c>
      <c r="M73" s="573">
        <f t="shared" si="18"/>
        <v>0</v>
      </c>
      <c r="N73" s="573">
        <f t="shared" si="18"/>
        <v>0</v>
      </c>
      <c r="O73" s="573">
        <f t="shared" si="18"/>
        <v>0</v>
      </c>
      <c r="P73" s="573">
        <f t="shared" si="18"/>
        <v>0</v>
      </c>
      <c r="Q73" s="573">
        <f t="shared" si="18"/>
        <v>0</v>
      </c>
      <c r="R73" s="565">
        <f t="shared" si="18"/>
        <v>0</v>
      </c>
      <c r="S73" s="565">
        <f t="shared" si="18"/>
        <v>0</v>
      </c>
      <c r="T73" s="565">
        <f t="shared" si="18"/>
        <v>0</v>
      </c>
      <c r="U73" s="565">
        <f t="shared" si="18"/>
        <v>0</v>
      </c>
      <c r="V73" s="446"/>
      <c r="W73" s="446"/>
      <c r="X73" s="446"/>
      <c r="Y73" s="446"/>
      <c r="Z73" s="446"/>
      <c r="AA73" s="446"/>
      <c r="AB73" s="446"/>
      <c r="AC73" s="446"/>
      <c r="AD73" s="505"/>
      <c r="AE73" s="505"/>
      <c r="AF73" s="505"/>
      <c r="AG73" s="505"/>
      <c r="AH73" s="505"/>
      <c r="AI73" s="505"/>
      <c r="AJ73" s="505"/>
      <c r="AK73" s="446"/>
      <c r="AL73" s="505"/>
      <c r="AM73" s="505"/>
      <c r="AN73" s="505"/>
      <c r="AO73" s="505"/>
      <c r="AP73" s="505"/>
      <c r="AQ73" s="505"/>
      <c r="AR73" s="505"/>
      <c r="AS73" s="446"/>
      <c r="AT73" s="446"/>
      <c r="AU73" s="446"/>
      <c r="AV73" s="446"/>
      <c r="AW73" s="446"/>
      <c r="AX73" s="446"/>
      <c r="AY73" s="446"/>
      <c r="AZ73" s="446"/>
    </row>
    <row r="74" spans="1:52">
      <c r="A74" s="561" t="s">
        <v>96</v>
      </c>
      <c r="B74" s="458" t="s">
        <v>12</v>
      </c>
      <c r="C74" s="458" t="s">
        <v>97</v>
      </c>
      <c r="D74" s="446"/>
      <c r="E74" s="565"/>
      <c r="F74" s="446"/>
      <c r="G74" s="446"/>
      <c r="H74" s="446"/>
      <c r="I74" s="446"/>
      <c r="J74" s="564">
        <f>SUM(J72:J73)+E74</f>
        <v>0</v>
      </c>
      <c r="K74" s="564">
        <f t="shared" ref="K74:U74" si="19">SUM(K72:K73)+J74</f>
        <v>0</v>
      </c>
      <c r="L74" s="564">
        <f t="shared" si="19"/>
        <v>0</v>
      </c>
      <c r="M74" s="564">
        <f t="shared" si="19"/>
        <v>0</v>
      </c>
      <c r="N74" s="564">
        <f t="shared" si="19"/>
        <v>0</v>
      </c>
      <c r="O74" s="564">
        <f t="shared" si="19"/>
        <v>0</v>
      </c>
      <c r="P74" s="564">
        <f t="shared" si="19"/>
        <v>0</v>
      </c>
      <c r="Q74" s="564">
        <f t="shared" si="19"/>
        <v>0</v>
      </c>
      <c r="R74" s="565">
        <f t="shared" si="19"/>
        <v>0</v>
      </c>
      <c r="S74" s="565">
        <f t="shared" si="19"/>
        <v>0</v>
      </c>
      <c r="T74" s="565">
        <f t="shared" si="19"/>
        <v>0</v>
      </c>
      <c r="U74" s="565">
        <f t="shared" si="19"/>
        <v>0</v>
      </c>
      <c r="V74" s="565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</row>
    <row r="75" spans="1:52">
      <c r="A75" s="446"/>
      <c r="B75" s="446"/>
      <c r="C75" s="446"/>
      <c r="D75" s="446"/>
      <c r="E75" s="565"/>
      <c r="F75" s="446"/>
      <c r="G75" s="446"/>
      <c r="H75" s="446"/>
      <c r="I75" s="446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</row>
    <row r="76" spans="1:52">
      <c r="A76" s="561" t="s">
        <v>99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</row>
    <row r="77" spans="1:52" s="30" customFormat="1" ht="14.65" customHeight="1">
      <c r="A77" s="523" t="s">
        <v>100</v>
      </c>
      <c r="B77" s="548" t="s">
        <v>36</v>
      </c>
      <c r="C77" s="546" t="s">
        <v>101</v>
      </c>
      <c r="D77" s="447"/>
      <c r="E77" s="505"/>
      <c r="F77" s="446"/>
      <c r="G77" s="446"/>
      <c r="H77" s="446"/>
      <c r="I77" s="446"/>
      <c r="J77" s="585">
        <f>'.c12_bi&amp;f_hr'!J48</f>
        <v>250559.99999999997</v>
      </c>
      <c r="K77" s="585">
        <f>'.c12_bi&amp;f_hr'!K48</f>
        <v>250559.99999999997</v>
      </c>
      <c r="L77" s="585">
        <f>'.c12_bi&amp;f_hr'!L48</f>
        <v>336959.99999999994</v>
      </c>
      <c r="M77" s="585">
        <f>'.c12_bi&amp;f_hr'!M48</f>
        <v>602497.5</v>
      </c>
      <c r="N77" s="585">
        <f>'.c12_bi&amp;f_hr'!N48</f>
        <v>296640</v>
      </c>
      <c r="O77" s="585">
        <f>'.c12_bi&amp;f_hr'!O48</f>
        <v>476890</v>
      </c>
      <c r="P77" s="585">
        <f>'.c12_bi&amp;f_hr'!P48</f>
        <v>671290</v>
      </c>
      <c r="Q77" s="585">
        <f>'.c12_bi&amp;f_hr'!Q48</f>
        <v>1172607.5</v>
      </c>
      <c r="R77" s="505">
        <f>'.c12_bi&amp;f_hr'!R48</f>
        <v>3285967.5</v>
      </c>
      <c r="S77" s="505">
        <f>'.c12_bi&amp;f_hr'!S48</f>
        <v>3285967.5</v>
      </c>
      <c r="T77" s="505">
        <f>'.c12_bi&amp;f_hr'!T48</f>
        <v>3285967.5</v>
      </c>
      <c r="U77" s="505">
        <f>'.c12_bi&amp;f_hr'!U48</f>
        <v>3285967.5</v>
      </c>
      <c r="V77" s="544"/>
      <c r="W77" s="545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</row>
    <row r="78" spans="1:52" s="30" customFormat="1">
      <c r="A78" s="523" t="s">
        <v>102</v>
      </c>
      <c r="B78" s="548" t="s">
        <v>36</v>
      </c>
      <c r="C78" s="546" t="s">
        <v>103</v>
      </c>
      <c r="D78" s="447"/>
      <c r="E78" s="505"/>
      <c r="F78" s="446"/>
      <c r="G78" s="446"/>
      <c r="H78" s="446"/>
      <c r="I78" s="446"/>
      <c r="J78" s="585">
        <f>'.c12_bi&amp;f_hr'!J49</f>
        <v>53279.999999999993</v>
      </c>
      <c r="K78" s="585">
        <f>'.c12_bi&amp;f_hr'!K49</f>
        <v>53279.999999999993</v>
      </c>
      <c r="L78" s="585">
        <f>'.c12_bi&amp;f_hr'!L49</f>
        <v>115199.99999999999</v>
      </c>
      <c r="M78" s="585">
        <f>'.c12_bi&amp;f_hr'!M49</f>
        <v>154162.5</v>
      </c>
      <c r="N78" s="585">
        <f>'.c12_bi&amp;f_hr'!N49</f>
        <v>118079.99999999999</v>
      </c>
      <c r="O78" s="585">
        <f>'.c12_bi&amp;f_hr'!O49</f>
        <v>118079.99999999999</v>
      </c>
      <c r="P78" s="585">
        <f>'.c12_bi&amp;f_hr'!P49</f>
        <v>226080</v>
      </c>
      <c r="Q78" s="585">
        <f>'.c12_bi&amp;f_hr'!Q49</f>
        <v>314395</v>
      </c>
      <c r="R78" s="505">
        <f>'.c12_bi&amp;f_hr'!R49</f>
        <v>1013415</v>
      </c>
      <c r="S78" s="505">
        <f>'.c12_bi&amp;f_hr'!S49</f>
        <v>1013415</v>
      </c>
      <c r="T78" s="505">
        <f>'.c12_bi&amp;f_hr'!T49</f>
        <v>1013415</v>
      </c>
      <c r="U78" s="505">
        <f>'.c12_bi&amp;f_hr'!U49</f>
        <v>1013415</v>
      </c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91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</row>
    <row r="79" spans="1:52" s="30" customFormat="1">
      <c r="A79" s="523" t="s">
        <v>104</v>
      </c>
      <c r="B79" s="548" t="s">
        <v>36</v>
      </c>
      <c r="C79" s="546" t="s">
        <v>105</v>
      </c>
      <c r="D79" s="447"/>
      <c r="E79" s="505"/>
      <c r="F79" s="446"/>
      <c r="G79" s="446"/>
      <c r="H79" s="446"/>
      <c r="I79" s="446"/>
      <c r="J79" s="585">
        <f>'.c12_bi&amp;f_hr'!J50</f>
        <v>197280</v>
      </c>
      <c r="K79" s="585">
        <f>'.c12_bi&amp;f_hr'!K50</f>
        <v>197280</v>
      </c>
      <c r="L79" s="585">
        <f>'.c12_bi&amp;f_hr'!L50</f>
        <v>221759.99999999997</v>
      </c>
      <c r="M79" s="585">
        <f>'.c12_bi&amp;f_hr'!M50</f>
        <v>448334.99999999994</v>
      </c>
      <c r="N79" s="585">
        <f>'.c12_bi&amp;f_hr'!N50</f>
        <v>178559.99999999997</v>
      </c>
      <c r="O79" s="585">
        <f>'.c12_bi&amp;f_hr'!O50</f>
        <v>358810</v>
      </c>
      <c r="P79" s="585">
        <f>'.c12_bi&amp;f_hr'!P50</f>
        <v>445210</v>
      </c>
      <c r="Q79" s="585">
        <f>'.c12_bi&amp;f_hr'!Q50</f>
        <v>858212.5</v>
      </c>
      <c r="R79" s="505">
        <f>'.c12_bi&amp;f_hr'!R50</f>
        <v>2272552.5</v>
      </c>
      <c r="S79" s="505">
        <f>'.c12_bi&amp;f_hr'!S50</f>
        <v>2272552.5</v>
      </c>
      <c r="T79" s="505">
        <f>'.c12_bi&amp;f_hr'!T50</f>
        <v>2272552.5</v>
      </c>
      <c r="U79" s="505">
        <f>'.c12_bi&amp;f_hr'!U50</f>
        <v>2272552.5</v>
      </c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91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</row>
    <row r="80" spans="1:52" s="30" customFormat="1">
      <c r="A80" s="523" t="s">
        <v>106</v>
      </c>
      <c r="B80" s="548" t="s">
        <v>36</v>
      </c>
      <c r="C80" s="546" t="s">
        <v>107</v>
      </c>
      <c r="D80" s="447"/>
      <c r="E80" s="505"/>
      <c r="F80" s="446"/>
      <c r="G80" s="446"/>
      <c r="H80" s="446"/>
      <c r="I80" s="446"/>
      <c r="J80" s="585">
        <f>'.c12_bi&amp;f_hr'!J51</f>
        <v>0</v>
      </c>
      <c r="K80" s="585">
        <f>'.c12_bi&amp;f_hr'!K51</f>
        <v>0</v>
      </c>
      <c r="L80" s="585">
        <f>'.c12_bi&amp;f_hr'!L51</f>
        <v>0</v>
      </c>
      <c r="M80" s="585">
        <f>'.c12_bi&amp;f_hr'!M51</f>
        <v>0</v>
      </c>
      <c r="N80" s="585">
        <f>'.c12_bi&amp;f_hr'!N51</f>
        <v>0</v>
      </c>
      <c r="O80" s="585">
        <f>'.c12_bi&amp;f_hr'!O51</f>
        <v>0</v>
      </c>
      <c r="P80" s="585">
        <f>'.c12_bi&amp;f_hr'!P51</f>
        <v>0</v>
      </c>
      <c r="Q80" s="585">
        <f>'.c12_bi&amp;f_hr'!Q51</f>
        <v>0</v>
      </c>
      <c r="R80" s="505">
        <f>'.c12_bi&amp;f_hr'!R51</f>
        <v>0</v>
      </c>
      <c r="S80" s="505">
        <f>'.c12_bi&amp;f_hr'!S51</f>
        <v>0</v>
      </c>
      <c r="T80" s="505">
        <f>'.c12_bi&amp;f_hr'!T51</f>
        <v>0</v>
      </c>
      <c r="U80" s="505">
        <f>'.c12_bi&amp;f_hr'!U51</f>
        <v>0</v>
      </c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91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</row>
    <row r="81" spans="1:52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</row>
    <row r="82" spans="1:52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</row>
    <row r="83" spans="1:52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</row>
    <row r="84" spans="1:52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</row>
    <row r="85" spans="1:52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</row>
    <row r="86" spans="1:52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</row>
    <row r="87" spans="1:52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</row>
    <row r="88" spans="1:52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</row>
    <row r="89" spans="1:52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</row>
    <row r="90" spans="1:52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</row>
    <row r="91" spans="1:52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</row>
    <row r="92" spans="1:52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</row>
    <row r="93" spans="1:52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</row>
    <row r="94" spans="1:52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</row>
    <row r="95" spans="1:52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</row>
    <row r="96" spans="1:52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</row>
    <row r="97" spans="1:52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</row>
    <row r="98" spans="1:52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</row>
    <row r="99" spans="1:52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</row>
    <row r="100" spans="1:52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</row>
    <row r="101" spans="1:52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</row>
    <row r="102" spans="1:52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</row>
    <row r="103" spans="1:52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</row>
    <row r="104" spans="1:52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</row>
    <row r="105" spans="1:52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8"/>
      <c r="X105" s="448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</row>
    <row r="106" spans="1:52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</row>
    <row r="107" spans="1:52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</row>
    <row r="108" spans="1:52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</row>
    <row r="109" spans="1:52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</row>
    <row r="110" spans="1:52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</row>
    <row r="111" spans="1:52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</row>
    <row r="112" spans="1:52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</row>
    <row r="113" spans="1:52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</row>
    <row r="114" spans="1:52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</row>
    <row r="115" spans="1:52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</row>
    <row r="116" spans="1:52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</row>
    <row r="117" spans="1:52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</row>
    <row r="118" spans="1:52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</row>
    <row r="119" spans="1:52" s="5" customFormat="1">
      <c r="A119" s="551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91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</row>
    <row r="120" spans="1:52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</row>
    <row r="121" spans="1:52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</row>
    <row r="122" spans="1:52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</row>
    <row r="123" spans="1:52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</row>
    <row r="124" spans="1:52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569"/>
      <c r="T124" s="569"/>
      <c r="U124" s="446"/>
      <c r="V124" s="448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</row>
    <row r="125" spans="1:52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</row>
    <row r="126" spans="1:52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</row>
    <row r="127" spans="1:52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</row>
    <row r="128" spans="1:52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</row>
    <row r="129" spans="1:52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</row>
    <row r="130" spans="1:52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</row>
    <row r="131" spans="1:52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</row>
    <row r="132" spans="1:52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</row>
    <row r="133" spans="1:52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</row>
    <row r="134" spans="1:52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</row>
    <row r="135" spans="1:52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</row>
    <row r="136" spans="1:52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</row>
    <row r="137" spans="1:52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</row>
    <row r="138" spans="1:52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546" t="s">
        <v>108</v>
      </c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</row>
    <row r="139" spans="1:52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</row>
    <row r="140" spans="1:52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</row>
    <row r="141" spans="1:52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</row>
    <row r="142" spans="1:52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</row>
    <row r="143" spans="1:52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</row>
    <row r="144" spans="1:52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</row>
    <row r="145" spans="1:52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</row>
    <row r="146" spans="1:52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</row>
    <row r="147" spans="1:52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</row>
    <row r="148" spans="1:52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</row>
    <row r="149" spans="1:52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</row>
  </sheetData>
  <mergeCells count="2">
    <mergeCell ref="AT48:AZ48"/>
    <mergeCell ref="AM48:AR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F5" sqref="F5"/>
    </sheetView>
  </sheetViews>
  <sheetFormatPr defaultRowHeight="14.5"/>
  <cols>
    <col min="1" max="1" width="13.54296875" customWidth="1"/>
    <col min="2" max="2" width="4.453125" style="424" customWidth="1"/>
    <col min="3" max="3" width="19.08984375" style="418" customWidth="1"/>
    <col min="4" max="4" width="7.6328125" style="424" customWidth="1"/>
    <col min="14" max="14" width="27.54296875" customWidth="1"/>
  </cols>
  <sheetData>
    <row r="1" spans="1:7">
      <c r="A1" s="446"/>
      <c r="B1" s="446"/>
      <c r="C1" s="446"/>
      <c r="D1" s="446"/>
      <c r="E1" s="446"/>
      <c r="F1" s="446"/>
      <c r="G1" s="446"/>
    </row>
    <row r="2" spans="1:7" ht="15" customHeight="1">
      <c r="A2" s="453"/>
      <c r="B2" s="450"/>
      <c r="C2" s="450"/>
      <c r="D2" s="450"/>
      <c r="E2" s="453"/>
      <c r="F2" s="453"/>
      <c r="G2" s="453"/>
    </row>
    <row r="3" spans="1:7" s="426" customFormat="1" ht="15" customHeight="1">
      <c r="A3" s="453"/>
      <c r="B3" s="450"/>
      <c r="C3" s="450"/>
      <c r="D3" s="450"/>
      <c r="E3" s="453"/>
      <c r="F3" s="453"/>
      <c r="G3" s="453"/>
    </row>
    <row r="4" spans="1:7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</row>
    <row r="5" spans="1:7">
      <c r="A5" s="486" t="s">
        <v>1010</v>
      </c>
      <c r="B5" s="459" t="s">
        <v>12</v>
      </c>
      <c r="C5" s="460" t="s">
        <v>1011</v>
      </c>
      <c r="D5" s="459" t="s">
        <v>1012</v>
      </c>
      <c r="E5" s="598"/>
      <c r="F5" s="458" t="s">
        <v>1013</v>
      </c>
      <c r="G5" s="463"/>
    </row>
    <row r="6" spans="1:7">
      <c r="A6" s="486" t="s">
        <v>1014</v>
      </c>
      <c r="B6" s="459" t="s">
        <v>12</v>
      </c>
      <c r="C6" s="460" t="s">
        <v>1015</v>
      </c>
      <c r="D6" s="475" t="s">
        <v>1012</v>
      </c>
      <c r="E6" s="466">
        <v>3.9E-2</v>
      </c>
      <c r="F6" s="463"/>
      <c r="G6" s="463"/>
    </row>
    <row r="7" spans="1:7">
      <c r="A7" s="446"/>
      <c r="B7" s="461"/>
      <c r="C7" s="464"/>
      <c r="D7" s="465"/>
      <c r="E7" s="446"/>
      <c r="F7" s="446"/>
      <c r="G7" s="446"/>
    </row>
    <row r="8" spans="1:7">
      <c r="A8" s="486" t="s">
        <v>1016</v>
      </c>
      <c r="B8" s="459" t="s">
        <v>12</v>
      </c>
      <c r="C8" s="460" t="s">
        <v>1017</v>
      </c>
      <c r="D8" s="475" t="s">
        <v>937</v>
      </c>
      <c r="E8" s="599">
        <v>0.152</v>
      </c>
      <c r="F8" s="463"/>
      <c r="G8" s="463"/>
    </row>
    <row r="9" spans="1:7">
      <c r="A9" s="486" t="s">
        <v>1018</v>
      </c>
      <c r="B9" s="458" t="s">
        <v>12</v>
      </c>
      <c r="C9" s="458" t="s">
        <v>1015</v>
      </c>
      <c r="D9" s="458" t="s">
        <v>937</v>
      </c>
      <c r="E9" s="599">
        <v>3.9E-2</v>
      </c>
      <c r="F9" s="463"/>
      <c r="G9" s="463"/>
    </row>
    <row r="10" spans="1:7">
      <c r="A10" s="446"/>
      <c r="B10" s="446"/>
      <c r="C10" s="446"/>
      <c r="D10" s="446"/>
      <c r="E10" s="446"/>
      <c r="F10" s="446"/>
      <c r="G10" s="446"/>
    </row>
    <row r="11" spans="1:7">
      <c r="A11" s="486" t="s">
        <v>1019</v>
      </c>
      <c r="B11" s="458" t="s">
        <v>12</v>
      </c>
      <c r="C11" s="458" t="s">
        <v>1017</v>
      </c>
      <c r="D11" s="458" t="s">
        <v>939</v>
      </c>
      <c r="E11" s="599">
        <v>0.152</v>
      </c>
      <c r="F11" s="463"/>
      <c r="G11" s="463"/>
    </row>
    <row r="12" spans="1:7">
      <c r="A12" s="486" t="s">
        <v>1020</v>
      </c>
      <c r="B12" s="458" t="s">
        <v>12</v>
      </c>
      <c r="C12" s="458" t="s">
        <v>1015</v>
      </c>
      <c r="D12" s="458" t="s">
        <v>939</v>
      </c>
      <c r="E12" s="599">
        <v>3.9E-2</v>
      </c>
      <c r="F12" s="463"/>
      <c r="G12" s="463"/>
    </row>
    <row r="13" spans="1:7">
      <c r="A13" s="446"/>
      <c r="B13" s="446"/>
      <c r="C13" s="446"/>
      <c r="D13" s="446"/>
      <c r="E13" s="446"/>
      <c r="F13" s="446"/>
      <c r="G13" s="446"/>
    </row>
    <row r="14" spans="1:7">
      <c r="A14" s="446"/>
      <c r="B14" s="446"/>
      <c r="C14" s="446"/>
      <c r="D14" s="446"/>
      <c r="E14" s="446"/>
      <c r="F14" s="446"/>
      <c r="G14" s="446"/>
    </row>
    <row r="15" spans="1:7">
      <c r="A15" s="486" t="s">
        <v>1021</v>
      </c>
      <c r="B15" s="458" t="s">
        <v>12</v>
      </c>
      <c r="C15" s="458" t="s">
        <v>1017</v>
      </c>
      <c r="D15" s="458" t="s">
        <v>1022</v>
      </c>
      <c r="E15" s="599">
        <v>0.152</v>
      </c>
      <c r="F15" s="463"/>
      <c r="G15" s="463"/>
    </row>
    <row r="16" spans="1:7">
      <c r="A16" s="486" t="s">
        <v>1023</v>
      </c>
      <c r="B16" s="458" t="s">
        <v>12</v>
      </c>
      <c r="C16" s="458" t="s">
        <v>1015</v>
      </c>
      <c r="D16" s="458" t="s">
        <v>1022</v>
      </c>
      <c r="E16" s="599">
        <v>3.9E-2</v>
      </c>
      <c r="F16" s="463"/>
      <c r="G16" s="463"/>
    </row>
    <row r="17" spans="1:7">
      <c r="A17" s="446"/>
      <c r="B17" s="446"/>
      <c r="C17" s="446"/>
      <c r="D17" s="446"/>
      <c r="E17" s="446"/>
      <c r="F17" s="446"/>
      <c r="G17" s="446"/>
    </row>
    <row r="18" spans="1:7">
      <c r="A18" s="446"/>
      <c r="B18" s="446"/>
      <c r="C18" s="446"/>
      <c r="D18" s="446"/>
      <c r="E18" s="446"/>
      <c r="F18" s="446"/>
      <c r="G18" s="446"/>
    </row>
    <row r="19" spans="1:7">
      <c r="A19" s="446"/>
      <c r="B19" s="446"/>
      <c r="C19" s="446"/>
      <c r="D19" s="446"/>
      <c r="E19" s="446"/>
      <c r="F19" s="446"/>
      <c r="G19" s="446"/>
    </row>
    <row r="20" spans="1:7">
      <c r="A20" s="446"/>
      <c r="B20" s="446"/>
      <c r="C20" s="446"/>
      <c r="D20" s="446"/>
      <c r="E20" s="446"/>
      <c r="F20" s="446"/>
      <c r="G20" s="446"/>
    </row>
    <row r="21" spans="1:7">
      <c r="A21" s="446"/>
      <c r="B21" s="446"/>
      <c r="C21" s="446"/>
      <c r="D21" s="446"/>
      <c r="E21" s="446"/>
      <c r="F21" s="446"/>
      <c r="G21" s="446"/>
    </row>
    <row r="22" spans="1:7">
      <c r="A22" s="446"/>
      <c r="B22" s="446"/>
      <c r="C22" s="446"/>
      <c r="D22" s="446"/>
      <c r="E22" s="446"/>
      <c r="F22" s="446"/>
      <c r="G22" s="446"/>
    </row>
    <row r="23" spans="1:7">
      <c r="A23" s="446"/>
      <c r="B23" s="446"/>
      <c r="C23" s="446"/>
      <c r="D23" s="446"/>
      <c r="E23" s="446"/>
      <c r="F23" s="446"/>
      <c r="G23" s="446"/>
    </row>
    <row r="24" spans="1:7">
      <c r="A24" s="446"/>
      <c r="B24" s="446"/>
      <c r="C24" s="446"/>
      <c r="D24" s="446"/>
      <c r="E24" s="446"/>
      <c r="F24" s="446"/>
      <c r="G24" s="446"/>
    </row>
    <row r="25" spans="1:7">
      <c r="A25" s="446"/>
      <c r="B25" s="446"/>
      <c r="C25" s="446"/>
      <c r="D25" s="446"/>
      <c r="E25" s="446"/>
      <c r="F25" s="446"/>
      <c r="G25" s="446"/>
    </row>
    <row r="26" spans="1:7">
      <c r="A26" s="446"/>
      <c r="B26" s="446"/>
      <c r="C26" s="446"/>
      <c r="D26" s="446"/>
      <c r="E26" s="446"/>
      <c r="F26" s="446"/>
      <c r="G26" s="446"/>
    </row>
    <row r="27" spans="1:7">
      <c r="A27" s="446"/>
      <c r="B27" s="446"/>
      <c r="C27" s="446"/>
      <c r="D27" s="446"/>
      <c r="E27" s="446"/>
      <c r="F27" s="446"/>
      <c r="G27" s="446"/>
    </row>
    <row r="28" spans="1:7">
      <c r="A28" s="446"/>
      <c r="B28" s="446"/>
      <c r="C28" s="446"/>
      <c r="D28" s="446"/>
      <c r="E28" s="446"/>
      <c r="F28" s="446"/>
      <c r="G28" s="446"/>
    </row>
    <row r="29" spans="1:7">
      <c r="A29" s="446"/>
      <c r="B29" s="446"/>
      <c r="C29" s="446"/>
      <c r="D29" s="446"/>
      <c r="E29" s="446"/>
      <c r="F29" s="446"/>
      <c r="G29" s="446"/>
    </row>
    <row r="30" spans="1:7">
      <c r="A30" s="446"/>
      <c r="B30" s="446"/>
      <c r="C30" s="446"/>
      <c r="D30" s="446"/>
      <c r="E30" s="446"/>
      <c r="F30" s="446"/>
      <c r="G30" s="446"/>
    </row>
    <row r="31" spans="1:7">
      <c r="A31" s="446"/>
      <c r="B31" s="446"/>
      <c r="C31" s="446"/>
      <c r="D31" s="446"/>
      <c r="E31" s="446"/>
      <c r="F31" s="446"/>
      <c r="G31" s="446"/>
    </row>
    <row r="32" spans="1:7">
      <c r="A32" s="446"/>
      <c r="B32" s="446"/>
      <c r="C32" s="446"/>
      <c r="D32" s="446"/>
      <c r="E32" s="446"/>
      <c r="F32" s="446"/>
      <c r="G32" s="446"/>
    </row>
    <row r="33" spans="1:7">
      <c r="A33" s="446"/>
      <c r="B33" s="446"/>
      <c r="C33" s="446"/>
      <c r="D33" s="446"/>
      <c r="E33" s="446"/>
      <c r="F33" s="446"/>
      <c r="G33" s="446"/>
    </row>
    <row r="34" spans="1:7">
      <c r="A34" s="446"/>
      <c r="B34" s="446"/>
      <c r="C34" s="446"/>
      <c r="D34" s="446"/>
      <c r="E34" s="446"/>
      <c r="F34" s="446"/>
      <c r="G34" s="446"/>
    </row>
    <row r="35" spans="1:7">
      <c r="A35" s="446"/>
      <c r="B35" s="446"/>
      <c r="C35" s="446"/>
      <c r="D35" s="446"/>
      <c r="E35" s="446"/>
      <c r="F35" s="446"/>
      <c r="G35" s="446"/>
    </row>
    <row r="36" spans="1:7">
      <c r="A36" s="446"/>
      <c r="B36" s="446"/>
      <c r="C36" s="446"/>
      <c r="D36" s="446"/>
      <c r="E36" s="446"/>
      <c r="F36" s="446"/>
      <c r="G36" s="446"/>
    </row>
    <row r="37" spans="1:7">
      <c r="A37" s="446"/>
      <c r="B37" s="446"/>
      <c r="C37" s="446"/>
      <c r="D37" s="446"/>
      <c r="E37" s="446"/>
      <c r="F37" s="446"/>
      <c r="G37" s="446"/>
    </row>
    <row r="38" spans="1:7">
      <c r="A38" s="446"/>
      <c r="B38" s="446"/>
      <c r="C38" s="446"/>
      <c r="D38" s="446"/>
      <c r="E38" s="446"/>
      <c r="F38" s="446"/>
      <c r="G38" s="446"/>
    </row>
    <row r="39" spans="1:7">
      <c r="A39" s="446"/>
      <c r="B39" s="446"/>
      <c r="C39" s="446"/>
      <c r="D39" s="446"/>
      <c r="E39" s="446"/>
      <c r="F39" s="446"/>
      <c r="G39" s="446"/>
    </row>
    <row r="40" spans="1:7">
      <c r="A40" s="446"/>
      <c r="B40" s="446"/>
      <c r="C40" s="446"/>
      <c r="D40" s="446"/>
      <c r="E40" s="446"/>
      <c r="F40" s="446"/>
      <c r="G40" s="446"/>
    </row>
    <row r="41" spans="1:7">
      <c r="A41" s="446"/>
      <c r="B41" s="446"/>
      <c r="C41" s="446"/>
      <c r="D41" s="446"/>
      <c r="E41" s="446"/>
      <c r="F41" s="446"/>
      <c r="G41" s="446"/>
    </row>
    <row r="42" spans="1:7">
      <c r="A42" s="446"/>
      <c r="B42" s="446"/>
      <c r="C42" s="446"/>
      <c r="D42" s="446"/>
      <c r="E42" s="446"/>
      <c r="F42" s="446"/>
      <c r="G42" s="446"/>
    </row>
    <row r="43" spans="1:7">
      <c r="A43" s="446"/>
      <c r="B43" s="446"/>
      <c r="C43" s="446"/>
      <c r="D43" s="446"/>
      <c r="E43" s="446"/>
      <c r="F43" s="446"/>
      <c r="G43" s="446"/>
    </row>
    <row r="44" spans="1:7">
      <c r="A44" s="446"/>
      <c r="B44" s="446"/>
      <c r="C44" s="446"/>
      <c r="D44" s="446"/>
      <c r="E44" s="446"/>
      <c r="F44" s="446"/>
      <c r="G44" s="446"/>
    </row>
    <row r="45" spans="1:7">
      <c r="A45" s="446"/>
      <c r="B45" s="446"/>
      <c r="C45" s="446"/>
      <c r="D45" s="446"/>
      <c r="E45" s="446"/>
      <c r="F45" s="446"/>
      <c r="G45" s="446"/>
    </row>
    <row r="46" spans="1:7">
      <c r="A46" s="446"/>
      <c r="B46" s="446"/>
      <c r="C46" s="446"/>
      <c r="D46" s="446"/>
      <c r="E46" s="446"/>
      <c r="F46" s="446"/>
      <c r="G46" s="446"/>
    </row>
    <row r="47" spans="1:7">
      <c r="A47" s="446"/>
      <c r="B47" s="446"/>
      <c r="C47" s="446"/>
      <c r="D47" s="446"/>
      <c r="E47" s="446"/>
      <c r="F47" s="446"/>
      <c r="G47" s="446"/>
    </row>
    <row r="48" spans="1:7">
      <c r="A48" s="446"/>
      <c r="B48" s="446"/>
      <c r="C48" s="446"/>
      <c r="D48" s="446"/>
      <c r="E48" s="446"/>
      <c r="F48" s="446"/>
      <c r="G48" s="446"/>
    </row>
    <row r="49" spans="1:7">
      <c r="A49" s="446"/>
      <c r="B49" s="446"/>
      <c r="C49" s="446"/>
      <c r="D49" s="446"/>
      <c r="E49" s="446"/>
      <c r="F49" s="446"/>
      <c r="G49" s="446"/>
    </row>
    <row r="50" spans="1:7">
      <c r="A50" s="446"/>
      <c r="B50" s="446"/>
      <c r="C50" s="446"/>
      <c r="D50" s="446"/>
      <c r="E50" s="446"/>
      <c r="F50" s="446"/>
      <c r="G50" s="446"/>
    </row>
    <row r="51" spans="1:7">
      <c r="A51" s="446"/>
      <c r="B51" s="446"/>
      <c r="C51" s="446"/>
      <c r="D51" s="446"/>
      <c r="E51" s="446"/>
      <c r="F51" s="446"/>
      <c r="G51" s="446"/>
    </row>
    <row r="52" spans="1:7">
      <c r="A52" s="446"/>
      <c r="B52" s="446"/>
      <c r="C52" s="446"/>
      <c r="D52" s="446"/>
      <c r="E52" s="446"/>
      <c r="F52" s="446"/>
      <c r="G52" s="446"/>
    </row>
    <row r="53" spans="1:7">
      <c r="A53" s="446"/>
      <c r="B53" s="446"/>
      <c r="C53" s="446"/>
      <c r="D53" s="446"/>
      <c r="E53" s="446"/>
      <c r="F53" s="446"/>
      <c r="G53" s="446"/>
    </row>
    <row r="54" spans="1:7">
      <c r="A54" s="446"/>
      <c r="B54" s="446"/>
      <c r="C54" s="446"/>
      <c r="D54" s="446"/>
      <c r="E54" s="446"/>
      <c r="F54" s="446"/>
      <c r="G54" s="446"/>
    </row>
    <row r="55" spans="1:7">
      <c r="A55" s="446"/>
      <c r="B55" s="446"/>
      <c r="C55" s="446"/>
      <c r="D55" s="446"/>
      <c r="E55" s="446"/>
      <c r="F55" s="446"/>
      <c r="G55" s="446"/>
    </row>
    <row r="56" spans="1:7">
      <c r="A56" s="446"/>
      <c r="B56" s="446"/>
      <c r="C56" s="446"/>
      <c r="D56" s="446"/>
      <c r="E56" s="446"/>
      <c r="F56" s="446"/>
      <c r="G56" s="446"/>
    </row>
    <row r="57" spans="1:7">
      <c r="A57" s="446"/>
      <c r="B57" s="446"/>
      <c r="C57" s="446"/>
      <c r="D57" s="446"/>
      <c r="E57" s="446"/>
      <c r="F57" s="446"/>
      <c r="G57" s="446"/>
    </row>
    <row r="58" spans="1:7">
      <c r="A58" s="446"/>
      <c r="B58" s="446"/>
      <c r="C58" s="446"/>
      <c r="D58" s="446"/>
      <c r="E58" s="446"/>
      <c r="F58" s="446"/>
      <c r="G58" s="446"/>
    </row>
    <row r="59" spans="1:7">
      <c r="A59" s="446"/>
      <c r="B59" s="446"/>
      <c r="C59" s="446"/>
      <c r="D59" s="446"/>
      <c r="E59" s="446"/>
      <c r="F59" s="446"/>
      <c r="G59" s="446"/>
    </row>
    <row r="60" spans="1:7">
      <c r="A60" s="446"/>
      <c r="B60" s="446"/>
      <c r="C60" s="446"/>
      <c r="D60" s="446"/>
      <c r="E60" s="446"/>
      <c r="F60" s="446"/>
      <c r="G60" s="446"/>
    </row>
    <row r="61" spans="1:7">
      <c r="A61" s="446"/>
      <c r="B61" s="446"/>
      <c r="C61" s="446"/>
      <c r="D61" s="446"/>
      <c r="E61" s="446"/>
      <c r="F61" s="446"/>
      <c r="G61" s="446"/>
    </row>
    <row r="62" spans="1:7">
      <c r="A62" s="446"/>
      <c r="B62" s="446"/>
      <c r="C62" s="446"/>
      <c r="D62" s="446"/>
      <c r="E62" s="446"/>
      <c r="F62" s="446"/>
      <c r="G62" s="446"/>
    </row>
    <row r="63" spans="1:7">
      <c r="A63" s="446"/>
      <c r="B63" s="446"/>
      <c r="C63" s="446"/>
      <c r="D63" s="446"/>
      <c r="E63" s="446"/>
      <c r="F63" s="446"/>
      <c r="G63" s="446"/>
    </row>
    <row r="64" spans="1:7">
      <c r="A64" s="446"/>
      <c r="B64" s="446"/>
      <c r="C64" s="446"/>
      <c r="D64" s="446"/>
      <c r="E64" s="446"/>
      <c r="F64" s="446"/>
      <c r="G64" s="446"/>
    </row>
    <row r="65" spans="1:7">
      <c r="A65" s="446"/>
      <c r="B65" s="446"/>
      <c r="C65" s="446"/>
      <c r="D65" s="446"/>
      <c r="E65" s="446"/>
      <c r="F65" s="446"/>
      <c r="G65" s="446"/>
    </row>
    <row r="66" spans="1:7">
      <c r="A66" s="446"/>
      <c r="B66" s="446"/>
      <c r="C66" s="446"/>
      <c r="D66" s="446"/>
      <c r="E66" s="446"/>
      <c r="F66" s="446"/>
      <c r="G66" s="446"/>
    </row>
    <row r="67" spans="1:7">
      <c r="A67" s="446"/>
      <c r="B67" s="446"/>
      <c r="C67" s="446"/>
      <c r="D67" s="446"/>
      <c r="E67" s="446"/>
      <c r="F67" s="446"/>
      <c r="G67" s="446"/>
    </row>
    <row r="68" spans="1:7">
      <c r="A68" s="446"/>
      <c r="B68" s="446"/>
      <c r="C68" s="446"/>
      <c r="D68" s="446"/>
      <c r="E68" s="446"/>
      <c r="F68" s="446"/>
      <c r="G68" s="446"/>
    </row>
    <row r="69" spans="1:7">
      <c r="A69" s="446"/>
      <c r="B69" s="446"/>
      <c r="C69" s="446"/>
      <c r="D69" s="446"/>
      <c r="E69" s="446"/>
      <c r="F69" s="446"/>
      <c r="G69" s="446"/>
    </row>
    <row r="70" spans="1:7">
      <c r="A70" s="446"/>
      <c r="B70" s="446"/>
      <c r="C70" s="446"/>
      <c r="D70" s="446"/>
      <c r="E70" s="446"/>
      <c r="F70" s="446"/>
      <c r="G70" s="446"/>
    </row>
    <row r="71" spans="1:7">
      <c r="A71" s="446"/>
      <c r="B71" s="446"/>
      <c r="C71" s="446"/>
      <c r="D71" s="446"/>
      <c r="E71" s="446"/>
      <c r="F71" s="446"/>
      <c r="G71" s="446"/>
    </row>
    <row r="72" spans="1:7">
      <c r="A72" s="446"/>
      <c r="B72" s="446"/>
      <c r="C72" s="446"/>
      <c r="D72" s="446"/>
      <c r="E72" s="446"/>
      <c r="F72" s="446"/>
      <c r="G72" s="446"/>
    </row>
    <row r="73" spans="1:7">
      <c r="A73" s="446"/>
      <c r="B73" s="446"/>
      <c r="C73" s="446"/>
      <c r="D73" s="446"/>
      <c r="E73" s="446"/>
      <c r="F73" s="446"/>
      <c r="G73" s="446"/>
    </row>
    <row r="74" spans="1:7">
      <c r="A74" s="446"/>
      <c r="B74" s="446"/>
      <c r="C74" s="446"/>
      <c r="D74" s="446"/>
      <c r="E74" s="446"/>
      <c r="F74" s="446"/>
      <c r="G74" s="446"/>
    </row>
    <row r="75" spans="1:7">
      <c r="A75" s="446"/>
      <c r="B75" s="446"/>
      <c r="C75" s="446"/>
      <c r="D75" s="446"/>
      <c r="E75" s="446"/>
      <c r="F75" s="446"/>
      <c r="G75" s="446"/>
    </row>
    <row r="76" spans="1:7">
      <c r="A76" s="446"/>
      <c r="B76" s="446"/>
      <c r="C76" s="446"/>
      <c r="D76" s="446"/>
      <c r="E76" s="446"/>
      <c r="F76" s="446"/>
      <c r="G76" s="446"/>
    </row>
    <row r="77" spans="1:7">
      <c r="A77" s="446"/>
      <c r="B77" s="446"/>
      <c r="C77" s="446"/>
      <c r="D77" s="446"/>
      <c r="E77" s="446"/>
      <c r="F77" s="446"/>
      <c r="G77" s="446"/>
    </row>
    <row r="78" spans="1:7">
      <c r="A78" s="446"/>
      <c r="B78" s="446"/>
      <c r="C78" s="446"/>
      <c r="D78" s="446"/>
      <c r="E78" s="446"/>
      <c r="F78" s="446"/>
      <c r="G78" s="446"/>
    </row>
    <row r="79" spans="1:7">
      <c r="A79" s="446"/>
      <c r="B79" s="446"/>
      <c r="C79" s="446"/>
      <c r="D79" s="446"/>
      <c r="E79" s="446"/>
      <c r="F79" s="446"/>
      <c r="G79" s="446"/>
    </row>
    <row r="80" spans="1:7">
      <c r="A80" s="446"/>
      <c r="B80" s="446"/>
      <c r="C80" s="446"/>
      <c r="D80" s="446"/>
      <c r="E80" s="446"/>
      <c r="F80" s="446"/>
      <c r="G80" s="446"/>
    </row>
    <row r="81" spans="1:7">
      <c r="A81" s="446"/>
      <c r="B81" s="446"/>
      <c r="C81" s="446"/>
      <c r="D81" s="446"/>
      <c r="E81" s="446"/>
      <c r="F81" s="446"/>
      <c r="G81" s="446"/>
    </row>
    <row r="82" spans="1:7">
      <c r="A82" s="446"/>
      <c r="B82" s="446"/>
      <c r="C82" s="446"/>
      <c r="D82" s="446"/>
      <c r="E82" s="446"/>
      <c r="F82" s="446"/>
      <c r="G82" s="446"/>
    </row>
    <row r="83" spans="1:7">
      <c r="A83" s="446"/>
      <c r="B83" s="446"/>
      <c r="C83" s="446"/>
      <c r="D83" s="446"/>
      <c r="E83" s="446"/>
      <c r="F83" s="446"/>
      <c r="G83" s="446"/>
    </row>
    <row r="84" spans="1:7">
      <c r="A84" s="446"/>
      <c r="B84" s="446"/>
      <c r="C84" s="446"/>
      <c r="D84" s="446"/>
      <c r="E84" s="446"/>
      <c r="F84" s="446"/>
      <c r="G84" s="446"/>
    </row>
    <row r="85" spans="1:7">
      <c r="A85" s="446"/>
      <c r="B85" s="446"/>
      <c r="C85" s="446"/>
      <c r="D85" s="446"/>
      <c r="E85" s="446"/>
      <c r="F85" s="446"/>
      <c r="G85" s="446"/>
    </row>
    <row r="86" spans="1:7">
      <c r="A86" s="446"/>
      <c r="B86" s="446"/>
      <c r="C86" s="446"/>
      <c r="D86" s="446"/>
      <c r="E86" s="446"/>
      <c r="F86" s="446"/>
      <c r="G86" s="446"/>
    </row>
    <row r="87" spans="1:7">
      <c r="A87" s="446"/>
      <c r="B87" s="446"/>
      <c r="C87" s="446"/>
      <c r="D87" s="446"/>
      <c r="E87" s="446"/>
      <c r="F87" s="446"/>
      <c r="G87" s="446"/>
    </row>
    <row r="88" spans="1:7">
      <c r="A88" s="446"/>
      <c r="B88" s="446"/>
      <c r="C88" s="446"/>
      <c r="D88" s="446"/>
      <c r="E88" s="446"/>
      <c r="F88" s="446"/>
      <c r="G88" s="446"/>
    </row>
    <row r="89" spans="1:7">
      <c r="A89" s="446"/>
      <c r="B89" s="446"/>
      <c r="C89" s="446"/>
      <c r="D89" s="446"/>
      <c r="E89" s="446"/>
      <c r="F89" s="446"/>
      <c r="G89" s="446"/>
    </row>
    <row r="90" spans="1:7">
      <c r="A90" s="446"/>
      <c r="B90" s="446"/>
      <c r="C90" s="446"/>
      <c r="D90" s="446"/>
      <c r="E90" s="446"/>
      <c r="F90" s="446"/>
      <c r="G90" s="446"/>
    </row>
    <row r="91" spans="1:7">
      <c r="A91" s="446"/>
      <c r="B91" s="446"/>
      <c r="C91" s="446"/>
      <c r="D91" s="446"/>
      <c r="E91" s="446"/>
      <c r="F91" s="446"/>
      <c r="G91" s="446"/>
    </row>
    <row r="92" spans="1:7">
      <c r="A92" s="446"/>
      <c r="B92" s="446"/>
      <c r="C92" s="446"/>
      <c r="D92" s="446"/>
      <c r="E92" s="446"/>
      <c r="F92" s="446"/>
      <c r="G92" s="446"/>
    </row>
    <row r="93" spans="1:7">
      <c r="A93" s="446"/>
      <c r="B93" s="446"/>
      <c r="C93" s="446"/>
      <c r="D93" s="446"/>
      <c r="E93" s="446"/>
      <c r="F93" s="446"/>
      <c r="G93" s="446"/>
    </row>
    <row r="94" spans="1:7">
      <c r="A94" s="446"/>
      <c r="B94" s="446"/>
      <c r="C94" s="446"/>
      <c r="D94" s="446"/>
      <c r="E94" s="446"/>
      <c r="F94" s="446"/>
      <c r="G94" s="446"/>
    </row>
    <row r="95" spans="1:7">
      <c r="A95" s="446"/>
      <c r="B95" s="446"/>
      <c r="C95" s="446"/>
      <c r="D95" s="446"/>
      <c r="E95" s="446"/>
      <c r="F95" s="446"/>
      <c r="G95" s="446"/>
    </row>
    <row r="96" spans="1:7">
      <c r="A96" s="446"/>
      <c r="B96" s="446"/>
      <c r="C96" s="446"/>
      <c r="D96" s="446"/>
      <c r="E96" s="446"/>
      <c r="F96" s="446"/>
      <c r="G96" s="446"/>
    </row>
    <row r="97" spans="1:7">
      <c r="A97" s="446"/>
      <c r="B97" s="446"/>
      <c r="C97" s="446"/>
      <c r="D97" s="446"/>
      <c r="E97" s="446"/>
      <c r="F97" s="446"/>
      <c r="G97" s="446"/>
    </row>
    <row r="98" spans="1:7">
      <c r="A98" s="446"/>
      <c r="B98" s="446"/>
      <c r="C98" s="446"/>
      <c r="D98" s="446"/>
      <c r="E98" s="446"/>
      <c r="F98" s="446"/>
      <c r="G98" s="446"/>
    </row>
    <row r="99" spans="1:7">
      <c r="A99" s="446"/>
      <c r="B99" s="446"/>
      <c r="C99" s="446"/>
      <c r="D99" s="446"/>
      <c r="E99" s="446"/>
      <c r="F99" s="446"/>
      <c r="G99" s="446"/>
    </row>
    <row r="100" spans="1:7">
      <c r="A100" s="446"/>
      <c r="B100" s="446"/>
      <c r="C100" s="446"/>
      <c r="D100" s="446"/>
      <c r="E100" s="446"/>
      <c r="F100" s="446"/>
      <c r="G100" s="446"/>
    </row>
    <row r="101" spans="1:7">
      <c r="A101" s="446"/>
      <c r="B101" s="446"/>
      <c r="C101" s="446"/>
      <c r="D101" s="446"/>
      <c r="E101" s="446"/>
      <c r="F101" s="446"/>
      <c r="G101" s="446"/>
    </row>
    <row r="102" spans="1:7">
      <c r="A102" s="446"/>
      <c r="B102" s="446"/>
      <c r="C102" s="446"/>
      <c r="D102" s="446"/>
      <c r="E102" s="446"/>
      <c r="F102" s="446"/>
      <c r="G102" s="446"/>
    </row>
    <row r="103" spans="1:7">
      <c r="A103" s="446"/>
      <c r="B103" s="446"/>
      <c r="C103" s="446"/>
      <c r="D103" s="446"/>
      <c r="E103" s="446"/>
      <c r="F103" s="446"/>
      <c r="G103" s="446"/>
    </row>
    <row r="104" spans="1:7">
      <c r="A104" s="446"/>
      <c r="B104" s="446"/>
      <c r="C104" s="446"/>
      <c r="D104" s="446"/>
      <c r="E104" s="446"/>
      <c r="F104" s="446"/>
      <c r="G104" s="446"/>
    </row>
    <row r="105" spans="1:7">
      <c r="A105" s="446"/>
      <c r="B105" s="446"/>
      <c r="C105" s="446"/>
      <c r="D105" s="446"/>
      <c r="E105" s="446"/>
      <c r="F105" s="446"/>
      <c r="G105" s="446"/>
    </row>
    <row r="106" spans="1:7">
      <c r="A106" s="446"/>
      <c r="B106" s="446"/>
      <c r="C106" s="446"/>
      <c r="D106" s="446"/>
      <c r="E106" s="446"/>
      <c r="F106" s="446"/>
      <c r="G106" s="446"/>
    </row>
    <row r="107" spans="1:7">
      <c r="A107" s="446"/>
      <c r="B107" s="446"/>
      <c r="C107" s="446"/>
      <c r="D107" s="446"/>
      <c r="E107" s="446"/>
      <c r="F107" s="446"/>
      <c r="G107" s="446"/>
    </row>
    <row r="108" spans="1:7">
      <c r="A108" s="446"/>
      <c r="B108" s="446"/>
      <c r="C108" s="446"/>
      <c r="D108" s="446"/>
      <c r="E108" s="446"/>
      <c r="F108" s="446"/>
      <c r="G108" s="446"/>
    </row>
    <row r="109" spans="1:7">
      <c r="A109" s="446"/>
      <c r="B109" s="446"/>
      <c r="C109" s="446"/>
      <c r="D109" s="446"/>
      <c r="E109" s="446"/>
      <c r="F109" s="446"/>
      <c r="G109" s="446"/>
    </row>
    <row r="110" spans="1:7">
      <c r="A110" s="446"/>
      <c r="B110" s="446"/>
      <c r="C110" s="446"/>
      <c r="D110" s="446"/>
      <c r="E110" s="446"/>
      <c r="F110" s="446"/>
      <c r="G110" s="446"/>
    </row>
    <row r="111" spans="1:7">
      <c r="A111" s="446"/>
      <c r="B111" s="468"/>
      <c r="C111" s="446"/>
      <c r="D111" s="468"/>
      <c r="E111" s="446"/>
      <c r="F111" s="446"/>
      <c r="G111" s="446"/>
    </row>
    <row r="112" spans="1:7">
      <c r="A112" s="446"/>
      <c r="B112" s="468"/>
      <c r="C112" s="446"/>
      <c r="D112" s="468"/>
      <c r="E112" s="446"/>
      <c r="F112" s="446"/>
      <c r="G112" s="446"/>
    </row>
    <row r="113" spans="1:7">
      <c r="A113" s="446"/>
      <c r="B113" s="468"/>
      <c r="C113" s="446"/>
      <c r="D113" s="468"/>
      <c r="E113" s="446"/>
      <c r="F113" s="446"/>
      <c r="G113" s="446"/>
    </row>
    <row r="114" spans="1:7">
      <c r="A114" s="446"/>
      <c r="B114" s="468"/>
      <c r="C114" s="446"/>
      <c r="D114" s="468"/>
      <c r="E114" s="446"/>
      <c r="F114" s="446"/>
      <c r="G114" s="446"/>
    </row>
    <row r="115" spans="1:7">
      <c r="A115" s="446"/>
      <c r="B115" s="468"/>
      <c r="C115" s="446"/>
      <c r="D115" s="468"/>
      <c r="E115" s="446"/>
      <c r="F115" s="446"/>
      <c r="G115" s="446"/>
    </row>
    <row r="116" spans="1:7">
      <c r="A116" s="446"/>
      <c r="B116" s="468"/>
      <c r="C116" s="446"/>
      <c r="D116" s="468"/>
      <c r="E116" s="446"/>
      <c r="F116" s="446"/>
      <c r="G116" s="446"/>
    </row>
    <row r="117" spans="1:7">
      <c r="A117" s="446"/>
      <c r="B117" s="468"/>
      <c r="C117" s="446"/>
      <c r="D117" s="468"/>
      <c r="E117" s="446"/>
      <c r="F117" s="446"/>
      <c r="G117" s="446"/>
    </row>
    <row r="118" spans="1:7">
      <c r="A118" s="446"/>
      <c r="B118" s="468"/>
      <c r="C118" s="446"/>
      <c r="D118" s="468"/>
      <c r="E118" s="446"/>
      <c r="F118" s="446"/>
      <c r="G118" s="446"/>
    </row>
    <row r="119" spans="1:7">
      <c r="A119" s="446"/>
      <c r="B119" s="468"/>
      <c r="C119" s="446"/>
      <c r="D119" s="468"/>
      <c r="E119" s="446"/>
      <c r="F119" s="446"/>
      <c r="G119" s="446"/>
    </row>
    <row r="120" spans="1:7">
      <c r="A120" s="446"/>
      <c r="B120" s="468"/>
      <c r="C120" s="446"/>
      <c r="D120" s="468"/>
      <c r="E120" s="446"/>
      <c r="F120" s="446"/>
      <c r="G120" s="446"/>
    </row>
    <row r="121" spans="1:7">
      <c r="A121" s="446"/>
      <c r="B121" s="468"/>
      <c r="C121" s="446"/>
      <c r="D121" s="468"/>
      <c r="E121" s="446"/>
      <c r="F121" s="446"/>
      <c r="G121" s="446"/>
    </row>
    <row r="122" spans="1:7">
      <c r="A122" s="446"/>
      <c r="B122" s="468"/>
      <c r="C122" s="446"/>
      <c r="D122" s="468"/>
      <c r="E122" s="446"/>
      <c r="F122" s="446"/>
      <c r="G122" s="446"/>
    </row>
    <row r="123" spans="1:7">
      <c r="A123" s="446"/>
      <c r="B123" s="468"/>
      <c r="C123" s="446"/>
      <c r="D123" s="468"/>
      <c r="E123" s="446"/>
      <c r="F123" s="446"/>
      <c r="G123" s="446"/>
    </row>
    <row r="124" spans="1:7">
      <c r="A124" s="446"/>
      <c r="B124" s="468"/>
      <c r="C124" s="446"/>
      <c r="D124" s="468"/>
      <c r="E124" s="446"/>
      <c r="F124" s="446"/>
      <c r="G124" s="446"/>
    </row>
    <row r="125" spans="1:7">
      <c r="A125" s="446"/>
      <c r="B125" s="468"/>
      <c r="C125" s="446"/>
      <c r="D125" s="468"/>
      <c r="E125" s="446"/>
      <c r="F125" s="446"/>
      <c r="G125" s="446"/>
    </row>
    <row r="126" spans="1:7">
      <c r="A126" s="446"/>
      <c r="B126" s="468"/>
      <c r="C126" s="446"/>
      <c r="D126" s="468"/>
      <c r="E126" s="446"/>
      <c r="F126" s="446"/>
      <c r="G126" s="446"/>
    </row>
    <row r="127" spans="1:7">
      <c r="A127" s="446"/>
      <c r="B127" s="468"/>
      <c r="C127" s="446"/>
      <c r="D127" s="468"/>
      <c r="E127" s="446"/>
      <c r="F127" s="446"/>
      <c r="G127" s="446"/>
    </row>
    <row r="128" spans="1:7">
      <c r="A128" s="446"/>
      <c r="B128" s="468"/>
      <c r="C128" s="446"/>
      <c r="D128" s="468"/>
      <c r="E128" s="446"/>
      <c r="F128" s="446"/>
      <c r="G128" s="446"/>
    </row>
    <row r="129" spans="1:7">
      <c r="A129" s="446"/>
      <c r="B129" s="468"/>
      <c r="C129" s="446"/>
      <c r="D129" s="468"/>
      <c r="E129" s="446"/>
      <c r="F129" s="446"/>
      <c r="G129" s="446"/>
    </row>
    <row r="130" spans="1:7">
      <c r="A130" s="446"/>
      <c r="B130" s="468"/>
      <c r="C130" s="446"/>
      <c r="D130" s="468"/>
      <c r="E130" s="446"/>
      <c r="F130" s="446"/>
      <c r="G130" s="446"/>
    </row>
    <row r="131" spans="1:7">
      <c r="A131" s="446"/>
      <c r="B131" s="468"/>
      <c r="C131" s="446"/>
      <c r="D131" s="468"/>
      <c r="E131" s="446"/>
      <c r="F131" s="446"/>
      <c r="G131" s="446"/>
    </row>
    <row r="132" spans="1:7">
      <c r="A132" s="446"/>
      <c r="B132" s="468"/>
      <c r="C132" s="446"/>
      <c r="D132" s="468"/>
      <c r="E132" s="446"/>
      <c r="F132" s="446"/>
      <c r="G132" s="446"/>
    </row>
    <row r="133" spans="1:7">
      <c r="A133" s="446"/>
      <c r="B133" s="468"/>
      <c r="C133" s="446"/>
      <c r="D133" s="468"/>
      <c r="E133" s="446"/>
      <c r="F133" s="446"/>
      <c r="G133" s="446"/>
    </row>
    <row r="134" spans="1:7">
      <c r="A134" s="446"/>
      <c r="B134" s="468"/>
      <c r="C134" s="446"/>
      <c r="D134" s="468"/>
      <c r="E134" s="446"/>
      <c r="F134" s="446"/>
      <c r="G134" s="446"/>
    </row>
    <row r="135" spans="1:7">
      <c r="A135" s="446"/>
      <c r="B135" s="468"/>
      <c r="C135" s="446"/>
      <c r="D135" s="468"/>
      <c r="E135" s="446"/>
      <c r="F135" s="446"/>
      <c r="G135" s="446"/>
    </row>
    <row r="136" spans="1:7">
      <c r="A136" s="446"/>
      <c r="B136" s="468"/>
      <c r="C136" s="446"/>
      <c r="D136" s="468"/>
      <c r="E136" s="446"/>
      <c r="F136" s="446"/>
      <c r="G136" s="446"/>
    </row>
    <row r="137" spans="1:7">
      <c r="A137" s="446"/>
      <c r="B137" s="468"/>
      <c r="C137" s="446"/>
      <c r="D137" s="468"/>
      <c r="E137" s="446"/>
      <c r="F137" s="446"/>
      <c r="G137" s="446"/>
    </row>
    <row r="138" spans="1:7">
      <c r="A138" s="446"/>
      <c r="B138" s="468"/>
      <c r="C138" s="446"/>
      <c r="D138" s="468"/>
      <c r="E138" s="446"/>
      <c r="F138" s="446"/>
      <c r="G138" s="446"/>
    </row>
    <row r="139" spans="1:7">
      <c r="A139" s="446"/>
      <c r="B139" s="468"/>
      <c r="C139" s="446"/>
      <c r="D139" s="468"/>
      <c r="E139" s="446"/>
      <c r="F139" s="446"/>
      <c r="G139" s="446"/>
    </row>
    <row r="140" spans="1:7">
      <c r="A140" s="446"/>
      <c r="B140" s="468"/>
      <c r="C140" s="446"/>
      <c r="D140" s="468"/>
      <c r="E140" s="446"/>
      <c r="F140" s="446"/>
      <c r="G140" s="446"/>
    </row>
    <row r="141" spans="1:7">
      <c r="A141" s="446"/>
      <c r="B141" s="468"/>
      <c r="C141" s="446"/>
      <c r="D141" s="468"/>
      <c r="E141" s="446"/>
      <c r="F141" s="446"/>
      <c r="G141" s="446"/>
    </row>
    <row r="142" spans="1:7">
      <c r="A142" s="446"/>
      <c r="B142" s="468"/>
      <c r="C142" s="446"/>
      <c r="D142" s="468"/>
      <c r="E142" s="446"/>
      <c r="F142" s="446"/>
      <c r="G142" s="446"/>
    </row>
    <row r="143" spans="1:7">
      <c r="A143" s="446"/>
      <c r="B143" s="468"/>
      <c r="C143" s="446"/>
      <c r="D143" s="468"/>
      <c r="E143" s="446"/>
      <c r="F143" s="446"/>
      <c r="G143" s="446"/>
    </row>
    <row r="144" spans="1:7">
      <c r="A144" s="446"/>
      <c r="B144" s="468"/>
      <c r="C144" s="446"/>
      <c r="D144" s="468"/>
      <c r="E144" s="446"/>
      <c r="F144" s="446"/>
      <c r="G144" s="446"/>
    </row>
    <row r="145" spans="1:7">
      <c r="A145" s="446"/>
      <c r="B145" s="468"/>
      <c r="C145" s="446"/>
      <c r="D145" s="468"/>
      <c r="E145" s="446"/>
      <c r="F145" s="446"/>
      <c r="G145" s="446"/>
    </row>
    <row r="146" spans="1:7">
      <c r="A146" s="446"/>
      <c r="B146" s="468"/>
      <c r="C146" s="446"/>
      <c r="D146" s="468"/>
      <c r="E146" s="446"/>
      <c r="F146" s="446"/>
      <c r="G146" s="446"/>
    </row>
    <row r="147" spans="1:7">
      <c r="A147" s="446"/>
      <c r="B147" s="468"/>
      <c r="C147" s="446"/>
      <c r="D147" s="468"/>
      <c r="E147" s="446"/>
      <c r="F147" s="446"/>
      <c r="G147" s="446"/>
    </row>
    <row r="148" spans="1:7">
      <c r="A148" s="446"/>
      <c r="B148" s="468"/>
      <c r="C148" s="446"/>
      <c r="D148" s="468"/>
      <c r="E148" s="446"/>
      <c r="F148" s="446"/>
      <c r="G148" s="446"/>
    </row>
    <row r="149" spans="1:7">
      <c r="A149" s="446"/>
      <c r="B149" s="468"/>
      <c r="C149" s="446"/>
      <c r="D149" s="468"/>
      <c r="E149" s="446"/>
      <c r="F149" s="446"/>
      <c r="G149" s="446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I149"/>
  <sheetViews>
    <sheetView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6.81640625" bestFit="1" customWidth="1"/>
    <col min="6" max="9" width="11.7265625" style="636" customWidth="1"/>
    <col min="10" max="13" width="10.7265625" bestFit="1" customWidth="1"/>
    <col min="14" max="14" width="11.7265625" bestFit="1" customWidth="1"/>
    <col min="15" max="21" width="10.7265625" bestFit="1" customWidth="1"/>
  </cols>
  <sheetData>
    <row r="1" spans="1:6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71"/>
      <c r="X1" s="471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</row>
    <row r="2" spans="1:61">
      <c r="A2" s="453"/>
      <c r="B2" s="450"/>
      <c r="C2" s="450"/>
      <c r="D2" s="450"/>
      <c r="E2" s="452">
        <v>45657</v>
      </c>
      <c r="F2" s="554"/>
      <c r="G2" s="554"/>
      <c r="H2" s="554"/>
      <c r="I2" s="554"/>
      <c r="J2" s="452">
        <v>45747</v>
      </c>
      <c r="K2" s="452">
        <v>45838</v>
      </c>
      <c r="L2" s="452">
        <v>45930</v>
      </c>
      <c r="M2" s="452">
        <v>46022</v>
      </c>
      <c r="N2" s="452">
        <v>46112</v>
      </c>
      <c r="O2" s="452">
        <v>46203</v>
      </c>
      <c r="P2" s="452">
        <v>46295</v>
      </c>
      <c r="Q2" s="452">
        <v>46387</v>
      </c>
      <c r="R2" s="452">
        <v>46752</v>
      </c>
      <c r="S2" s="452">
        <v>47118</v>
      </c>
      <c r="T2" s="452">
        <v>47483</v>
      </c>
      <c r="U2" s="452">
        <v>47848</v>
      </c>
      <c r="V2" s="449"/>
      <c r="W2" s="600"/>
      <c r="X2" s="600"/>
      <c r="Y2" s="453"/>
      <c r="Z2" s="453"/>
      <c r="AA2" s="453"/>
      <c r="AB2" s="453"/>
      <c r="AC2" s="453"/>
      <c r="AD2" s="453"/>
      <c r="AE2" s="453"/>
      <c r="AF2" s="453"/>
      <c r="AG2" s="601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</row>
    <row r="3" spans="1:61">
      <c r="A3" s="453"/>
      <c r="B3" s="450"/>
      <c r="C3" s="450"/>
      <c r="D3" s="450"/>
      <c r="E3" s="455"/>
      <c r="F3" s="555"/>
      <c r="G3" s="555"/>
      <c r="H3" s="555"/>
      <c r="I3" s="555"/>
      <c r="J3" s="455" t="s">
        <v>3</v>
      </c>
      <c r="K3" s="455" t="s">
        <v>4</v>
      </c>
      <c r="L3" s="455" t="s">
        <v>5</v>
      </c>
      <c r="M3" s="455" t="s">
        <v>2</v>
      </c>
      <c r="N3" s="455" t="s">
        <v>3</v>
      </c>
      <c r="O3" s="455" t="s">
        <v>4</v>
      </c>
      <c r="P3" s="455" t="s">
        <v>5</v>
      </c>
      <c r="Q3" s="455" t="s">
        <v>2</v>
      </c>
      <c r="R3" s="602" t="s">
        <v>2</v>
      </c>
      <c r="S3" s="602" t="s">
        <v>2</v>
      </c>
      <c r="T3" s="602" t="s">
        <v>2</v>
      </c>
      <c r="U3" s="602" t="s">
        <v>2</v>
      </c>
      <c r="V3" s="603"/>
      <c r="W3" s="600"/>
      <c r="X3" s="600"/>
      <c r="Y3" s="453"/>
      <c r="Z3" s="453"/>
      <c r="AA3" s="453"/>
      <c r="AB3" s="453"/>
      <c r="AC3" s="453"/>
      <c r="AD3" s="453"/>
      <c r="AE3" s="453"/>
      <c r="AF3" s="453"/>
      <c r="AG3" s="601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</row>
    <row r="4" spans="1:61" s="426" customFormat="1" ht="18.5" customHeight="1">
      <c r="A4" s="446"/>
      <c r="B4" s="456" t="s">
        <v>6</v>
      </c>
      <c r="C4" s="457" t="s">
        <v>7</v>
      </c>
      <c r="D4" s="456" t="s">
        <v>8</v>
      </c>
      <c r="E4" s="472"/>
      <c r="F4" s="446"/>
      <c r="G4" s="446"/>
      <c r="H4" s="446"/>
      <c r="I4" s="446"/>
      <c r="J4" s="472"/>
      <c r="K4" s="472"/>
      <c r="L4" s="472"/>
      <c r="M4" s="472"/>
      <c r="N4" s="472"/>
      <c r="O4" s="472"/>
      <c r="P4" s="472"/>
      <c r="Q4" s="472"/>
      <c r="R4" s="604"/>
      <c r="S4" s="604"/>
      <c r="T4" s="604"/>
      <c r="U4" s="604"/>
      <c r="V4" s="474"/>
      <c r="W4" s="471"/>
      <c r="X4" s="471"/>
      <c r="Y4" s="446"/>
      <c r="Z4" s="446"/>
      <c r="AA4" s="446"/>
      <c r="AB4" s="446"/>
      <c r="AC4" s="446"/>
      <c r="AD4" s="446"/>
      <c r="AE4" s="446"/>
      <c r="AF4" s="446"/>
      <c r="AG4" s="491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</row>
    <row r="5" spans="1:61" s="417" customFormat="1">
      <c r="A5" s="605" t="s">
        <v>1024</v>
      </c>
      <c r="B5" s="461"/>
      <c r="C5" s="464"/>
      <c r="D5" s="461"/>
      <c r="E5" s="472"/>
      <c r="F5" s="446"/>
      <c r="G5" s="446"/>
      <c r="H5" s="446"/>
      <c r="I5" s="446"/>
      <c r="J5" s="472"/>
      <c r="K5" s="472"/>
      <c r="L5" s="472"/>
      <c r="M5" s="472"/>
      <c r="N5" s="472"/>
      <c r="O5" s="472"/>
      <c r="P5" s="472"/>
      <c r="Q5" s="472"/>
      <c r="R5" s="604"/>
      <c r="S5" s="604"/>
      <c r="T5" s="604"/>
      <c r="U5" s="604"/>
      <c r="V5" s="474"/>
      <c r="W5" s="471"/>
      <c r="X5" s="471"/>
      <c r="Y5" s="446"/>
      <c r="Z5" s="446"/>
      <c r="AA5" s="446"/>
      <c r="AB5" s="446"/>
      <c r="AC5" s="446"/>
      <c r="AD5" s="446"/>
      <c r="AE5" s="446"/>
      <c r="AF5" s="446"/>
      <c r="AG5" s="491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</row>
    <row r="6" spans="1:61">
      <c r="A6" s="606" t="s">
        <v>1025</v>
      </c>
      <c r="B6" s="459" t="s">
        <v>12</v>
      </c>
      <c r="C6" s="460" t="s">
        <v>1026</v>
      </c>
      <c r="D6" s="475" t="s">
        <v>1027</v>
      </c>
      <c r="E6" s="505"/>
      <c r="F6" s="446"/>
      <c r="G6" s="446"/>
      <c r="H6" s="446"/>
      <c r="I6" s="446"/>
      <c r="J6" s="607">
        <v>375000</v>
      </c>
      <c r="K6" s="607">
        <v>375000</v>
      </c>
      <c r="L6" s="607">
        <v>375000</v>
      </c>
      <c r="M6" s="607">
        <v>375000</v>
      </c>
      <c r="N6" s="608">
        <v>375000</v>
      </c>
      <c r="O6" s="524">
        <v>375000</v>
      </c>
      <c r="P6" s="524">
        <v>375000</v>
      </c>
      <c r="Q6" s="524">
        <v>375000</v>
      </c>
      <c r="R6" s="540">
        <v>1500000</v>
      </c>
      <c r="S6" s="505">
        <v>1500000</v>
      </c>
      <c r="T6" s="505">
        <v>1500000</v>
      </c>
      <c r="U6" s="505">
        <v>1500000</v>
      </c>
      <c r="V6" s="540"/>
      <c r="W6" s="471"/>
      <c r="X6" s="471"/>
      <c r="Y6" s="446"/>
      <c r="Z6" s="446"/>
      <c r="AA6" s="446"/>
      <c r="AB6" s="446"/>
      <c r="AC6" s="446"/>
      <c r="AD6" s="446"/>
      <c r="AE6" s="446"/>
      <c r="AF6" s="446"/>
      <c r="AG6" s="491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</row>
    <row r="7" spans="1:61">
      <c r="A7" s="606" t="s">
        <v>1028</v>
      </c>
      <c r="B7" s="459" t="s">
        <v>12</v>
      </c>
      <c r="C7" s="460" t="s">
        <v>1026</v>
      </c>
      <c r="D7" s="475" t="s">
        <v>1029</v>
      </c>
      <c r="E7" s="446"/>
      <c r="F7" s="446"/>
      <c r="G7" s="446"/>
      <c r="H7" s="446"/>
      <c r="I7" s="446"/>
      <c r="J7" s="607">
        <v>0</v>
      </c>
      <c r="K7" s="607">
        <v>0</v>
      </c>
      <c r="L7" s="607">
        <v>0</v>
      </c>
      <c r="M7" s="607">
        <v>0</v>
      </c>
      <c r="N7" s="609">
        <v>0</v>
      </c>
      <c r="O7" s="524">
        <v>0</v>
      </c>
      <c r="P7" s="524">
        <v>0</v>
      </c>
      <c r="Q7" s="524">
        <v>0</v>
      </c>
      <c r="R7" s="540">
        <v>0</v>
      </c>
      <c r="S7" s="505">
        <v>0</v>
      </c>
      <c r="T7" s="505">
        <v>0</v>
      </c>
      <c r="U7" s="505">
        <v>0</v>
      </c>
      <c r="V7" s="540"/>
      <c r="W7" s="471"/>
      <c r="X7" s="471"/>
      <c r="Y7" s="446"/>
      <c r="Z7" s="446"/>
      <c r="AA7" s="446"/>
      <c r="AB7" s="446"/>
      <c r="AC7" s="446"/>
      <c r="AD7" s="446"/>
      <c r="AE7" s="446"/>
      <c r="AF7" s="446"/>
      <c r="AG7" s="491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</row>
    <row r="8" spans="1:61">
      <c r="A8" s="606" t="s">
        <v>1030</v>
      </c>
      <c r="B8" s="459" t="s">
        <v>12</v>
      </c>
      <c r="C8" s="460" t="s">
        <v>1026</v>
      </c>
      <c r="D8" s="475" t="s">
        <v>1031</v>
      </c>
      <c r="E8" s="446"/>
      <c r="F8" s="446"/>
      <c r="G8" s="446"/>
      <c r="H8" s="446"/>
      <c r="I8" s="446"/>
      <c r="J8" s="607">
        <v>0</v>
      </c>
      <c r="K8" s="607">
        <v>0</v>
      </c>
      <c r="L8" s="607">
        <v>0</v>
      </c>
      <c r="M8" s="607">
        <v>0</v>
      </c>
      <c r="N8" s="608">
        <v>25750</v>
      </c>
      <c r="O8" s="524">
        <v>25750</v>
      </c>
      <c r="P8" s="524">
        <v>25750</v>
      </c>
      <c r="Q8" s="524">
        <v>25750</v>
      </c>
      <c r="R8" s="540">
        <v>103000</v>
      </c>
      <c r="S8" s="505">
        <v>103000</v>
      </c>
      <c r="T8" s="505">
        <v>103000</v>
      </c>
      <c r="U8" s="505">
        <v>103000</v>
      </c>
      <c r="V8" s="540"/>
      <c r="W8" s="471"/>
      <c r="X8" s="471"/>
      <c r="Y8" s="446"/>
      <c r="Z8" s="446"/>
      <c r="AA8" s="446"/>
      <c r="AB8" s="446"/>
      <c r="AC8" s="540"/>
      <c r="AD8" s="446"/>
      <c r="AE8" s="446"/>
      <c r="AF8" s="446"/>
      <c r="AG8" s="491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</row>
    <row r="9" spans="1:61">
      <c r="A9" s="606" t="s">
        <v>1032</v>
      </c>
      <c r="B9" s="458" t="s">
        <v>12</v>
      </c>
      <c r="C9" s="458" t="s">
        <v>1026</v>
      </c>
      <c r="D9" s="458" t="s">
        <v>1033</v>
      </c>
      <c r="E9" s="446"/>
      <c r="F9" s="446"/>
      <c r="G9" s="446"/>
      <c r="H9" s="446"/>
      <c r="I9" s="446"/>
      <c r="J9" s="607">
        <v>31250</v>
      </c>
      <c r="K9" s="607">
        <v>31250</v>
      </c>
      <c r="L9" s="607">
        <v>31250</v>
      </c>
      <c r="M9" s="607">
        <v>31250</v>
      </c>
      <c r="N9" s="608">
        <v>31250</v>
      </c>
      <c r="O9" s="524">
        <v>31250</v>
      </c>
      <c r="P9" s="524">
        <v>31250</v>
      </c>
      <c r="Q9" s="524">
        <v>31250</v>
      </c>
      <c r="R9" s="540">
        <v>125000</v>
      </c>
      <c r="S9" s="505">
        <v>125000</v>
      </c>
      <c r="T9" s="505">
        <v>125000</v>
      </c>
      <c r="U9" s="505">
        <v>125000</v>
      </c>
      <c r="V9" s="540"/>
      <c r="W9" s="471"/>
      <c r="X9" s="471"/>
      <c r="Y9" s="446"/>
      <c r="Z9" s="446"/>
      <c r="AA9" s="446"/>
      <c r="AB9" s="446"/>
      <c r="AC9" s="446"/>
      <c r="AD9" s="446"/>
      <c r="AE9" s="446"/>
      <c r="AF9" s="446"/>
      <c r="AG9" s="491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</row>
    <row r="10" spans="1:61">
      <c r="A10" s="458" t="s">
        <v>1034</v>
      </c>
      <c r="B10" s="458" t="s">
        <v>12</v>
      </c>
      <c r="C10" s="458" t="s">
        <v>1026</v>
      </c>
      <c r="D10" s="458" t="s">
        <v>1035</v>
      </c>
      <c r="E10" s="446"/>
      <c r="F10" s="540"/>
      <c r="G10" s="540"/>
      <c r="H10" s="540"/>
      <c r="I10" s="540"/>
      <c r="J10" s="607">
        <v>0</v>
      </c>
      <c r="K10" s="607">
        <v>0</v>
      </c>
      <c r="L10" s="607">
        <v>0</v>
      </c>
      <c r="M10" s="607">
        <v>0</v>
      </c>
      <c r="N10" s="607">
        <v>0</v>
      </c>
      <c r="O10" s="607">
        <v>0</v>
      </c>
      <c r="P10" s="607">
        <v>0</v>
      </c>
      <c r="Q10" s="607">
        <v>0</v>
      </c>
      <c r="R10" s="540">
        <v>0</v>
      </c>
      <c r="S10" s="540">
        <v>0</v>
      </c>
      <c r="T10" s="540">
        <v>0</v>
      </c>
      <c r="U10" s="540">
        <v>0</v>
      </c>
      <c r="V10" s="540"/>
      <c r="W10" s="471"/>
      <c r="X10" s="471"/>
      <c r="Y10" s="446"/>
      <c r="Z10" s="446"/>
      <c r="AA10" s="446"/>
      <c r="AB10" s="446"/>
      <c r="AC10" s="446"/>
      <c r="AD10" s="446"/>
      <c r="AE10" s="446"/>
      <c r="AF10" s="446"/>
      <c r="AG10" s="491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</row>
    <row r="11" spans="1:61">
      <c r="A11" s="458" t="s">
        <v>1036</v>
      </c>
      <c r="B11" s="458" t="s">
        <v>12</v>
      </c>
      <c r="C11" s="458" t="s">
        <v>1026</v>
      </c>
      <c r="D11" s="458" t="s">
        <v>1037</v>
      </c>
      <c r="E11" s="540"/>
      <c r="F11" s="446"/>
      <c r="G11" s="446"/>
      <c r="H11" s="446"/>
      <c r="I11" s="446"/>
      <c r="J11" s="607">
        <v>87500</v>
      </c>
      <c r="K11" s="607">
        <v>87500</v>
      </c>
      <c r="L11" s="607">
        <v>87500</v>
      </c>
      <c r="M11" s="607">
        <v>87500</v>
      </c>
      <c r="N11" s="607">
        <v>87500</v>
      </c>
      <c r="O11" s="607">
        <v>0</v>
      </c>
      <c r="P11" s="607">
        <v>0</v>
      </c>
      <c r="Q11" s="607">
        <v>0</v>
      </c>
      <c r="R11" s="540">
        <v>0</v>
      </c>
      <c r="S11" s="540">
        <v>0</v>
      </c>
      <c r="T11" s="540">
        <v>0</v>
      </c>
      <c r="U11" s="540">
        <v>0</v>
      </c>
      <c r="V11" s="540"/>
      <c r="W11" s="471"/>
      <c r="X11" s="471"/>
      <c r="Y11" s="446"/>
      <c r="Z11" s="446"/>
      <c r="AA11" s="446"/>
      <c r="AB11" s="446"/>
      <c r="AC11" s="446"/>
      <c r="AD11" s="446"/>
      <c r="AE11" s="446"/>
      <c r="AF11" s="446"/>
      <c r="AG11" s="491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</row>
    <row r="12" spans="1:61">
      <c r="A12" s="486" t="s">
        <v>306</v>
      </c>
      <c r="B12" s="446"/>
      <c r="C12" s="446"/>
      <c r="D12" s="446"/>
      <c r="E12" s="540"/>
      <c r="F12" s="624"/>
      <c r="G12" s="624"/>
      <c r="H12" s="624"/>
      <c r="I12" s="624"/>
      <c r="J12" s="540">
        <f t="shared" ref="J12:U12" si="0">SUM(J6:J11)</f>
        <v>493750</v>
      </c>
      <c r="K12" s="540">
        <f t="shared" si="0"/>
        <v>493750</v>
      </c>
      <c r="L12" s="540">
        <f t="shared" si="0"/>
        <v>493750</v>
      </c>
      <c r="M12" s="540">
        <f t="shared" si="0"/>
        <v>493750</v>
      </c>
      <c r="N12" s="540">
        <f t="shared" si="0"/>
        <v>519500</v>
      </c>
      <c r="O12" s="540">
        <f t="shared" si="0"/>
        <v>432000</v>
      </c>
      <c r="P12" s="540">
        <f t="shared" si="0"/>
        <v>432000</v>
      </c>
      <c r="Q12" s="540">
        <f t="shared" si="0"/>
        <v>432000</v>
      </c>
      <c r="R12" s="540">
        <f t="shared" si="0"/>
        <v>1728000</v>
      </c>
      <c r="S12" s="540">
        <f t="shared" si="0"/>
        <v>1728000</v>
      </c>
      <c r="T12" s="540">
        <f t="shared" si="0"/>
        <v>1728000</v>
      </c>
      <c r="U12" s="540">
        <f t="shared" si="0"/>
        <v>1728000</v>
      </c>
      <c r="V12" s="540"/>
      <c r="W12" s="471"/>
      <c r="X12" s="471"/>
      <c r="Y12" s="446"/>
      <c r="Z12" s="446"/>
      <c r="AA12" s="446"/>
      <c r="AB12" s="446"/>
      <c r="AC12" s="446"/>
      <c r="AD12" s="446"/>
      <c r="AE12" s="446"/>
      <c r="AF12" s="446"/>
      <c r="AG12" s="491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</row>
    <row r="13" spans="1:61">
      <c r="A13" s="458" t="s">
        <v>1038</v>
      </c>
      <c r="B13" s="446"/>
      <c r="C13" s="446"/>
      <c r="D13" s="446"/>
      <c r="E13" s="446"/>
      <c r="F13" s="624"/>
      <c r="G13" s="624"/>
      <c r="H13" s="624"/>
      <c r="I13" s="624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71"/>
      <c r="X13" s="471"/>
      <c r="Y13" s="446"/>
      <c r="Z13" s="446"/>
      <c r="AA13" s="446"/>
      <c r="AB13" s="446"/>
      <c r="AC13" s="446"/>
      <c r="AD13" s="446"/>
      <c r="AE13" s="446"/>
      <c r="AF13" s="446"/>
      <c r="AG13" s="491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</row>
    <row r="14" spans="1:61">
      <c r="A14" s="446" t="str">
        <f t="shared" ref="A14:A19" si="1">+A6</f>
        <v>Managing Member (SK)</v>
      </c>
      <c r="B14" s="458" t="s">
        <v>12</v>
      </c>
      <c r="C14" s="458" t="s">
        <v>1039</v>
      </c>
      <c r="D14" s="458" t="s">
        <v>1027</v>
      </c>
      <c r="E14" s="491"/>
      <c r="F14" s="446"/>
      <c r="G14" s="446"/>
      <c r="H14" s="446"/>
      <c r="I14" s="446"/>
      <c r="J14" s="524">
        <v>0</v>
      </c>
      <c r="K14" s="524">
        <v>0</v>
      </c>
      <c r="L14" s="524">
        <v>0</v>
      </c>
      <c r="M14" s="524">
        <v>0</v>
      </c>
      <c r="N14" s="524">
        <v>0</v>
      </c>
      <c r="O14" s="524">
        <v>0</v>
      </c>
      <c r="P14" s="524">
        <v>0</v>
      </c>
      <c r="Q14" s="524">
        <v>0</v>
      </c>
      <c r="R14" s="505">
        <v>0</v>
      </c>
      <c r="S14" s="505">
        <v>0</v>
      </c>
      <c r="T14" s="505">
        <v>0</v>
      </c>
      <c r="U14" s="505">
        <v>0</v>
      </c>
      <c r="V14" s="491"/>
      <c r="W14" s="471"/>
      <c r="X14" s="471"/>
      <c r="Y14" s="446"/>
      <c r="Z14" s="446"/>
      <c r="AA14" s="446"/>
      <c r="AB14" s="446"/>
      <c r="AC14" s="446"/>
      <c r="AD14" s="446"/>
      <c r="AE14" s="446"/>
      <c r="AF14" s="446"/>
      <c r="AG14" s="491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</row>
    <row r="15" spans="1:61">
      <c r="A15" s="446" t="str">
        <f t="shared" si="1"/>
        <v>Philanropy senior exec (LM) (100%roots)</v>
      </c>
      <c r="B15" s="458" t="s">
        <v>12</v>
      </c>
      <c r="C15" s="458" t="s">
        <v>1039</v>
      </c>
      <c r="D15" s="458" t="s">
        <v>1029</v>
      </c>
      <c r="E15" s="540"/>
      <c r="F15" s="446"/>
      <c r="G15" s="446"/>
      <c r="H15" s="446"/>
      <c r="I15" s="446"/>
      <c r="J15" s="524">
        <v>0</v>
      </c>
      <c r="K15" s="524">
        <v>0</v>
      </c>
      <c r="L15" s="524">
        <v>0</v>
      </c>
      <c r="M15" s="524">
        <v>0</v>
      </c>
      <c r="N15" s="524">
        <v>0</v>
      </c>
      <c r="O15" s="524">
        <v>0</v>
      </c>
      <c r="P15" s="524">
        <v>0</v>
      </c>
      <c r="Q15" s="524">
        <v>0</v>
      </c>
      <c r="R15" s="505">
        <v>0</v>
      </c>
      <c r="S15" s="505">
        <v>0</v>
      </c>
      <c r="T15" s="505">
        <v>0</v>
      </c>
      <c r="U15" s="505">
        <v>0</v>
      </c>
      <c r="V15" s="540"/>
      <c r="W15" s="471"/>
      <c r="X15" s="471"/>
      <c r="Y15" s="446"/>
      <c r="Z15" s="446"/>
      <c r="AA15" s="446"/>
      <c r="AB15" s="446"/>
      <c r="AC15" s="446"/>
      <c r="AD15" s="446"/>
      <c r="AE15" s="446"/>
      <c r="AF15" s="446"/>
      <c r="AG15" s="491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</row>
    <row r="16" spans="1:61">
      <c r="A16" s="446" t="str">
        <f t="shared" si="1"/>
        <v>Bookkeeper (DD)</v>
      </c>
      <c r="B16" s="458" t="s">
        <v>12</v>
      </c>
      <c r="C16" s="458" t="s">
        <v>1039</v>
      </c>
      <c r="D16" s="458" t="s">
        <v>1031</v>
      </c>
      <c r="E16" s="540"/>
      <c r="F16" s="446"/>
      <c r="G16" s="446"/>
      <c r="H16" s="446"/>
      <c r="I16" s="446"/>
      <c r="J16" s="524">
        <v>0</v>
      </c>
      <c r="K16" s="524"/>
      <c r="L16" s="524">
        <v>0</v>
      </c>
      <c r="M16" s="524">
        <v>10000</v>
      </c>
      <c r="N16" s="524">
        <v>0</v>
      </c>
      <c r="O16" s="524">
        <v>0</v>
      </c>
      <c r="P16" s="524">
        <v>0</v>
      </c>
      <c r="Q16" s="524">
        <v>5000</v>
      </c>
      <c r="R16" s="505">
        <v>5000</v>
      </c>
      <c r="S16" s="505">
        <v>5000</v>
      </c>
      <c r="T16" s="505">
        <v>5000</v>
      </c>
      <c r="U16" s="505">
        <v>5000</v>
      </c>
      <c r="V16" s="540"/>
      <c r="W16" s="471"/>
      <c r="X16" s="471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</row>
    <row r="17" spans="1:61">
      <c r="A17" s="446" t="str">
        <f t="shared" si="1"/>
        <v>Personal Assistant (CD)</v>
      </c>
      <c r="B17" s="458" t="s">
        <v>12</v>
      </c>
      <c r="C17" s="458" t="s">
        <v>1039</v>
      </c>
      <c r="D17" s="458" t="s">
        <v>1033</v>
      </c>
      <c r="E17" s="540"/>
      <c r="F17" s="614"/>
      <c r="G17" s="614"/>
      <c r="H17" s="614"/>
      <c r="I17" s="614"/>
      <c r="J17" s="524">
        <v>0</v>
      </c>
      <c r="K17" s="524">
        <v>0</v>
      </c>
      <c r="L17" s="524">
        <v>0</v>
      </c>
      <c r="M17" s="524">
        <v>0</v>
      </c>
      <c r="N17" s="524">
        <v>0</v>
      </c>
      <c r="O17" s="524">
        <v>0</v>
      </c>
      <c r="P17" s="524">
        <v>0</v>
      </c>
      <c r="Q17" s="524">
        <v>15000</v>
      </c>
      <c r="R17" s="505">
        <v>15000</v>
      </c>
      <c r="S17" s="505">
        <v>15000</v>
      </c>
      <c r="T17" s="505">
        <v>15000</v>
      </c>
      <c r="U17" s="505">
        <v>15000</v>
      </c>
      <c r="V17" s="540"/>
      <c r="W17" s="471"/>
      <c r="X17" s="471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</row>
    <row r="18" spans="1:61">
      <c r="A18" s="446" t="str">
        <f t="shared" si="1"/>
        <v>philanthropy assist (100%roots)</v>
      </c>
      <c r="B18" s="458" t="s">
        <v>12</v>
      </c>
      <c r="C18" s="458" t="s">
        <v>1039</v>
      </c>
      <c r="D18" s="458" t="s">
        <v>1035</v>
      </c>
      <c r="E18" s="540"/>
      <c r="F18" s="614"/>
      <c r="G18" s="614"/>
      <c r="H18" s="614"/>
      <c r="I18" s="614"/>
      <c r="J18" s="524">
        <v>0</v>
      </c>
      <c r="K18" s="524">
        <v>0</v>
      </c>
      <c r="L18" s="524">
        <v>0</v>
      </c>
      <c r="M18" s="524">
        <v>0</v>
      </c>
      <c r="N18" s="524">
        <v>0</v>
      </c>
      <c r="O18" s="524">
        <v>0</v>
      </c>
      <c r="P18" s="524">
        <v>0</v>
      </c>
      <c r="Q18" s="524">
        <v>0</v>
      </c>
      <c r="R18" s="505">
        <v>0</v>
      </c>
      <c r="S18" s="505">
        <v>0</v>
      </c>
      <c r="T18" s="505">
        <v>0</v>
      </c>
      <c r="U18" s="505">
        <v>0</v>
      </c>
      <c r="V18" s="540"/>
      <c r="W18" s="471"/>
      <c r="X18" s="471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</row>
    <row r="19" spans="1:61">
      <c r="A19" s="446" t="str">
        <f t="shared" si="1"/>
        <v>TM (gone)</v>
      </c>
      <c r="B19" s="458" t="s">
        <v>12</v>
      </c>
      <c r="C19" s="458" t="s">
        <v>1039</v>
      </c>
      <c r="D19" s="458" t="s">
        <v>1037</v>
      </c>
      <c r="E19" s="540"/>
      <c r="F19" s="540"/>
      <c r="G19" s="540"/>
      <c r="H19" s="540"/>
      <c r="I19" s="540"/>
      <c r="J19" s="524">
        <v>0</v>
      </c>
      <c r="K19" s="524">
        <v>0</v>
      </c>
      <c r="L19" s="524">
        <v>0</v>
      </c>
      <c r="M19" s="524">
        <v>0</v>
      </c>
      <c r="N19" s="524">
        <v>320000</v>
      </c>
      <c r="O19" s="524">
        <v>0</v>
      </c>
      <c r="P19" s="524">
        <v>0</v>
      </c>
      <c r="Q19" s="524">
        <v>500000</v>
      </c>
      <c r="R19" s="505">
        <v>500000</v>
      </c>
      <c r="S19" s="505">
        <v>0</v>
      </c>
      <c r="T19" s="505">
        <v>0</v>
      </c>
      <c r="U19" s="505">
        <v>0</v>
      </c>
      <c r="V19" s="540"/>
      <c r="W19" s="471"/>
      <c r="X19" s="471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</row>
    <row r="20" spans="1:61">
      <c r="A20" s="486" t="s">
        <v>306</v>
      </c>
      <c r="B20" s="446"/>
      <c r="C20" s="446"/>
      <c r="D20" s="446"/>
      <c r="E20" s="540"/>
      <c r="F20" s="446"/>
      <c r="G20" s="446"/>
      <c r="H20" s="446"/>
      <c r="I20" s="446"/>
      <c r="J20" s="540">
        <f t="shared" ref="J20:U20" si="2">SUM(J14:J19)</f>
        <v>0</v>
      </c>
      <c r="K20" s="540">
        <f t="shared" si="2"/>
        <v>0</v>
      </c>
      <c r="L20" s="540">
        <f t="shared" si="2"/>
        <v>0</v>
      </c>
      <c r="M20" s="540">
        <f t="shared" si="2"/>
        <v>10000</v>
      </c>
      <c r="N20" s="540">
        <f t="shared" si="2"/>
        <v>320000</v>
      </c>
      <c r="O20" s="540">
        <f t="shared" si="2"/>
        <v>0</v>
      </c>
      <c r="P20" s="540">
        <f t="shared" si="2"/>
        <v>0</v>
      </c>
      <c r="Q20" s="540">
        <f t="shared" si="2"/>
        <v>520000</v>
      </c>
      <c r="R20" s="540">
        <f t="shared" si="2"/>
        <v>520000</v>
      </c>
      <c r="S20" s="540">
        <f t="shared" si="2"/>
        <v>20000</v>
      </c>
      <c r="T20" s="540">
        <f t="shared" si="2"/>
        <v>20000</v>
      </c>
      <c r="U20" s="540">
        <f t="shared" si="2"/>
        <v>20000</v>
      </c>
      <c r="V20" s="540"/>
      <c r="W20" s="471"/>
      <c r="X20" s="471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</row>
    <row r="21" spans="1:61">
      <c r="A21" s="539"/>
      <c r="B21" s="446"/>
      <c r="C21" s="446"/>
      <c r="D21" s="446"/>
      <c r="E21" s="540"/>
      <c r="F21" s="491"/>
      <c r="G21" s="491"/>
      <c r="H21" s="491"/>
      <c r="I21" s="491"/>
      <c r="J21" s="540"/>
      <c r="K21" s="540"/>
      <c r="L21" s="540"/>
      <c r="M21" s="540"/>
      <c r="N21" s="540"/>
      <c r="O21" s="540"/>
      <c r="P21" s="540"/>
      <c r="Q21" s="540"/>
      <c r="R21" s="540"/>
      <c r="S21" s="540"/>
      <c r="T21" s="540"/>
      <c r="U21" s="540"/>
      <c r="V21" s="540"/>
      <c r="W21" s="471"/>
      <c r="X21" s="471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</row>
    <row r="22" spans="1:61">
      <c r="A22" s="458" t="s">
        <v>306</v>
      </c>
      <c r="B22" s="446"/>
      <c r="C22" s="446"/>
      <c r="D22" s="446"/>
      <c r="E22" s="446"/>
      <c r="F22" s="540"/>
      <c r="G22" s="540"/>
      <c r="H22" s="540"/>
      <c r="I22" s="540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71"/>
      <c r="X22" s="471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</row>
    <row r="23" spans="1:61">
      <c r="A23" s="446" t="str">
        <f t="shared" ref="A23:A28" si="3">+A6</f>
        <v>Managing Member (SK)</v>
      </c>
      <c r="B23" s="458" t="s">
        <v>36</v>
      </c>
      <c r="C23" s="458" t="s">
        <v>1040</v>
      </c>
      <c r="D23" s="458" t="s">
        <v>1027</v>
      </c>
      <c r="E23" s="565"/>
      <c r="F23" s="540"/>
      <c r="G23" s="540"/>
      <c r="H23" s="540"/>
      <c r="I23" s="540"/>
      <c r="J23" s="610">
        <f>J6*(1+'.c12_inputs.hr'!$E$5)+(J14*(1+'.c12_inputs.hr'!$E$6))</f>
        <v>375000</v>
      </c>
      <c r="K23" s="610">
        <f>K6*(1+'.c12_inputs.hr'!$E$5)+(K14*(1+'.c12_inputs.hr'!$E$6))</f>
        <v>375000</v>
      </c>
      <c r="L23" s="610">
        <f>L6*(1+'.c12_inputs.hr'!$E$5)+(L14*(1+'.c12_inputs.hr'!$E$6))</f>
        <v>375000</v>
      </c>
      <c r="M23" s="610">
        <f>M6*(1+'.c12_inputs.hr'!$E$5)+(M14*(1+'.c12_inputs.hr'!$E$6))</f>
        <v>375000</v>
      </c>
      <c r="N23" s="610">
        <f>N6*(1+'.c12_inputs.hr'!$E$5)+(N14*(1+'.c12_inputs.hr'!$E$6))</f>
        <v>375000</v>
      </c>
      <c r="O23" s="610">
        <f>O6*(1+'.c12_inputs.hr'!$E$5)+(O14*(1+'.c12_inputs.hr'!$E$6))</f>
        <v>375000</v>
      </c>
      <c r="P23" s="610">
        <f>P6*(1+'.c12_inputs.hr'!$E$5)+(P14*(1+'.c12_inputs.hr'!$E$6))</f>
        <v>375000</v>
      </c>
      <c r="Q23" s="610">
        <f>Q6*(1+'.c12_inputs.hr'!$E$5)+(Q14*(1+'.c12_inputs.hr'!$E$6))</f>
        <v>375000</v>
      </c>
      <c r="R23" s="540">
        <f>R6*(1+'.c12_inputs.hr'!$E$5)+(R14*(1+'.c12_inputs.hr'!$E$6))</f>
        <v>1500000</v>
      </c>
      <c r="S23" s="540">
        <f>S6*(1+'.c12_inputs.hr'!$E$5)+(S14*(1+'.c12_inputs.hr'!$E$6))</f>
        <v>1500000</v>
      </c>
      <c r="T23" s="540">
        <f>T6*(1+'.c12_inputs.hr'!$E$5)+(T14*(1+'.c12_inputs.hr'!$E$6))</f>
        <v>1500000</v>
      </c>
      <c r="U23" s="540">
        <f>U6*(1+'.c12_inputs.hr'!$E$5)+(U14*(1+'.c12_inputs.hr'!$E$6))</f>
        <v>1500000</v>
      </c>
      <c r="V23" s="540"/>
      <c r="W23" s="471"/>
      <c r="X23" s="471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</row>
    <row r="24" spans="1:61">
      <c r="A24" s="446" t="str">
        <f t="shared" si="3"/>
        <v>Philanropy senior exec (LM) (100%roots)</v>
      </c>
      <c r="B24" s="458" t="s">
        <v>36</v>
      </c>
      <c r="C24" s="458" t="s">
        <v>1040</v>
      </c>
      <c r="D24" s="458" t="s">
        <v>1029</v>
      </c>
      <c r="E24" s="565"/>
      <c r="F24" s="540"/>
      <c r="G24" s="540"/>
      <c r="H24" s="540"/>
      <c r="I24" s="540"/>
      <c r="J24" s="610">
        <f>J7*(1+'.c12_inputs.hr'!$E$5)+(J15*(1+'.c12_inputs.hr'!$E$6))</f>
        <v>0</v>
      </c>
      <c r="K24" s="610">
        <f>K7*(1+'.c12_inputs.hr'!$E$5)+(K15*(1+'.c12_inputs.hr'!$E$6))</f>
        <v>0</v>
      </c>
      <c r="L24" s="610">
        <f>L7*(1+'.c12_inputs.hr'!$E$5)+(L15*(1+'.c12_inputs.hr'!$E$6))</f>
        <v>0</v>
      </c>
      <c r="M24" s="610">
        <f>M7*(1+'.c12_inputs.hr'!$E$5)+(M15*(1+'.c12_inputs.hr'!$E$6))</f>
        <v>0</v>
      </c>
      <c r="N24" s="610">
        <f>N7*(1+'.c12_inputs.hr'!$E$5)+(N15*(1+'.c12_inputs.hr'!$E$6))</f>
        <v>0</v>
      </c>
      <c r="O24" s="610">
        <f>O7*(1+'.c12_inputs.hr'!$E$5)+(O15*(1+'.c12_inputs.hr'!$E$6))</f>
        <v>0</v>
      </c>
      <c r="P24" s="610">
        <f>P7*(1+'.c12_inputs.hr'!$E$5)+(P15*(1+'.c12_inputs.hr'!$E$6))</f>
        <v>0</v>
      </c>
      <c r="Q24" s="610">
        <f>Q7*(1+'.c12_inputs.hr'!$E$5)+(Q15*(1+'.c12_inputs.hr'!$E$6))</f>
        <v>0</v>
      </c>
      <c r="R24" s="540">
        <f>R7*(1+'.c12_inputs.hr'!$E$5)+(R15*(1+'.c12_inputs.hr'!$E$6))</f>
        <v>0</v>
      </c>
      <c r="S24" s="540">
        <f>S7*(1+'.c12_inputs.hr'!$E$5)+(S15*(1+'.c12_inputs.hr'!$E$6))</f>
        <v>0</v>
      </c>
      <c r="T24" s="540">
        <f>T7*(1+'.c12_inputs.hr'!$E$5)+(T15*(1+'.c12_inputs.hr'!$E$6))</f>
        <v>0</v>
      </c>
      <c r="U24" s="540">
        <f>U7*(1+'.c12_inputs.hr'!$E$5)+(U15*(1+'.c12_inputs.hr'!$E$6))</f>
        <v>0</v>
      </c>
      <c r="V24" s="540"/>
      <c r="W24" s="471"/>
      <c r="X24" s="471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</row>
    <row r="25" spans="1:61">
      <c r="A25" s="446" t="str">
        <f t="shared" si="3"/>
        <v>Bookkeeper (DD)</v>
      </c>
      <c r="B25" s="458" t="s">
        <v>36</v>
      </c>
      <c r="C25" s="458" t="s">
        <v>1040</v>
      </c>
      <c r="D25" s="458" t="s">
        <v>1031</v>
      </c>
      <c r="E25" s="565"/>
      <c r="F25" s="540"/>
      <c r="G25" s="540"/>
      <c r="H25" s="540"/>
      <c r="I25" s="540"/>
      <c r="J25" s="610">
        <f>J8*(1+'.c12_inputs.hr'!$E$5)+(J16*(1+'.c12_inputs.hr'!$E$6))</f>
        <v>0</v>
      </c>
      <c r="K25" s="610">
        <f>K8*(1+'.c12_inputs.hr'!$E$5)+(K16*(1+'.c12_inputs.hr'!$E$6))</f>
        <v>0</v>
      </c>
      <c r="L25" s="610">
        <f>L8*(1+'.c12_inputs.hr'!$E$5)+(L16*(1+'.c12_inputs.hr'!$E$6))</f>
        <v>0</v>
      </c>
      <c r="M25" s="610">
        <f>M8*(1+'.c12_inputs.hr'!$E$5)+(M16*(1+'.c12_inputs.hr'!$E$6))</f>
        <v>10390</v>
      </c>
      <c r="N25" s="610">
        <f>N8*(1+'.c12_inputs.hr'!$E$5)+(N16*(1+'.c12_inputs.hr'!$E$6))</f>
        <v>25750</v>
      </c>
      <c r="O25" s="610">
        <f>O8*(1+'.c12_inputs.hr'!$E$5)+(O16*(1+'.c12_inputs.hr'!$E$6))</f>
        <v>25750</v>
      </c>
      <c r="P25" s="610">
        <f>P8*(1+'.c12_inputs.hr'!$E$5)+(P16*(1+'.c12_inputs.hr'!$E$6))</f>
        <v>25750</v>
      </c>
      <c r="Q25" s="610">
        <f>Q8*(1+'.c12_inputs.hr'!$E$5)+(Q16*(1+'.c12_inputs.hr'!$E$6))</f>
        <v>30945</v>
      </c>
      <c r="R25" s="540">
        <f>R8*(1+'.c12_inputs.hr'!$E$5)+(R16*(1+'.c12_inputs.hr'!$E$6))</f>
        <v>108195</v>
      </c>
      <c r="S25" s="540">
        <f>S8*(1+'.c12_inputs.hr'!$E$5)+(S16*(1+'.c12_inputs.hr'!$E$6))</f>
        <v>108195</v>
      </c>
      <c r="T25" s="540">
        <f>T8*(1+'.c12_inputs.hr'!$E$5)+(T16*(1+'.c12_inputs.hr'!$E$6))</f>
        <v>108195</v>
      </c>
      <c r="U25" s="540">
        <f>U8*(1+'.c12_inputs.hr'!$E$5)+(U16*(1+'.c12_inputs.hr'!$E$6))</f>
        <v>108195</v>
      </c>
      <c r="V25" s="540"/>
      <c r="W25" s="471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  <c r="BF25" s="446"/>
      <c r="BG25" s="446"/>
      <c r="BH25" s="446"/>
      <c r="BI25" s="446"/>
    </row>
    <row r="26" spans="1:61">
      <c r="A26" s="446" t="str">
        <f t="shared" si="3"/>
        <v>Personal Assistant (CD)</v>
      </c>
      <c r="B26" s="458" t="s">
        <v>36</v>
      </c>
      <c r="C26" s="458" t="s">
        <v>1040</v>
      </c>
      <c r="D26" s="458" t="s">
        <v>1033</v>
      </c>
      <c r="E26" s="565"/>
      <c r="F26" s="540"/>
      <c r="G26" s="540"/>
      <c r="H26" s="540"/>
      <c r="I26" s="540"/>
      <c r="J26" s="610">
        <f>J9*(1+'.c12_inputs.hr'!$E$5)+(J17*(1+'.c12_inputs.hr'!$E$6))</f>
        <v>31250</v>
      </c>
      <c r="K26" s="610">
        <f>K9*(1+'.c12_inputs.hr'!$E$5)+(K17*(1+'.c12_inputs.hr'!$E$6))</f>
        <v>31250</v>
      </c>
      <c r="L26" s="610">
        <f>L9*(1+'.c12_inputs.hr'!$E$5)+(L17*(1+'.c12_inputs.hr'!$E$6))</f>
        <v>31250</v>
      </c>
      <c r="M26" s="610">
        <f>M9*(1+'.c12_inputs.hr'!$E$5)+(M17*(1+'.c12_inputs.hr'!$E$6))</f>
        <v>31250</v>
      </c>
      <c r="N26" s="610">
        <f>N9*(1+'.c12_inputs.hr'!$E$5)+(N17*(1+'.c12_inputs.hr'!$E$6))</f>
        <v>31250</v>
      </c>
      <c r="O26" s="610">
        <f>O9*(1+'.c12_inputs.hr'!$E$5)+(O17*(1+'.c12_inputs.hr'!$E$6))</f>
        <v>31250</v>
      </c>
      <c r="P26" s="610">
        <f>P9*(1+'.c12_inputs.hr'!$E$5)+(P17*(1+'.c12_inputs.hr'!$E$6))</f>
        <v>31250</v>
      </c>
      <c r="Q26" s="610">
        <f>Q9*(1+'.c12_inputs.hr'!$E$5)+(Q17*(1+'.c12_inputs.hr'!$E$6))</f>
        <v>46835</v>
      </c>
      <c r="R26" s="540">
        <f>R9*(1+'.c12_inputs.hr'!$E$5)+(R17*(1+'.c12_inputs.hr'!$E$6))</f>
        <v>140585</v>
      </c>
      <c r="S26" s="540">
        <f>S9*(1+'.c12_inputs.hr'!$E$5)+(S17*(1+'.c12_inputs.hr'!$E$6))</f>
        <v>140585</v>
      </c>
      <c r="T26" s="540">
        <f>T9*(1+'.c12_inputs.hr'!$E$5)+(T17*(1+'.c12_inputs.hr'!$E$6))</f>
        <v>140585</v>
      </c>
      <c r="U26" s="540">
        <f>U9*(1+'.c12_inputs.hr'!$E$5)+(U17*(1+'.c12_inputs.hr'!$E$6))</f>
        <v>140585</v>
      </c>
      <c r="V26" s="540"/>
      <c r="W26" s="471"/>
      <c r="X26" s="446"/>
      <c r="Y26" s="446"/>
      <c r="Z26" s="446"/>
      <c r="AA26" s="446"/>
      <c r="AB26" s="446"/>
      <c r="AC26" s="446"/>
      <c r="AD26" s="446"/>
      <c r="AE26" s="446"/>
      <c r="AF26" s="446"/>
      <c r="AG26" s="491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  <c r="BF26" s="446"/>
      <c r="BG26" s="446"/>
      <c r="BH26" s="446"/>
      <c r="BI26" s="446"/>
    </row>
    <row r="27" spans="1:61">
      <c r="A27" s="446" t="str">
        <f t="shared" si="3"/>
        <v>philanthropy assist (100%roots)</v>
      </c>
      <c r="B27" s="458" t="s">
        <v>36</v>
      </c>
      <c r="C27" s="458" t="s">
        <v>1040</v>
      </c>
      <c r="D27" s="458" t="s">
        <v>1035</v>
      </c>
      <c r="E27" s="565"/>
      <c r="F27" s="540"/>
      <c r="G27" s="540"/>
      <c r="H27" s="540"/>
      <c r="I27" s="540"/>
      <c r="J27" s="610">
        <f>J10*(1+'.c12_inputs.hr'!$E$5)+(J18*(1+'.c12_inputs.hr'!$E$6))</f>
        <v>0</v>
      </c>
      <c r="K27" s="610">
        <f>K10*(1+'.c12_inputs.hr'!$E$5)+(K18*(1+'.c12_inputs.hr'!$E$6))</f>
        <v>0</v>
      </c>
      <c r="L27" s="610">
        <f>L10*(1+'.c12_inputs.hr'!$E$5)+(L18*(1+'.c12_inputs.hr'!$E$6))</f>
        <v>0</v>
      </c>
      <c r="M27" s="610">
        <f>M10*(1+'.c12_inputs.hr'!$E$5)+(M18*(1+'.c12_inputs.hr'!$E$6))</f>
        <v>0</v>
      </c>
      <c r="N27" s="610">
        <f>N10*(1+'.c12_inputs.hr'!$E$5)+(N18*(1+'.c12_inputs.hr'!$E$6))</f>
        <v>0</v>
      </c>
      <c r="O27" s="610">
        <f>O10*(1+'.c12_inputs.hr'!$E$5)+(O18*(1+'.c12_inputs.hr'!$E$6))</f>
        <v>0</v>
      </c>
      <c r="P27" s="610">
        <f>P10*(1+'.c12_inputs.hr'!$E$5)+(P18*(1+'.c12_inputs.hr'!$E$6))</f>
        <v>0</v>
      </c>
      <c r="Q27" s="610">
        <f>Q10*(1+'.c12_inputs.hr'!$E$5)+(Q18*(1+'.c12_inputs.hr'!$E$6))</f>
        <v>0</v>
      </c>
      <c r="R27" s="540">
        <f>R10*(1+'.c12_inputs.hr'!$E$5)+(R18*(1+'.c12_inputs.hr'!$E$6))</f>
        <v>0</v>
      </c>
      <c r="S27" s="540">
        <f>S10*(1+'.c12_inputs.hr'!$E$5)+(S18*(1+'.c12_inputs.hr'!$E$6))</f>
        <v>0</v>
      </c>
      <c r="T27" s="540">
        <f>T10*(1+'.c12_inputs.hr'!$E$5)+(T18*(1+'.c12_inputs.hr'!$E$6))</f>
        <v>0</v>
      </c>
      <c r="U27" s="540">
        <f>U10*(1+'.c12_inputs.hr'!$E$5)+(U18*(1+'.c12_inputs.hr'!$E$6))</f>
        <v>0</v>
      </c>
      <c r="V27" s="540"/>
      <c r="W27" s="471"/>
      <c r="X27" s="446"/>
      <c r="Y27" s="446"/>
      <c r="Z27" s="446"/>
      <c r="AA27" s="446"/>
      <c r="AB27" s="446"/>
      <c r="AC27" s="446"/>
      <c r="AD27" s="446"/>
      <c r="AE27" s="446"/>
      <c r="AF27" s="446"/>
      <c r="AG27" s="491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6"/>
    </row>
    <row r="28" spans="1:61">
      <c r="A28" s="446" t="str">
        <f t="shared" si="3"/>
        <v>TM (gone)</v>
      </c>
      <c r="B28" s="458" t="s">
        <v>36</v>
      </c>
      <c r="C28" s="458" t="s">
        <v>1040</v>
      </c>
      <c r="D28" s="458" t="s">
        <v>1037</v>
      </c>
      <c r="E28" s="565"/>
      <c r="F28" s="540"/>
      <c r="G28" s="540"/>
      <c r="H28" s="540"/>
      <c r="I28" s="540"/>
      <c r="J28" s="610">
        <f>J11*(1+'.c12_inputs.hr'!$E$5)+(J19*(1+'.c12_inputs.hr'!$E$6))</f>
        <v>87500</v>
      </c>
      <c r="K28" s="610">
        <f>K11*(1+'.c12_inputs.hr'!$E$5)+(K19*(1+'.c12_inputs.hr'!$E$6))</f>
        <v>87500</v>
      </c>
      <c r="L28" s="610">
        <f>L11*(1+'.c12_inputs.hr'!$E$5)+(L19*(1+'.c12_inputs.hr'!$E$6))</f>
        <v>87500</v>
      </c>
      <c r="M28" s="610">
        <f>M11*(1+'.c12_inputs.hr'!$E$5)+(M19*(1+'.c12_inputs.hr'!$E$6))</f>
        <v>87500</v>
      </c>
      <c r="N28" s="610">
        <f>N11*(1+'.c12_inputs.hr'!$E$5)+(N19*(1+'.c12_inputs.hr'!$E$6))</f>
        <v>419980</v>
      </c>
      <c r="O28" s="610">
        <f>O11*(1+'.c12_inputs.hr'!$E$5)+(O19*(1+'.c12_inputs.hr'!$E$6))</f>
        <v>0</v>
      </c>
      <c r="P28" s="610">
        <f>P11*(1+'.c12_inputs.hr'!$E$5)+(P19*(1+'.c12_inputs.hr'!$E$6))</f>
        <v>0</v>
      </c>
      <c r="Q28" s="610">
        <f>Q11*(1+'.c12_inputs.hr'!$E$5)+(Q19*(1+'.c12_inputs.hr'!$E$6))</f>
        <v>519499.99999999994</v>
      </c>
      <c r="R28" s="540">
        <f>R11*(1+'.c12_inputs.hr'!$E$5)+(R19*(1+'.c12_inputs.hr'!$E$6))</f>
        <v>519499.99999999994</v>
      </c>
      <c r="S28" s="540">
        <f>S11*(1+'.c12_inputs.hr'!$E$5)+(S19*(1+'.c12_inputs.hr'!$E$6))</f>
        <v>0</v>
      </c>
      <c r="T28" s="540">
        <f>T11*(1+'.c12_inputs.hr'!$E$5)+(T19*(1+'.c12_inputs.hr'!$E$6))</f>
        <v>0</v>
      </c>
      <c r="U28" s="540">
        <f>U11*(1+'.c12_inputs.hr'!$E$5)+(U19*(1+'.c12_inputs.hr'!$E$6))</f>
        <v>0</v>
      </c>
      <c r="V28" s="540"/>
      <c r="W28" s="471"/>
      <c r="X28" s="446"/>
      <c r="Y28" s="446"/>
      <c r="Z28" s="446"/>
      <c r="AA28" s="446"/>
      <c r="AB28" s="446"/>
      <c r="AC28" s="446"/>
      <c r="AD28" s="446"/>
      <c r="AE28" s="446"/>
      <c r="AF28" s="446"/>
      <c r="AG28" s="491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  <c r="BF28" s="446"/>
      <c r="BG28" s="446"/>
      <c r="BH28" s="446"/>
      <c r="BI28" s="446"/>
    </row>
    <row r="29" spans="1:61" s="445" customFormat="1">
      <c r="A29" s="446"/>
      <c r="B29" s="446"/>
      <c r="C29" s="446"/>
      <c r="D29" s="446"/>
      <c r="E29" s="565"/>
      <c r="F29" s="540"/>
      <c r="G29" s="540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0"/>
      <c r="V29" s="540"/>
      <c r="W29" s="471"/>
      <c r="X29" s="446"/>
      <c r="Y29" s="446"/>
      <c r="Z29" s="446"/>
      <c r="AA29" s="446"/>
      <c r="AB29" s="446"/>
      <c r="AC29" s="446"/>
      <c r="AD29" s="446"/>
      <c r="AE29" s="446"/>
      <c r="AF29" s="446"/>
      <c r="AG29" s="491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  <c r="BF29" s="446"/>
      <c r="BG29" s="446"/>
      <c r="BH29" s="446"/>
      <c r="BI29" s="446"/>
    </row>
    <row r="30" spans="1:61">
      <c r="A30" s="486" t="s">
        <v>100</v>
      </c>
      <c r="B30" s="458" t="s">
        <v>36</v>
      </c>
      <c r="C30" s="458" t="s">
        <v>101</v>
      </c>
      <c r="D30" s="446"/>
      <c r="E30" s="565"/>
      <c r="F30" s="540"/>
      <c r="G30" s="540"/>
      <c r="H30" s="540"/>
      <c r="I30" s="540"/>
      <c r="J30" s="610">
        <f t="shared" ref="J30:U30" si="4">SUM(J23:J28)</f>
        <v>493750</v>
      </c>
      <c r="K30" s="610">
        <f t="shared" si="4"/>
        <v>493750</v>
      </c>
      <c r="L30" s="610">
        <f t="shared" si="4"/>
        <v>493750</v>
      </c>
      <c r="M30" s="610">
        <f t="shared" si="4"/>
        <v>504140</v>
      </c>
      <c r="N30" s="610">
        <f t="shared" si="4"/>
        <v>851980</v>
      </c>
      <c r="O30" s="610">
        <f t="shared" si="4"/>
        <v>432000</v>
      </c>
      <c r="P30" s="610">
        <f t="shared" si="4"/>
        <v>432000</v>
      </c>
      <c r="Q30" s="610">
        <f t="shared" si="4"/>
        <v>972280</v>
      </c>
      <c r="R30" s="540">
        <f t="shared" si="4"/>
        <v>2268280</v>
      </c>
      <c r="S30" s="540">
        <f t="shared" si="4"/>
        <v>1748780</v>
      </c>
      <c r="T30" s="540">
        <f t="shared" si="4"/>
        <v>1748780</v>
      </c>
      <c r="U30" s="540">
        <f t="shared" si="4"/>
        <v>1748780</v>
      </c>
      <c r="V30" s="540"/>
      <c r="W30" s="471"/>
      <c r="X30" s="446"/>
      <c r="Y30" s="446"/>
      <c r="Z30" s="446"/>
      <c r="AA30" s="446"/>
      <c r="AB30" s="446"/>
      <c r="AC30" s="446"/>
      <c r="AD30" s="446"/>
      <c r="AE30" s="446"/>
      <c r="AF30" s="446"/>
      <c r="AG30" s="491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46"/>
    </row>
    <row r="31" spans="1:61">
      <c r="A31" s="486" t="s">
        <v>102</v>
      </c>
      <c r="B31" s="458" t="s">
        <v>36</v>
      </c>
      <c r="C31" s="458" t="s">
        <v>103</v>
      </c>
      <c r="D31" s="446"/>
      <c r="E31" s="565"/>
      <c r="F31" s="540"/>
      <c r="G31" s="540"/>
      <c r="H31" s="540"/>
      <c r="I31" s="540"/>
      <c r="J31" s="573">
        <f>SUMPRODUCT('.c12_alloc'!$H$7:$H$12,J23:J28)</f>
        <v>0</v>
      </c>
      <c r="K31" s="573">
        <f>SUMPRODUCT('.c12_alloc'!$H$7:$H$12,K23:K28)</f>
        <v>0</v>
      </c>
      <c r="L31" s="573">
        <f>SUMPRODUCT('.c12_alloc'!$H$7:$H$12,L23:L28)</f>
        <v>0</v>
      </c>
      <c r="M31" s="573">
        <f>SUMPRODUCT('.c12_alloc'!$H$7:$H$12,M23:M28)</f>
        <v>0</v>
      </c>
      <c r="N31" s="573">
        <f>SUMPRODUCT('.c12_alloc'!$H$7:$H$12,N23:N28)</f>
        <v>0</v>
      </c>
      <c r="O31" s="573">
        <f>SUMPRODUCT('.c12_alloc'!$H$7:$H$12,O23:O28)</f>
        <v>0</v>
      </c>
      <c r="P31" s="573">
        <f>SUMPRODUCT('.c12_alloc'!$H$7:$H$12,P23:P28)</f>
        <v>0</v>
      </c>
      <c r="Q31" s="573">
        <f>SUMPRODUCT('.c12_alloc'!$H$7:$H$12,Q23:Q28)</f>
        <v>0</v>
      </c>
      <c r="R31" s="565">
        <f>SUMPRODUCT('.c12_alloc'!$H$7:$H$12,R23:R28)</f>
        <v>0</v>
      </c>
      <c r="S31" s="565">
        <f>SUMPRODUCT('.c12_alloc'!$H$7:$H$12,S23:S28)</f>
        <v>0</v>
      </c>
      <c r="T31" s="565">
        <f>SUMPRODUCT('.c12_alloc'!$H$7:$H$12,T23:T28)</f>
        <v>0</v>
      </c>
      <c r="U31" s="565">
        <f>SUMPRODUCT('.c12_alloc'!$H$7:$H$12,U23:U28)</f>
        <v>0</v>
      </c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  <c r="BF31" s="446"/>
      <c r="BG31" s="446"/>
      <c r="BH31" s="446"/>
      <c r="BI31" s="446"/>
    </row>
    <row r="32" spans="1:61">
      <c r="A32" s="486" t="s">
        <v>104</v>
      </c>
      <c r="B32" s="458" t="s">
        <v>36</v>
      </c>
      <c r="C32" s="458" t="s">
        <v>105</v>
      </c>
      <c r="D32" s="446"/>
      <c r="E32" s="565"/>
      <c r="F32" s="540"/>
      <c r="G32" s="540"/>
      <c r="H32" s="540"/>
      <c r="I32" s="540"/>
      <c r="J32" s="573">
        <f>SUMPRODUCT('.c12_alloc'!$G$7:$G$12,J23:J28)</f>
        <v>462500</v>
      </c>
      <c r="K32" s="573">
        <f>SUMPRODUCT('.c12_alloc'!$G$7:$G$12,K23:K28)</f>
        <v>462500</v>
      </c>
      <c r="L32" s="573">
        <f>SUMPRODUCT('.c12_alloc'!$G$7:$G$12,L23:L28)</f>
        <v>462500</v>
      </c>
      <c r="M32" s="573">
        <f>SUMPRODUCT('.c12_alloc'!$G$7:$G$12,M23:M28)</f>
        <v>462500</v>
      </c>
      <c r="N32" s="573">
        <f>SUMPRODUCT('.c12_alloc'!$G$7:$G$12,N23:N28)</f>
        <v>794980</v>
      </c>
      <c r="O32" s="573">
        <f>SUMPRODUCT('.c12_alloc'!$G$7:$G$12,O23:O28)</f>
        <v>375000</v>
      </c>
      <c r="P32" s="573">
        <f>SUMPRODUCT('.c12_alloc'!$G$7:$G$12,P23:P28)</f>
        <v>375000</v>
      </c>
      <c r="Q32" s="573">
        <f>SUMPRODUCT('.c12_alloc'!$G$7:$G$12,Q23:Q28)</f>
        <v>894500</v>
      </c>
      <c r="R32" s="565">
        <f>SUMPRODUCT('.c12_alloc'!$G$7:$G$12,R23:R28)</f>
        <v>2019500</v>
      </c>
      <c r="S32" s="565">
        <f>SUMPRODUCT('.c12_alloc'!$G$7:$G$12,S23:S28)</f>
        <v>1500000</v>
      </c>
      <c r="T32" s="565">
        <f>SUMPRODUCT('.c12_alloc'!$G$7:$G$12,T23:T28)</f>
        <v>1500000</v>
      </c>
      <c r="U32" s="565">
        <f>SUMPRODUCT('.c12_alloc'!$G$7:$G$12,U23:U28)</f>
        <v>1500000</v>
      </c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</row>
    <row r="33" spans="1:61">
      <c r="A33" s="486" t="s">
        <v>106</v>
      </c>
      <c r="B33" s="458" t="s">
        <v>36</v>
      </c>
      <c r="C33" s="458" t="s">
        <v>107</v>
      </c>
      <c r="D33" s="446"/>
      <c r="E33" s="565"/>
      <c r="F33" s="614"/>
      <c r="G33" s="614"/>
      <c r="H33" s="614"/>
      <c r="I33" s="614"/>
      <c r="J33" s="573">
        <f>SUMPRODUCT('.c12_alloc'!$E$7:$E$12,J23:J28)</f>
        <v>31250</v>
      </c>
      <c r="K33" s="573">
        <f>SUMPRODUCT('.c12_alloc'!$E$7:$E$12,K23:K28)</f>
        <v>31250</v>
      </c>
      <c r="L33" s="573">
        <f>SUMPRODUCT('.c12_alloc'!$E$7:$E$12,L23:L28)</f>
        <v>31250</v>
      </c>
      <c r="M33" s="573">
        <f>SUMPRODUCT('.c12_alloc'!$E$7:$E$12,M23:M28)</f>
        <v>41640</v>
      </c>
      <c r="N33" s="573">
        <f>SUMPRODUCT('.c12_alloc'!$E$7:$E$12,N23:N28)</f>
        <v>57000</v>
      </c>
      <c r="O33" s="573">
        <f>SUMPRODUCT('.c12_alloc'!$E$7:$E$12,O23:O28)</f>
        <v>57000</v>
      </c>
      <c r="P33" s="573">
        <f>SUMPRODUCT('.c12_alloc'!$E$7:$E$12,P23:P28)</f>
        <v>57000</v>
      </c>
      <c r="Q33" s="573">
        <f>SUMPRODUCT('.c12_alloc'!$E$7:$E$12,Q23:Q28)</f>
        <v>77780</v>
      </c>
      <c r="R33" s="565">
        <f>SUMPRODUCT('.c12_alloc'!$E$7:$E$12,R23:R28)</f>
        <v>248780</v>
      </c>
      <c r="S33" s="565">
        <f>SUMPRODUCT('.c12_alloc'!$E$7:$E$12,S23:S28)</f>
        <v>248780</v>
      </c>
      <c r="T33" s="565">
        <f>SUMPRODUCT('.c12_alloc'!$E$7:$E$12,T23:T28)</f>
        <v>248780</v>
      </c>
      <c r="U33" s="565">
        <f>SUMPRODUCT('.c12_alloc'!$E$7:$E$12,U23:U28)</f>
        <v>248780</v>
      </c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</row>
    <row r="34" spans="1:61">
      <c r="A34" s="446"/>
      <c r="B34" s="446"/>
      <c r="C34" s="446"/>
      <c r="D34" s="446"/>
      <c r="E34" s="446"/>
      <c r="F34" s="540"/>
      <c r="G34" s="540"/>
      <c r="H34" s="540"/>
      <c r="I34" s="540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71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97"/>
      <c r="AP34" s="446"/>
      <c r="AQ34" s="446"/>
      <c r="AR34" s="497"/>
      <c r="AS34" s="497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</row>
    <row r="35" spans="1:61">
      <c r="A35" s="446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71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</row>
    <row r="36" spans="1:61">
      <c r="A36" s="446"/>
      <c r="B36" s="446"/>
      <c r="C36" s="446"/>
      <c r="D36" s="446"/>
      <c r="E36" s="446"/>
      <c r="F36" s="544"/>
      <c r="G36" s="544"/>
      <c r="H36" s="544"/>
      <c r="I36" s="544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</row>
    <row r="37" spans="1:61">
      <c r="A37" s="446"/>
      <c r="B37" s="446"/>
      <c r="C37" s="446"/>
      <c r="D37" s="446"/>
      <c r="E37" s="446"/>
      <c r="F37" s="544"/>
      <c r="G37" s="544"/>
      <c r="H37" s="544"/>
      <c r="I37" s="544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</row>
    <row r="38" spans="1:61">
      <c r="A38" s="446"/>
      <c r="B38" s="446"/>
      <c r="C38" s="446"/>
      <c r="D38" s="446"/>
      <c r="E38" s="446"/>
      <c r="F38" s="544"/>
      <c r="G38" s="544"/>
      <c r="H38" s="544"/>
      <c r="I38" s="544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</row>
    <row r="39" spans="1:61">
      <c r="A39" s="446"/>
      <c r="B39" s="446"/>
      <c r="C39" s="446"/>
      <c r="D39" s="446"/>
      <c r="E39" s="446"/>
      <c r="F39" s="544"/>
      <c r="G39" s="544"/>
      <c r="H39" s="544"/>
      <c r="I39" s="544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  <c r="BF39" s="446"/>
      <c r="BG39" s="446"/>
      <c r="BH39" s="446"/>
      <c r="BI39" s="446"/>
    </row>
    <row r="40" spans="1:61">
      <c r="A40" s="446"/>
      <c r="B40" s="446"/>
      <c r="C40" s="446"/>
      <c r="D40" s="446"/>
      <c r="E40" s="446"/>
      <c r="F40" s="544"/>
      <c r="G40" s="544"/>
      <c r="H40" s="544"/>
      <c r="I40" s="544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</row>
    <row r="41" spans="1:61">
      <c r="A41" s="446"/>
      <c r="B41" s="446"/>
      <c r="C41" s="446"/>
      <c r="D41" s="446"/>
      <c r="E41" s="446"/>
      <c r="F41" s="540"/>
      <c r="G41" s="540"/>
      <c r="H41" s="540"/>
      <c r="I41" s="540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</row>
    <row r="42" spans="1:61">
      <c r="A42" s="446"/>
      <c r="B42" s="446"/>
      <c r="C42" s="446"/>
      <c r="D42" s="446"/>
      <c r="E42" s="446"/>
      <c r="F42" s="544"/>
      <c r="G42" s="544"/>
      <c r="H42" s="544"/>
      <c r="I42" s="544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</row>
    <row r="43" spans="1:61">
      <c r="A43" s="446"/>
      <c r="B43" s="446"/>
      <c r="C43" s="446"/>
      <c r="D43" s="446"/>
      <c r="E43" s="446"/>
      <c r="F43" s="544"/>
      <c r="G43" s="544"/>
      <c r="H43" s="544"/>
      <c r="I43" s="544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</row>
    <row r="44" spans="1:61">
      <c r="A44" s="446"/>
      <c r="B44" s="446"/>
      <c r="C44" s="446"/>
      <c r="D44" s="446"/>
      <c r="E44" s="446"/>
      <c r="F44" s="544"/>
      <c r="G44" s="544"/>
      <c r="H44" s="544"/>
      <c r="I44" s="544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</row>
    <row r="45" spans="1:61">
      <c r="A45" s="446"/>
      <c r="B45" s="446"/>
      <c r="C45" s="446"/>
      <c r="D45" s="446"/>
      <c r="E45" s="446"/>
      <c r="F45" s="544"/>
      <c r="G45" s="544"/>
      <c r="H45" s="544"/>
      <c r="I45" s="544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</row>
    <row r="46" spans="1:61">
      <c r="A46" s="446"/>
      <c r="B46" s="446"/>
      <c r="C46" s="446"/>
      <c r="D46" s="446"/>
      <c r="E46" s="446"/>
      <c r="F46" s="544"/>
      <c r="G46" s="544"/>
      <c r="H46" s="544"/>
      <c r="I46" s="544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</row>
    <row r="47" spans="1:61">
      <c r="A47" s="448"/>
      <c r="B47" s="446"/>
      <c r="C47" s="446"/>
      <c r="D47" s="446"/>
      <c r="E47" s="448"/>
      <c r="F47" s="544"/>
      <c r="G47" s="544"/>
      <c r="H47" s="544"/>
      <c r="I47" s="544"/>
      <c r="J47" s="448"/>
      <c r="K47" s="448"/>
      <c r="L47" s="448"/>
      <c r="M47" s="448"/>
      <c r="N47" s="448"/>
      <c r="O47" s="448"/>
      <c r="P47" s="448"/>
      <c r="Q47" s="448"/>
      <c r="R47" s="448"/>
      <c r="S47" s="448"/>
      <c r="T47" s="448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</row>
    <row r="48" spans="1:61">
      <c r="A48" s="446"/>
      <c r="B48" s="446"/>
      <c r="C48" s="446"/>
      <c r="D48" s="446"/>
      <c r="E48" s="446"/>
      <c r="F48" s="544"/>
      <c r="G48" s="544"/>
      <c r="H48" s="544"/>
      <c r="I48" s="544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</row>
    <row r="49" spans="1:61">
      <c r="A49" s="446"/>
      <c r="B49" s="446"/>
      <c r="C49" s="446"/>
      <c r="D49" s="446"/>
      <c r="E49" s="446"/>
      <c r="F49" s="565"/>
      <c r="G49" s="565"/>
      <c r="H49" s="565"/>
      <c r="I49" s="565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</row>
    <row r="50" spans="1:61">
      <c r="A50" s="446"/>
      <c r="B50" s="446"/>
      <c r="C50" s="446"/>
      <c r="D50" s="446"/>
      <c r="E50" s="446"/>
      <c r="F50" s="565"/>
      <c r="G50" s="565"/>
      <c r="H50" s="565"/>
      <c r="I50" s="565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</row>
    <row r="51" spans="1:61">
      <c r="A51" s="446"/>
      <c r="B51" s="446"/>
      <c r="C51" s="446"/>
      <c r="D51" s="446"/>
      <c r="E51" s="446"/>
      <c r="F51" s="565"/>
      <c r="G51" s="565"/>
      <c r="H51" s="565"/>
      <c r="I51" s="565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</row>
    <row r="52" spans="1:61">
      <c r="A52" s="446"/>
      <c r="B52" s="446"/>
      <c r="C52" s="446"/>
      <c r="D52" s="446"/>
      <c r="E52" s="446"/>
      <c r="F52" s="565"/>
      <c r="G52" s="565"/>
      <c r="H52" s="565"/>
      <c r="I52" s="565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</row>
    <row r="53" spans="1:61">
      <c r="A53" s="446"/>
      <c r="B53" s="446"/>
      <c r="C53" s="446"/>
      <c r="D53" s="446"/>
      <c r="E53" s="446"/>
      <c r="F53" s="565"/>
      <c r="G53" s="565"/>
      <c r="H53" s="565"/>
      <c r="I53" s="565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</row>
    <row r="54" spans="1:61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</row>
    <row r="55" spans="1:61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</row>
    <row r="56" spans="1:61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</row>
    <row r="57" spans="1:61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</row>
    <row r="58" spans="1:61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</row>
    <row r="59" spans="1:61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</row>
    <row r="60" spans="1:61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</row>
    <row r="61" spans="1:61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</row>
    <row r="62" spans="1:61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</row>
    <row r="63" spans="1:61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</row>
    <row r="64" spans="1:61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</row>
    <row r="65" spans="1:61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</row>
    <row r="66" spans="1:61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</row>
    <row r="67" spans="1:61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</row>
    <row r="68" spans="1:61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</row>
    <row r="69" spans="1:61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</row>
    <row r="70" spans="1:61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</row>
    <row r="71" spans="1:61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</row>
    <row r="72" spans="1:61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</row>
    <row r="73" spans="1:61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</row>
    <row r="74" spans="1:61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  <c r="BF74" s="446"/>
      <c r="BG74" s="446"/>
      <c r="BH74" s="446"/>
      <c r="BI74" s="446"/>
    </row>
    <row r="75" spans="1:61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  <c r="BF75" s="446"/>
      <c r="BG75" s="446"/>
      <c r="BH75" s="446"/>
      <c r="BI75" s="446"/>
    </row>
    <row r="76" spans="1:61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  <c r="BF76" s="446"/>
      <c r="BG76" s="446"/>
      <c r="BH76" s="446"/>
      <c r="BI76" s="446"/>
    </row>
    <row r="77" spans="1:61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  <c r="BF77" s="446"/>
      <c r="BG77" s="446"/>
      <c r="BH77" s="446"/>
      <c r="BI77" s="446"/>
    </row>
    <row r="78" spans="1:61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  <c r="BF78" s="446"/>
      <c r="BG78" s="446"/>
      <c r="BH78" s="446"/>
      <c r="BI78" s="446"/>
    </row>
    <row r="79" spans="1:61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</row>
    <row r="80" spans="1:61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  <c r="BF80" s="446"/>
      <c r="BG80" s="446"/>
      <c r="BH80" s="446"/>
      <c r="BI80" s="446"/>
    </row>
    <row r="81" spans="1:61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  <c r="BF81" s="446"/>
      <c r="BG81" s="446"/>
      <c r="BH81" s="446"/>
      <c r="BI81" s="446"/>
    </row>
    <row r="82" spans="1:61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  <c r="BF82" s="446"/>
      <c r="BG82" s="446"/>
      <c r="BH82" s="446"/>
      <c r="BI82" s="446"/>
    </row>
    <row r="83" spans="1:61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  <c r="BF83" s="446"/>
      <c r="BG83" s="446"/>
      <c r="BH83" s="446"/>
      <c r="BI83" s="446"/>
    </row>
    <row r="84" spans="1:61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  <c r="BF84" s="446"/>
      <c r="BG84" s="446"/>
      <c r="BH84" s="446"/>
      <c r="BI84" s="446"/>
    </row>
    <row r="85" spans="1:61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  <c r="BF85" s="446"/>
      <c r="BG85" s="446"/>
      <c r="BH85" s="446"/>
      <c r="BI85" s="446"/>
    </row>
    <row r="86" spans="1:61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  <c r="BF86" s="446"/>
      <c r="BG86" s="446"/>
      <c r="BH86" s="446"/>
      <c r="BI86" s="446"/>
    </row>
    <row r="87" spans="1:61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  <c r="BF87" s="446"/>
      <c r="BG87" s="446"/>
      <c r="BH87" s="446"/>
      <c r="BI87" s="446"/>
    </row>
    <row r="88" spans="1:61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  <c r="BF88" s="446"/>
      <c r="BG88" s="446"/>
      <c r="BH88" s="446"/>
      <c r="BI88" s="446"/>
    </row>
    <row r="89" spans="1:61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  <c r="BF89" s="446"/>
      <c r="BG89" s="446"/>
      <c r="BH89" s="446"/>
      <c r="BI89" s="446"/>
    </row>
    <row r="90" spans="1:61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  <c r="BF90" s="446"/>
      <c r="BG90" s="446"/>
      <c r="BH90" s="446"/>
      <c r="BI90" s="446"/>
    </row>
    <row r="91" spans="1:61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  <c r="BF91" s="446"/>
      <c r="BG91" s="446"/>
      <c r="BH91" s="446"/>
      <c r="BI91" s="446"/>
    </row>
    <row r="92" spans="1:61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  <c r="BF92" s="446"/>
      <c r="BG92" s="446"/>
      <c r="BH92" s="446"/>
      <c r="BI92" s="446"/>
    </row>
    <row r="93" spans="1:61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  <c r="BF93" s="446"/>
      <c r="BG93" s="446"/>
      <c r="BH93" s="446"/>
      <c r="BI93" s="446"/>
    </row>
    <row r="94" spans="1:61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  <c r="BF94" s="446"/>
      <c r="BG94" s="446"/>
      <c r="BH94" s="446"/>
      <c r="BI94" s="446"/>
    </row>
    <row r="95" spans="1:61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  <c r="BF95" s="446"/>
      <c r="BG95" s="446"/>
      <c r="BH95" s="446"/>
      <c r="BI95" s="446"/>
    </row>
    <row r="96" spans="1:61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</row>
    <row r="97" spans="1:61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  <c r="BF97" s="446"/>
      <c r="BG97" s="446"/>
      <c r="BH97" s="446"/>
      <c r="BI97" s="446"/>
    </row>
    <row r="98" spans="1:61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  <c r="BF98" s="446"/>
      <c r="BG98" s="446"/>
      <c r="BH98" s="446"/>
      <c r="BI98" s="446"/>
    </row>
    <row r="99" spans="1:61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  <c r="BF99" s="446"/>
      <c r="BG99" s="446"/>
      <c r="BH99" s="446"/>
      <c r="BI99" s="446"/>
    </row>
    <row r="100" spans="1:61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  <c r="BF100" s="446"/>
      <c r="BG100" s="446"/>
      <c r="BH100" s="446"/>
      <c r="BI100" s="446"/>
    </row>
    <row r="101" spans="1:61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  <c r="BF101" s="446"/>
      <c r="BG101" s="446"/>
      <c r="BH101" s="446"/>
      <c r="BI101" s="446"/>
    </row>
    <row r="102" spans="1:61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  <c r="BF102" s="446"/>
      <c r="BG102" s="446"/>
      <c r="BH102" s="446"/>
      <c r="BI102" s="446"/>
    </row>
    <row r="103" spans="1:61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  <c r="BF103" s="446"/>
      <c r="BG103" s="446"/>
      <c r="BH103" s="446"/>
      <c r="BI103" s="446"/>
    </row>
    <row r="104" spans="1:61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  <c r="BF104" s="446"/>
      <c r="BG104" s="446"/>
      <c r="BH104" s="446"/>
      <c r="BI104" s="446"/>
    </row>
    <row r="105" spans="1:61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  <c r="BF105" s="446"/>
      <c r="BG105" s="446"/>
      <c r="BH105" s="446"/>
      <c r="BI105" s="446"/>
    </row>
    <row r="106" spans="1:61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  <c r="BF106" s="446"/>
      <c r="BG106" s="446"/>
      <c r="BH106" s="446"/>
      <c r="BI106" s="446"/>
    </row>
    <row r="107" spans="1:61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  <c r="BF107" s="446"/>
      <c r="BG107" s="446"/>
      <c r="BH107" s="446"/>
      <c r="BI107" s="446"/>
    </row>
    <row r="108" spans="1:61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  <c r="BF108" s="446"/>
      <c r="BG108" s="446"/>
      <c r="BH108" s="446"/>
      <c r="BI108" s="446"/>
    </row>
    <row r="109" spans="1:61">
      <c r="A109" s="446"/>
      <c r="B109" s="468"/>
      <c r="C109" s="446"/>
      <c r="D109" s="468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  <c r="BF109" s="446"/>
      <c r="BG109" s="446"/>
      <c r="BH109" s="446"/>
      <c r="BI109" s="446"/>
    </row>
    <row r="110" spans="1:61">
      <c r="A110" s="446"/>
      <c r="B110" s="468"/>
      <c r="C110" s="446"/>
      <c r="D110" s="468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  <c r="BF110" s="446"/>
      <c r="BG110" s="446"/>
      <c r="BH110" s="446"/>
      <c r="BI110" s="446"/>
    </row>
    <row r="111" spans="1:61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  <c r="BF111" s="446"/>
      <c r="BG111" s="446"/>
      <c r="BH111" s="446"/>
      <c r="BI111" s="446"/>
    </row>
    <row r="112" spans="1:61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6"/>
      <c r="BG112" s="446"/>
      <c r="BH112" s="446"/>
      <c r="BI112" s="446"/>
    </row>
    <row r="113" spans="1:61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  <c r="BF113" s="446"/>
      <c r="BG113" s="446"/>
      <c r="BH113" s="446"/>
      <c r="BI113" s="446"/>
    </row>
    <row r="114" spans="1:61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</row>
    <row r="115" spans="1:61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</row>
    <row r="116" spans="1:61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</row>
    <row r="117" spans="1:61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</row>
    <row r="118" spans="1:61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</row>
    <row r="119" spans="1:61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</row>
    <row r="120" spans="1:61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</row>
    <row r="121" spans="1:61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  <c r="BF121" s="446"/>
      <c r="BG121" s="446"/>
      <c r="BH121" s="446"/>
      <c r="BI121" s="446"/>
    </row>
    <row r="122" spans="1:61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  <c r="BF122" s="446"/>
      <c r="BG122" s="446"/>
      <c r="BH122" s="446"/>
      <c r="BI122" s="446"/>
    </row>
    <row r="123" spans="1:61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  <c r="BF123" s="446"/>
      <c r="BG123" s="446"/>
      <c r="BH123" s="446"/>
      <c r="BI123" s="446"/>
    </row>
    <row r="124" spans="1:61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  <c r="BF124" s="446"/>
      <c r="BG124" s="446"/>
      <c r="BH124" s="446"/>
      <c r="BI124" s="446"/>
    </row>
    <row r="125" spans="1:61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  <c r="BF125" s="446"/>
      <c r="BG125" s="446"/>
      <c r="BH125" s="446"/>
      <c r="BI125" s="446"/>
    </row>
    <row r="126" spans="1:61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  <c r="BF126" s="446"/>
      <c r="BG126" s="446"/>
      <c r="BH126" s="446"/>
      <c r="BI126" s="446"/>
    </row>
    <row r="127" spans="1:61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  <c r="BF127" s="446"/>
      <c r="BG127" s="446"/>
      <c r="BH127" s="446"/>
      <c r="BI127" s="446"/>
    </row>
    <row r="128" spans="1:61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  <c r="BF128" s="446"/>
      <c r="BG128" s="446"/>
      <c r="BH128" s="446"/>
      <c r="BI128" s="446"/>
    </row>
    <row r="129" spans="1:61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  <c r="BF129" s="446"/>
      <c r="BG129" s="446"/>
      <c r="BH129" s="446"/>
      <c r="BI129" s="446"/>
    </row>
    <row r="130" spans="1:61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  <c r="BF130" s="446"/>
      <c r="BG130" s="446"/>
      <c r="BH130" s="446"/>
      <c r="BI130" s="446"/>
    </row>
    <row r="131" spans="1:61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  <c r="BF131" s="446"/>
      <c r="BG131" s="446"/>
      <c r="BH131" s="446"/>
      <c r="BI131" s="446"/>
    </row>
    <row r="132" spans="1:61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  <c r="BF132" s="446"/>
      <c r="BG132" s="446"/>
      <c r="BH132" s="446"/>
      <c r="BI132" s="446"/>
    </row>
    <row r="133" spans="1:61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  <c r="BF133" s="446"/>
      <c r="BG133" s="446"/>
      <c r="BH133" s="446"/>
      <c r="BI133" s="446"/>
    </row>
    <row r="134" spans="1:61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  <c r="BF134" s="446"/>
      <c r="BG134" s="446"/>
      <c r="BH134" s="446"/>
      <c r="BI134" s="446"/>
    </row>
    <row r="135" spans="1:61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  <c r="BF135" s="446"/>
      <c r="BG135" s="446"/>
      <c r="BH135" s="446"/>
      <c r="BI135" s="446"/>
    </row>
    <row r="136" spans="1:61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  <c r="BF136" s="446"/>
      <c r="BG136" s="446"/>
      <c r="BH136" s="446"/>
      <c r="BI136" s="446"/>
    </row>
    <row r="137" spans="1:61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</row>
    <row r="138" spans="1:61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  <c r="BF138" s="446"/>
      <c r="BG138" s="446"/>
      <c r="BH138" s="446"/>
      <c r="BI138" s="446"/>
    </row>
    <row r="139" spans="1:61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  <c r="BF139" s="446"/>
      <c r="BG139" s="446"/>
      <c r="BH139" s="446"/>
      <c r="BI139" s="446"/>
    </row>
    <row r="140" spans="1:61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  <c r="BF140" s="446"/>
      <c r="BG140" s="446"/>
      <c r="BH140" s="446"/>
      <c r="BI140" s="446"/>
    </row>
    <row r="141" spans="1:61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  <c r="BF141" s="446"/>
      <c r="BG141" s="446"/>
      <c r="BH141" s="446"/>
      <c r="BI141" s="446"/>
    </row>
    <row r="142" spans="1:61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</row>
    <row r="143" spans="1:61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  <c r="BF143" s="446"/>
      <c r="BG143" s="446"/>
      <c r="BH143" s="446"/>
      <c r="BI143" s="446"/>
    </row>
    <row r="144" spans="1:61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  <c r="BF144" s="446"/>
      <c r="BG144" s="446"/>
      <c r="BH144" s="446"/>
      <c r="BI144" s="446"/>
    </row>
    <row r="145" spans="1:61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  <c r="BF145" s="446"/>
      <c r="BG145" s="446"/>
      <c r="BH145" s="446"/>
      <c r="BI145" s="446"/>
    </row>
    <row r="146" spans="1:61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</row>
    <row r="147" spans="1:61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  <c r="BF147" s="446"/>
      <c r="BG147" s="446"/>
      <c r="BH147" s="446"/>
      <c r="BI147" s="446"/>
    </row>
    <row r="148" spans="1:61">
      <c r="F148" s="446"/>
      <c r="G148" s="446"/>
      <c r="H148" s="446"/>
      <c r="I148" s="446"/>
    </row>
    <row r="149" spans="1:61">
      <c r="F149" s="446"/>
      <c r="G149" s="446"/>
      <c r="H149" s="446"/>
      <c r="I149" s="44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W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.7265625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1.7265625" style="636" customWidth="1"/>
    <col min="10" max="22" width="11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49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</row>
    <row r="2" spans="1:49">
      <c r="A2" s="453"/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611"/>
      <c r="X2" s="611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</row>
    <row r="3" spans="1:49" ht="14.65" customHeight="1">
      <c r="A3" s="453"/>
      <c r="B3" s="450"/>
      <c r="C3" s="450"/>
      <c r="D3" s="450"/>
      <c r="E3" s="555"/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5" t="s">
        <v>2</v>
      </c>
      <c r="S3" s="555" t="s">
        <v>2</v>
      </c>
      <c r="T3" s="555" t="s">
        <v>2</v>
      </c>
      <c r="U3" s="555" t="s">
        <v>2</v>
      </c>
      <c r="V3" s="557"/>
      <c r="W3" s="611"/>
      <c r="X3" s="611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</row>
    <row r="4" spans="1:49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</row>
    <row r="5" spans="1:49">
      <c r="A5" s="612" t="s">
        <v>1041</v>
      </c>
      <c r="B5" s="461"/>
      <c r="C5" s="464"/>
      <c r="D5" s="461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545"/>
      <c r="X5" s="545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</row>
    <row r="6" spans="1:49">
      <c r="A6" s="606" t="s">
        <v>1042</v>
      </c>
      <c r="B6" s="459" t="s">
        <v>12</v>
      </c>
      <c r="C6" s="460" t="s">
        <v>1026</v>
      </c>
      <c r="D6" s="475" t="s">
        <v>1043</v>
      </c>
      <c r="E6" s="446"/>
      <c r="F6" s="446"/>
      <c r="G6" s="446"/>
      <c r="H6" s="446"/>
      <c r="I6" s="446"/>
      <c r="J6" s="524">
        <v>125000</v>
      </c>
      <c r="K6" s="524">
        <v>125000</v>
      </c>
      <c r="L6" s="524">
        <v>125000</v>
      </c>
      <c r="M6" s="524">
        <v>125000</v>
      </c>
      <c r="N6" s="613">
        <v>125000</v>
      </c>
      <c r="O6" s="524">
        <v>125000</v>
      </c>
      <c r="P6" s="524">
        <v>125000</v>
      </c>
      <c r="Q6" s="524">
        <v>125000</v>
      </c>
      <c r="R6" s="505">
        <v>500000</v>
      </c>
      <c r="S6" s="505">
        <v>500000</v>
      </c>
      <c r="T6" s="505">
        <v>500000</v>
      </c>
      <c r="U6" s="505">
        <v>500000</v>
      </c>
      <c r="V6" s="540"/>
      <c r="W6" s="545"/>
      <c r="X6" s="545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</row>
    <row r="7" spans="1:49">
      <c r="A7" s="606" t="s">
        <v>1044</v>
      </c>
      <c r="B7" s="459" t="s">
        <v>12</v>
      </c>
      <c r="C7" s="460" t="s">
        <v>1026</v>
      </c>
      <c r="D7" s="475" t="s">
        <v>1045</v>
      </c>
      <c r="E7" s="446"/>
      <c r="F7" s="446"/>
      <c r="G7" s="446"/>
      <c r="H7" s="446"/>
      <c r="I7" s="446"/>
      <c r="J7" s="524">
        <v>68750</v>
      </c>
      <c r="K7" s="524">
        <v>68750</v>
      </c>
      <c r="L7" s="524">
        <v>68750</v>
      </c>
      <c r="M7" s="524">
        <v>68750</v>
      </c>
      <c r="N7" s="613">
        <v>72500</v>
      </c>
      <c r="O7" s="524">
        <v>72500</v>
      </c>
      <c r="P7" s="524">
        <v>72500</v>
      </c>
      <c r="Q7" s="524">
        <v>72500</v>
      </c>
      <c r="R7" s="505">
        <v>290000</v>
      </c>
      <c r="S7" s="505">
        <v>290000</v>
      </c>
      <c r="T7" s="505">
        <v>290000</v>
      </c>
      <c r="U7" s="505">
        <v>290000</v>
      </c>
      <c r="V7" s="540"/>
      <c r="W7" s="545"/>
      <c r="X7" s="545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</row>
    <row r="8" spans="1:49">
      <c r="A8" s="606" t="s">
        <v>1046</v>
      </c>
      <c r="B8" s="459" t="s">
        <v>12</v>
      </c>
      <c r="C8" s="460" t="s">
        <v>1026</v>
      </c>
      <c r="D8" s="475" t="s">
        <v>1047</v>
      </c>
      <c r="E8" s="446"/>
      <c r="F8" s="446"/>
      <c r="G8" s="446"/>
      <c r="H8" s="446"/>
      <c r="I8" s="446"/>
      <c r="J8" s="524">
        <v>0</v>
      </c>
      <c r="K8" s="524">
        <v>0</v>
      </c>
      <c r="L8" s="524">
        <v>0</v>
      </c>
      <c r="M8" s="524">
        <v>0</v>
      </c>
      <c r="N8" s="613">
        <v>75000</v>
      </c>
      <c r="O8" s="524">
        <v>75000</v>
      </c>
      <c r="P8" s="524">
        <v>75000</v>
      </c>
      <c r="Q8" s="524">
        <v>75000</v>
      </c>
      <c r="R8" s="505">
        <v>300000</v>
      </c>
      <c r="S8" s="505">
        <v>300000</v>
      </c>
      <c r="T8" s="505">
        <v>300000</v>
      </c>
      <c r="U8" s="505">
        <v>300000</v>
      </c>
      <c r="V8" s="540"/>
      <c r="W8" s="545"/>
      <c r="X8" s="545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</row>
    <row r="9" spans="1:49">
      <c r="A9" s="606" t="s">
        <v>1048</v>
      </c>
      <c r="B9" s="458" t="s">
        <v>12</v>
      </c>
      <c r="C9" s="458" t="s">
        <v>1026</v>
      </c>
      <c r="D9" s="458" t="s">
        <v>1049</v>
      </c>
      <c r="E9" s="446"/>
      <c r="F9" s="446"/>
      <c r="G9" s="446"/>
      <c r="H9" s="446"/>
      <c r="I9" s="446"/>
      <c r="J9" s="524">
        <v>37500</v>
      </c>
      <c r="K9" s="524">
        <v>37500</v>
      </c>
      <c r="L9" s="524">
        <v>37500</v>
      </c>
      <c r="M9" s="524">
        <v>37500</v>
      </c>
      <c r="N9" s="613">
        <v>40000</v>
      </c>
      <c r="O9" s="524">
        <v>40000</v>
      </c>
      <c r="P9" s="524">
        <v>40000</v>
      </c>
      <c r="Q9" s="524">
        <v>40000</v>
      </c>
      <c r="R9" s="505">
        <v>160000</v>
      </c>
      <c r="S9" s="505">
        <v>160000</v>
      </c>
      <c r="T9" s="505">
        <v>160000</v>
      </c>
      <c r="U9" s="505">
        <v>160000</v>
      </c>
      <c r="V9" s="540"/>
      <c r="W9" s="545"/>
      <c r="X9" s="545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</row>
    <row r="10" spans="1:49">
      <c r="A10" s="606" t="s">
        <v>1050</v>
      </c>
      <c r="B10" s="458" t="s">
        <v>12</v>
      </c>
      <c r="C10" s="458" t="s">
        <v>1026</v>
      </c>
      <c r="D10" s="458" t="s">
        <v>1051</v>
      </c>
      <c r="E10" s="446"/>
      <c r="F10" s="540"/>
      <c r="G10" s="540"/>
      <c r="H10" s="540"/>
      <c r="I10" s="540"/>
      <c r="J10" s="524">
        <v>27500</v>
      </c>
      <c r="K10" s="524">
        <v>27500</v>
      </c>
      <c r="L10" s="524">
        <v>27500</v>
      </c>
      <c r="M10" s="524">
        <v>27500</v>
      </c>
      <c r="N10" s="613">
        <v>27500</v>
      </c>
      <c r="O10" s="524">
        <v>27500</v>
      </c>
      <c r="P10" s="524">
        <v>27500</v>
      </c>
      <c r="Q10" s="524">
        <v>27500</v>
      </c>
      <c r="R10" s="505">
        <v>110000</v>
      </c>
      <c r="S10" s="505">
        <v>110000</v>
      </c>
      <c r="T10" s="505">
        <v>110000</v>
      </c>
      <c r="U10" s="505">
        <v>110000</v>
      </c>
      <c r="V10" s="540"/>
      <c r="W10" s="545"/>
      <c r="X10" s="545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</row>
    <row r="11" spans="1:49" s="30" customFormat="1">
      <c r="A11" s="458" t="s">
        <v>1052</v>
      </c>
      <c r="B11" s="548" t="s">
        <v>12</v>
      </c>
      <c r="C11" s="546" t="s">
        <v>1026</v>
      </c>
      <c r="D11" s="548" t="s">
        <v>1053</v>
      </c>
      <c r="E11" s="614"/>
      <c r="F11" s="446"/>
      <c r="G11" s="446"/>
      <c r="H11" s="446"/>
      <c r="I11" s="446"/>
      <c r="J11" s="524">
        <v>0</v>
      </c>
      <c r="K11" s="524">
        <v>0</v>
      </c>
      <c r="L11" s="524">
        <v>0</v>
      </c>
      <c r="M11" s="524">
        <v>0</v>
      </c>
      <c r="N11" s="524">
        <v>0</v>
      </c>
      <c r="O11" s="524">
        <v>0</v>
      </c>
      <c r="P11" s="524">
        <v>37500</v>
      </c>
      <c r="Q11" s="524">
        <v>37500</v>
      </c>
      <c r="R11" s="505">
        <v>150000</v>
      </c>
      <c r="S11" s="505">
        <v>150000</v>
      </c>
      <c r="T11" s="505">
        <v>150000</v>
      </c>
      <c r="U11" s="505">
        <v>150000</v>
      </c>
      <c r="V11" s="540"/>
      <c r="W11" s="545"/>
      <c r="X11" s="545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</row>
    <row r="12" spans="1:49" ht="14.65" customHeight="1">
      <c r="A12" s="615" t="s">
        <v>306</v>
      </c>
      <c r="B12" s="446"/>
      <c r="C12" s="446"/>
      <c r="D12" s="446"/>
      <c r="E12" s="614"/>
      <c r="F12" s="624"/>
      <c r="G12" s="624"/>
      <c r="H12" s="624"/>
      <c r="I12" s="624"/>
      <c r="J12" s="540">
        <f t="shared" ref="J12:U12" si="0">SUM(J6:J11)</f>
        <v>258750</v>
      </c>
      <c r="K12" s="540">
        <f t="shared" si="0"/>
        <v>258750</v>
      </c>
      <c r="L12" s="540">
        <f t="shared" si="0"/>
        <v>258750</v>
      </c>
      <c r="M12" s="540">
        <f t="shared" si="0"/>
        <v>258750</v>
      </c>
      <c r="N12" s="540">
        <f t="shared" si="0"/>
        <v>340000</v>
      </c>
      <c r="O12" s="540">
        <f t="shared" si="0"/>
        <v>340000</v>
      </c>
      <c r="P12" s="540">
        <f t="shared" si="0"/>
        <v>377500</v>
      </c>
      <c r="Q12" s="540">
        <f t="shared" si="0"/>
        <v>377500</v>
      </c>
      <c r="R12" s="540">
        <f t="shared" si="0"/>
        <v>1510000</v>
      </c>
      <c r="S12" s="540">
        <f t="shared" si="0"/>
        <v>1510000</v>
      </c>
      <c r="T12" s="540">
        <f t="shared" si="0"/>
        <v>1510000</v>
      </c>
      <c r="U12" s="540">
        <f t="shared" si="0"/>
        <v>1510000</v>
      </c>
      <c r="V12" s="540"/>
      <c r="W12" s="545"/>
      <c r="X12" s="545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</row>
    <row r="13" spans="1:49">
      <c r="A13" s="616"/>
      <c r="B13" s="446"/>
      <c r="C13" s="446"/>
      <c r="D13" s="446"/>
      <c r="E13" s="540"/>
      <c r="F13" s="624"/>
      <c r="G13" s="624"/>
      <c r="H13" s="624"/>
      <c r="I13" s="624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5"/>
      <c r="X13" s="545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</row>
    <row r="14" spans="1:49" ht="14.65" customHeight="1">
      <c r="A14" s="546" t="s">
        <v>1038</v>
      </c>
      <c r="B14" s="446"/>
      <c r="C14" s="446"/>
      <c r="D14" s="446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545"/>
      <c r="X14" s="545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</row>
    <row r="15" spans="1:49">
      <c r="A15" s="446" t="str">
        <f t="shared" ref="A15:A20" si="1">A6</f>
        <v>ACEO Loren Hotels (CE)</v>
      </c>
      <c r="B15" s="458" t="s">
        <v>12</v>
      </c>
      <c r="C15" s="458" t="s">
        <v>1039</v>
      </c>
      <c r="D15" s="458" t="s">
        <v>1043</v>
      </c>
      <c r="E15" s="491"/>
      <c r="F15" s="446"/>
      <c r="G15" s="446"/>
      <c r="H15" s="446"/>
      <c r="I15" s="446"/>
      <c r="J15" s="524">
        <v>0</v>
      </c>
      <c r="K15" s="524">
        <v>0</v>
      </c>
      <c r="L15" s="524">
        <v>0</v>
      </c>
      <c r="M15" s="524">
        <v>250000</v>
      </c>
      <c r="N15" s="524">
        <v>0</v>
      </c>
      <c r="O15" s="524">
        <v>0</v>
      </c>
      <c r="P15" s="524">
        <v>0</v>
      </c>
      <c r="Q15" s="524">
        <v>250000</v>
      </c>
      <c r="R15" s="505">
        <v>500000</v>
      </c>
      <c r="S15" s="505">
        <v>500000</v>
      </c>
      <c r="T15" s="505">
        <v>500000</v>
      </c>
      <c r="U15" s="505">
        <v>500000</v>
      </c>
      <c r="V15" s="491"/>
      <c r="W15" s="545"/>
      <c r="X15" s="545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</row>
    <row r="16" spans="1:49">
      <c r="A16" s="446" t="str">
        <f t="shared" si="1"/>
        <v>VP Operations (WS)</v>
      </c>
      <c r="B16" s="458" t="s">
        <v>12</v>
      </c>
      <c r="C16" s="458" t="s">
        <v>1039</v>
      </c>
      <c r="D16" s="458" t="s">
        <v>1045</v>
      </c>
      <c r="E16" s="540"/>
      <c r="F16" s="446"/>
      <c r="G16" s="446"/>
      <c r="H16" s="446"/>
      <c r="I16" s="446"/>
      <c r="J16" s="524">
        <v>0</v>
      </c>
      <c r="K16" s="524">
        <v>0</v>
      </c>
      <c r="L16" s="524">
        <v>0</v>
      </c>
      <c r="M16" s="524">
        <v>115000</v>
      </c>
      <c r="N16" s="524">
        <v>0</v>
      </c>
      <c r="O16" s="524">
        <v>0</v>
      </c>
      <c r="P16" s="524">
        <v>0</v>
      </c>
      <c r="Q16" s="524">
        <v>75000</v>
      </c>
      <c r="R16" s="505">
        <v>75000</v>
      </c>
      <c r="S16" s="505">
        <v>75000</v>
      </c>
      <c r="T16" s="505">
        <v>75000</v>
      </c>
      <c r="U16" s="505">
        <v>75000</v>
      </c>
      <c r="V16" s="540"/>
      <c r="W16" s="545"/>
      <c r="X16" s="545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</row>
    <row r="17" spans="1:49">
      <c r="A17" s="446" t="str">
        <f t="shared" si="1"/>
        <v>seniorS&amp;Mexe (CL)</v>
      </c>
      <c r="B17" s="458" t="s">
        <v>12</v>
      </c>
      <c r="C17" s="458" t="s">
        <v>1039</v>
      </c>
      <c r="D17" s="458" t="s">
        <v>1047</v>
      </c>
      <c r="E17" s="540"/>
      <c r="F17" s="614"/>
      <c r="G17" s="614"/>
      <c r="H17" s="614"/>
      <c r="I17" s="614"/>
      <c r="J17" s="524">
        <v>0</v>
      </c>
      <c r="K17" s="524">
        <v>0</v>
      </c>
      <c r="L17" s="524">
        <v>0</v>
      </c>
      <c r="M17" s="524">
        <v>20000</v>
      </c>
      <c r="N17" s="524">
        <v>0</v>
      </c>
      <c r="O17" s="524">
        <v>0</v>
      </c>
      <c r="P17" s="524">
        <v>0</v>
      </c>
      <c r="Q17" s="524">
        <v>75000</v>
      </c>
      <c r="R17" s="505">
        <v>75000</v>
      </c>
      <c r="S17" s="505">
        <v>75000</v>
      </c>
      <c r="T17" s="505">
        <v>75000</v>
      </c>
      <c r="U17" s="505">
        <v>75000</v>
      </c>
      <c r="V17" s="540"/>
      <c r="W17" s="545"/>
      <c r="X17" s="545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</row>
    <row r="18" spans="1:49">
      <c r="A18" s="446" t="str">
        <f t="shared" si="1"/>
        <v>Senior Associate (RF)</v>
      </c>
      <c r="B18" s="458" t="s">
        <v>12</v>
      </c>
      <c r="C18" s="458" t="s">
        <v>1039</v>
      </c>
      <c r="D18" s="458" t="s">
        <v>1049</v>
      </c>
      <c r="E18" s="540"/>
      <c r="F18" s="614"/>
      <c r="G18" s="614"/>
      <c r="H18" s="614"/>
      <c r="I18" s="614"/>
      <c r="J18" s="524">
        <v>0</v>
      </c>
      <c r="K18" s="524">
        <v>0</v>
      </c>
      <c r="L18" s="524">
        <v>0</v>
      </c>
      <c r="M18" s="524">
        <v>50000</v>
      </c>
      <c r="N18" s="524">
        <v>0</v>
      </c>
      <c r="O18" s="524">
        <v>0</v>
      </c>
      <c r="P18" s="524">
        <v>0</v>
      </c>
      <c r="Q18" s="524">
        <v>50000</v>
      </c>
      <c r="R18" s="505">
        <v>50000</v>
      </c>
      <c r="S18" s="505">
        <v>50000</v>
      </c>
      <c r="T18" s="505">
        <v>50000</v>
      </c>
      <c r="U18" s="505">
        <v>50000</v>
      </c>
      <c r="V18" s="540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</row>
    <row r="19" spans="1:49">
      <c r="A19" s="446" t="str">
        <f t="shared" si="1"/>
        <v>associate (MT)</v>
      </c>
      <c r="B19" s="458" t="s">
        <v>12</v>
      </c>
      <c r="C19" s="458" t="s">
        <v>1039</v>
      </c>
      <c r="D19" s="458" t="s">
        <v>1051</v>
      </c>
      <c r="E19" s="540"/>
      <c r="F19" s="540"/>
      <c r="G19" s="540"/>
      <c r="H19" s="540"/>
      <c r="I19" s="540"/>
      <c r="J19" s="524">
        <v>0</v>
      </c>
      <c r="K19" s="524">
        <v>0</v>
      </c>
      <c r="L19" s="524">
        <v>0</v>
      </c>
      <c r="M19" s="524">
        <v>20000</v>
      </c>
      <c r="N19" s="524">
        <v>0</v>
      </c>
      <c r="O19" s="524">
        <v>0</v>
      </c>
      <c r="P19" s="524">
        <v>0</v>
      </c>
      <c r="Q19" s="524">
        <v>40000</v>
      </c>
      <c r="R19" s="505">
        <v>40000</v>
      </c>
      <c r="S19" s="505">
        <v>40000</v>
      </c>
      <c r="T19" s="505">
        <v>40000</v>
      </c>
      <c r="U19" s="505">
        <v>40000</v>
      </c>
      <c r="V19" s="540"/>
      <c r="W19" s="545"/>
      <c r="X19" s="545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</row>
    <row r="20" spans="1:49" ht="14.65" customHeight="1">
      <c r="A20" s="446" t="str">
        <f t="shared" si="1"/>
        <v>project manager</v>
      </c>
      <c r="B20" s="458" t="s">
        <v>12</v>
      </c>
      <c r="C20" s="458" t="s">
        <v>1039</v>
      </c>
      <c r="D20" s="458" t="s">
        <v>1053</v>
      </c>
      <c r="E20" s="540"/>
      <c r="F20" s="446"/>
      <c r="G20" s="446"/>
      <c r="H20" s="446"/>
      <c r="I20" s="446"/>
      <c r="J20" s="524">
        <v>0</v>
      </c>
      <c r="K20" s="524">
        <v>0</v>
      </c>
      <c r="L20" s="524">
        <v>0</v>
      </c>
      <c r="M20" s="524">
        <v>0</v>
      </c>
      <c r="N20" s="524">
        <v>0</v>
      </c>
      <c r="O20" s="524">
        <v>0</v>
      </c>
      <c r="P20" s="524">
        <v>0</v>
      </c>
      <c r="Q20" s="524">
        <v>5000</v>
      </c>
      <c r="R20" s="505">
        <v>10000</v>
      </c>
      <c r="S20" s="505">
        <v>10000</v>
      </c>
      <c r="T20" s="505">
        <v>10000</v>
      </c>
      <c r="U20" s="505">
        <v>10000</v>
      </c>
      <c r="V20" s="540"/>
      <c r="W20" s="545"/>
      <c r="X20" s="545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</row>
    <row r="21" spans="1:49" ht="14.65" customHeight="1">
      <c r="A21" s="615" t="s">
        <v>306</v>
      </c>
      <c r="B21" s="446"/>
      <c r="C21" s="446"/>
      <c r="D21" s="446"/>
      <c r="E21" s="614"/>
      <c r="F21" s="491"/>
      <c r="G21" s="491"/>
      <c r="H21" s="491"/>
      <c r="I21" s="491"/>
      <c r="J21" s="505">
        <f t="shared" ref="J21:U21" si="2">SUM(J15:J20)</f>
        <v>0</v>
      </c>
      <c r="K21" s="505">
        <f t="shared" si="2"/>
        <v>0</v>
      </c>
      <c r="L21" s="505">
        <f t="shared" si="2"/>
        <v>0</v>
      </c>
      <c r="M21" s="505">
        <f t="shared" si="2"/>
        <v>455000</v>
      </c>
      <c r="N21" s="505">
        <f t="shared" si="2"/>
        <v>0</v>
      </c>
      <c r="O21" s="505">
        <f t="shared" si="2"/>
        <v>0</v>
      </c>
      <c r="P21" s="505">
        <f t="shared" si="2"/>
        <v>0</v>
      </c>
      <c r="Q21" s="505">
        <f t="shared" si="2"/>
        <v>495000</v>
      </c>
      <c r="R21" s="505">
        <f t="shared" si="2"/>
        <v>750000</v>
      </c>
      <c r="S21" s="505">
        <f t="shared" si="2"/>
        <v>750000</v>
      </c>
      <c r="T21" s="505">
        <f t="shared" si="2"/>
        <v>750000</v>
      </c>
      <c r="U21" s="505">
        <f t="shared" si="2"/>
        <v>750000</v>
      </c>
      <c r="V21" s="540"/>
      <c r="W21" s="545"/>
      <c r="X21" s="545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</row>
    <row r="22" spans="1:49">
      <c r="A22" s="616"/>
      <c r="B22" s="446"/>
      <c r="C22" s="446"/>
      <c r="D22" s="446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65"/>
      <c r="W22" s="545"/>
      <c r="X22" s="545"/>
      <c r="Y22" s="446"/>
      <c r="Z22" s="446"/>
      <c r="AA22" s="446"/>
      <c r="AB22" s="446"/>
      <c r="AC22" s="446"/>
      <c r="AD22" s="446"/>
      <c r="AE22" s="446"/>
      <c r="AF22" s="446"/>
      <c r="AG22" s="446"/>
      <c r="AH22" s="581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</row>
    <row r="23" spans="1:49" ht="14.65" customHeight="1">
      <c r="A23" s="546" t="s">
        <v>1054</v>
      </c>
      <c r="B23" s="446"/>
      <c r="C23" s="446"/>
      <c r="D23" s="446"/>
      <c r="E23" s="446"/>
      <c r="F23" s="540"/>
      <c r="G23" s="540"/>
      <c r="H23" s="540"/>
      <c r="I23" s="540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545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</row>
    <row r="24" spans="1:49">
      <c r="A24" s="446" t="str">
        <f t="shared" ref="A24:A29" si="3">A15</f>
        <v>ACEO Loren Hotels (CE)</v>
      </c>
      <c r="B24" s="458" t="s">
        <v>36</v>
      </c>
      <c r="C24" s="458" t="s">
        <v>1040</v>
      </c>
      <c r="D24" s="458" t="s">
        <v>1043</v>
      </c>
      <c r="E24" s="448"/>
      <c r="F24" s="540"/>
      <c r="G24" s="540"/>
      <c r="H24" s="540"/>
      <c r="I24" s="540"/>
      <c r="J24" s="617">
        <f>J6*(1+'.c12_inputs.hr'!$E$8)+(J15*(1+'.c12_inputs.hr'!$E$9))</f>
        <v>144000</v>
      </c>
      <c r="K24" s="617">
        <f>K6*(1+'.c12_inputs.hr'!$E$8)+(K15*(1+'.c12_inputs.hr'!$E$9))</f>
        <v>144000</v>
      </c>
      <c r="L24" s="617">
        <f>L6*(1+'.c12_inputs.hr'!$E$8)+(L15*(1+'.c12_inputs.hr'!$E$9))</f>
        <v>144000</v>
      </c>
      <c r="M24" s="617">
        <f>M6*(1+'.c12_inputs.hr'!$E$8)+(M15*(1+'.c12_inputs.hr'!$E$9))</f>
        <v>403750</v>
      </c>
      <c r="N24" s="617">
        <f>N6*(1+'.c12_inputs.hr'!$E$8)+(N15*(1+'.c12_inputs.hr'!$E$9))</f>
        <v>144000</v>
      </c>
      <c r="O24" s="617">
        <f>O6*(1+'.c12_inputs.hr'!$E$8)+(O15*(1+'.c12_inputs.hr'!$E$9))</f>
        <v>144000</v>
      </c>
      <c r="P24" s="617">
        <f>P6*(1+'.c12_inputs.hr'!$E$8)+(P15*(1+'.c12_inputs.hr'!$E$9))</f>
        <v>144000</v>
      </c>
      <c r="Q24" s="617">
        <f>Q6*(1+'.c12_inputs.hr'!$E$8)+(Q15*(1+'.c12_inputs.hr'!$E$9))</f>
        <v>403750</v>
      </c>
      <c r="R24" s="544">
        <f>R6*(1+'.c12_inputs.hr'!$E$8)+(R15*(1+'.c12_inputs.hr'!$E$9))</f>
        <v>1095500</v>
      </c>
      <c r="S24" s="544">
        <f>S6*(1+'.c12_inputs.hr'!$E$8)+(S15*(1+'.c12_inputs.hr'!$E$9))</f>
        <v>1095500</v>
      </c>
      <c r="T24" s="544">
        <f>T6*(1+'.c12_inputs.hr'!$E$8)+(T15*(1+'.c12_inputs.hr'!$E$9))</f>
        <v>1095500</v>
      </c>
      <c r="U24" s="544">
        <f>U6*(1+'.c12_inputs.hr'!$E$8)+(U15*(1+'.c12_inputs.hr'!$E$9))</f>
        <v>1095500</v>
      </c>
      <c r="V24" s="544"/>
      <c r="W24" s="544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</row>
    <row r="25" spans="1:49">
      <c r="A25" s="446" t="str">
        <f t="shared" si="3"/>
        <v>VP Operations (WS)</v>
      </c>
      <c r="B25" s="458" t="s">
        <v>36</v>
      </c>
      <c r="C25" s="458" t="s">
        <v>1040</v>
      </c>
      <c r="D25" s="458" t="s">
        <v>1045</v>
      </c>
      <c r="E25" s="448"/>
      <c r="F25" s="540"/>
      <c r="G25" s="540"/>
      <c r="H25" s="540"/>
      <c r="I25" s="540"/>
      <c r="J25" s="617">
        <f>J7*(1+'.c12_inputs.hr'!$E$8)+(J16*(1+'.c12_inputs.hr'!$E$9))</f>
        <v>79200</v>
      </c>
      <c r="K25" s="617">
        <f>K7*(1+'.c12_inputs.hr'!$E$8)+(K16*(1+'.c12_inputs.hr'!$E$9))</f>
        <v>79200</v>
      </c>
      <c r="L25" s="617">
        <f>L7*(1+'.c12_inputs.hr'!$E$8)+(L16*(1+'.c12_inputs.hr'!$E$9))</f>
        <v>79200</v>
      </c>
      <c r="M25" s="617">
        <f>M7*(1+'.c12_inputs.hr'!$E$8)+(M16*(1+'.c12_inputs.hr'!$E$9))</f>
        <v>198685</v>
      </c>
      <c r="N25" s="617">
        <f>N7*(1+'.c12_inputs.hr'!$E$8)+(N16*(1+'.c12_inputs.hr'!$E$9))</f>
        <v>83520</v>
      </c>
      <c r="O25" s="617">
        <f>O7*(1+'.c12_inputs.hr'!$E$8)+(O16*(1+'.c12_inputs.hr'!$E$9))</f>
        <v>83520</v>
      </c>
      <c r="P25" s="617">
        <f>P7*(1+'.c12_inputs.hr'!$E$8)+(P16*(1+'.c12_inputs.hr'!$E$9))</f>
        <v>83520</v>
      </c>
      <c r="Q25" s="617">
        <f>Q7*(1+'.c12_inputs.hr'!$E$8)+(Q16*(1+'.c12_inputs.hr'!$E$9))</f>
        <v>161445</v>
      </c>
      <c r="R25" s="544">
        <f>R7*(1+'.c12_inputs.hr'!$E$8)+(R16*(1+'.c12_inputs.hr'!$E$9))</f>
        <v>412005</v>
      </c>
      <c r="S25" s="544">
        <f>S7*(1+'.c12_inputs.hr'!$E$8)+(S16*(1+'.c12_inputs.hr'!$E$9))</f>
        <v>412005</v>
      </c>
      <c r="T25" s="544">
        <f>T7*(1+'.c12_inputs.hr'!$E$8)+(T16*(1+'.c12_inputs.hr'!$E$9))</f>
        <v>412005</v>
      </c>
      <c r="U25" s="544">
        <f>U7*(1+'.c12_inputs.hr'!$E$8)+(U16*(1+'.c12_inputs.hr'!$E$9))</f>
        <v>412005</v>
      </c>
      <c r="V25" s="544"/>
      <c r="W25" s="544"/>
      <c r="X25" s="545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</row>
    <row r="26" spans="1:49">
      <c r="A26" s="446" t="str">
        <f t="shared" si="3"/>
        <v>seniorS&amp;Mexe (CL)</v>
      </c>
      <c r="B26" s="458" t="s">
        <v>36</v>
      </c>
      <c r="C26" s="458" t="s">
        <v>1040</v>
      </c>
      <c r="D26" s="458" t="s">
        <v>1047</v>
      </c>
      <c r="E26" s="448"/>
      <c r="F26" s="540"/>
      <c r="G26" s="540"/>
      <c r="H26" s="540"/>
      <c r="I26" s="540"/>
      <c r="J26" s="617">
        <f>J8*(1+'.c12_inputs.hr'!$E$8)+(J17*(1+'.c12_inputs.hr'!$E$9))</f>
        <v>0</v>
      </c>
      <c r="K26" s="617">
        <f>K8*(1+'.c12_inputs.hr'!$E$8)+(K17*(1+'.c12_inputs.hr'!$E$9))</f>
        <v>0</v>
      </c>
      <c r="L26" s="617">
        <f>L8*(1+'.c12_inputs.hr'!$E$8)+(L17*(1+'.c12_inputs.hr'!$E$9))</f>
        <v>0</v>
      </c>
      <c r="M26" s="617">
        <f>M8*(1+'.c12_inputs.hr'!$E$8)+(M17*(1+'.c12_inputs.hr'!$E$9))</f>
        <v>20780</v>
      </c>
      <c r="N26" s="617">
        <f>N8*(1+'.c12_inputs.hr'!$E$8)+(N17*(1+'.c12_inputs.hr'!$E$9))</f>
        <v>86400</v>
      </c>
      <c r="O26" s="617">
        <f>O8*(1+'.c12_inputs.hr'!$E$8)+(O17*(1+'.c12_inputs.hr'!$E$9))</f>
        <v>86400</v>
      </c>
      <c r="P26" s="617">
        <f>P8*(1+'.c12_inputs.hr'!$E$8)+(P17*(1+'.c12_inputs.hr'!$E$9))</f>
        <v>86400</v>
      </c>
      <c r="Q26" s="617">
        <f>Q8*(1+'.c12_inputs.hr'!$E$8)+(Q17*(1+'.c12_inputs.hr'!$E$9))</f>
        <v>164325</v>
      </c>
      <c r="R26" s="544">
        <f>R8*(1+'.c12_inputs.hr'!$E$8)+(R17*(1+'.c12_inputs.hr'!$E$9))</f>
        <v>423525</v>
      </c>
      <c r="S26" s="544">
        <f>S8*(1+'.c12_inputs.hr'!$E$8)+(S17*(1+'.c12_inputs.hr'!$E$9))</f>
        <v>423525</v>
      </c>
      <c r="T26" s="544">
        <f>T8*(1+'.c12_inputs.hr'!$E$8)+(T17*(1+'.c12_inputs.hr'!$E$9))</f>
        <v>423525</v>
      </c>
      <c r="U26" s="544">
        <f>U8*(1+'.c12_inputs.hr'!$E$8)+(U17*(1+'.c12_inputs.hr'!$E$9))</f>
        <v>423525</v>
      </c>
      <c r="V26" s="544"/>
      <c r="W26" s="544"/>
      <c r="X26" s="545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</row>
    <row r="27" spans="1:49">
      <c r="A27" s="446" t="str">
        <f t="shared" si="3"/>
        <v>Senior Associate (RF)</v>
      </c>
      <c r="B27" s="458" t="s">
        <v>36</v>
      </c>
      <c r="C27" s="458" t="s">
        <v>1040</v>
      </c>
      <c r="D27" s="458" t="s">
        <v>1049</v>
      </c>
      <c r="E27" s="448"/>
      <c r="F27" s="540"/>
      <c r="G27" s="540"/>
      <c r="H27" s="540"/>
      <c r="I27" s="540"/>
      <c r="J27" s="617">
        <f>J9*(1+'.c12_inputs.hr'!$E$8)+(J18*(1+'.c12_inputs.hr'!$E$9))</f>
        <v>43200</v>
      </c>
      <c r="K27" s="617">
        <f>K9*(1+'.c12_inputs.hr'!$E$8)+(K18*(1+'.c12_inputs.hr'!$E$9))</f>
        <v>43200</v>
      </c>
      <c r="L27" s="617">
        <f>L9*(1+'.c12_inputs.hr'!$E$8)+(L18*(1+'.c12_inputs.hr'!$E$9))</f>
        <v>43200</v>
      </c>
      <c r="M27" s="617">
        <f>M9*(1+'.c12_inputs.hr'!$E$8)+(M18*(1+'.c12_inputs.hr'!$E$9))</f>
        <v>95150</v>
      </c>
      <c r="N27" s="617">
        <f>N9*(1+'.c12_inputs.hr'!$E$8)+(N18*(1+'.c12_inputs.hr'!$E$9))</f>
        <v>46080</v>
      </c>
      <c r="O27" s="617">
        <f>O9*(1+'.c12_inputs.hr'!$E$8)+(O18*(1+'.c12_inputs.hr'!$E$9))</f>
        <v>46080</v>
      </c>
      <c r="P27" s="617">
        <f>P9*(1+'.c12_inputs.hr'!$E$8)+(P18*(1+'.c12_inputs.hr'!$E$9))</f>
        <v>46080</v>
      </c>
      <c r="Q27" s="617">
        <f>Q9*(1+'.c12_inputs.hr'!$E$8)+(Q18*(1+'.c12_inputs.hr'!$E$9))</f>
        <v>98030</v>
      </c>
      <c r="R27" s="544">
        <f>R9*(1+'.c12_inputs.hr'!$E$8)+(R18*(1+'.c12_inputs.hr'!$E$9))</f>
        <v>236270</v>
      </c>
      <c r="S27" s="544">
        <f>S9*(1+'.c12_inputs.hr'!$E$8)+(S18*(1+'.c12_inputs.hr'!$E$9))</f>
        <v>236270</v>
      </c>
      <c r="T27" s="544">
        <f>T9*(1+'.c12_inputs.hr'!$E$8)+(T18*(1+'.c12_inputs.hr'!$E$9))</f>
        <v>236270</v>
      </c>
      <c r="U27" s="544">
        <f>U9*(1+'.c12_inputs.hr'!$E$8)+(U18*(1+'.c12_inputs.hr'!$E$9))</f>
        <v>236270</v>
      </c>
      <c r="V27" s="544"/>
      <c r="W27" s="544"/>
      <c r="X27" s="545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</row>
    <row r="28" spans="1:49">
      <c r="A28" s="446" t="str">
        <f t="shared" si="3"/>
        <v>associate (MT)</v>
      </c>
      <c r="B28" s="458" t="s">
        <v>36</v>
      </c>
      <c r="C28" s="458" t="s">
        <v>1040</v>
      </c>
      <c r="D28" s="458" t="s">
        <v>1051</v>
      </c>
      <c r="E28" s="448"/>
      <c r="F28" s="540"/>
      <c r="G28" s="540"/>
      <c r="H28" s="540"/>
      <c r="I28" s="540"/>
      <c r="J28" s="617">
        <f>J10*(1+'.c12_inputs.hr'!$E$8)+(J19*(1+'.c12_inputs.hr'!$E$9))</f>
        <v>31679.999999999996</v>
      </c>
      <c r="K28" s="617">
        <f>K10*(1+'.c12_inputs.hr'!$E$8)+(K19*(1+'.c12_inputs.hr'!$E$9))</f>
        <v>31679.999999999996</v>
      </c>
      <c r="L28" s="617">
        <f>L10*(1+'.c12_inputs.hr'!$E$8)+(L19*(1+'.c12_inputs.hr'!$E$9))</f>
        <v>31679.999999999996</v>
      </c>
      <c r="M28" s="617">
        <f>M10*(1+'.c12_inputs.hr'!$E$8)+(M19*(1+'.c12_inputs.hr'!$E$9))</f>
        <v>52460</v>
      </c>
      <c r="N28" s="617">
        <f>N10*(1+'.c12_inputs.hr'!$E$8)+(N19*(1+'.c12_inputs.hr'!$E$9))</f>
        <v>31679.999999999996</v>
      </c>
      <c r="O28" s="617">
        <f>O10*(1+'.c12_inputs.hr'!$E$8)+(O19*(1+'.c12_inputs.hr'!$E$9))</f>
        <v>31679.999999999996</v>
      </c>
      <c r="P28" s="617">
        <f>P10*(1+'.c12_inputs.hr'!$E$8)+(P19*(1+'.c12_inputs.hr'!$E$9))</f>
        <v>31679.999999999996</v>
      </c>
      <c r="Q28" s="617">
        <f>Q10*(1+'.c12_inputs.hr'!$E$8)+(Q19*(1+'.c12_inputs.hr'!$E$9))</f>
        <v>73240</v>
      </c>
      <c r="R28" s="544">
        <f>R10*(1+'.c12_inputs.hr'!$E$8)+(R19*(1+'.c12_inputs.hr'!$E$9))</f>
        <v>168280</v>
      </c>
      <c r="S28" s="544">
        <f>S10*(1+'.c12_inputs.hr'!$E$8)+(S19*(1+'.c12_inputs.hr'!$E$9))</f>
        <v>168280</v>
      </c>
      <c r="T28" s="544">
        <f>T10*(1+'.c12_inputs.hr'!$E$8)+(T19*(1+'.c12_inputs.hr'!$E$9))</f>
        <v>168280</v>
      </c>
      <c r="U28" s="544">
        <f>U10*(1+'.c12_inputs.hr'!$E$8)+(U19*(1+'.c12_inputs.hr'!$E$9))</f>
        <v>168280</v>
      </c>
      <c r="V28" s="544"/>
      <c r="W28" s="544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</row>
    <row r="29" spans="1:49">
      <c r="A29" s="446" t="str">
        <f t="shared" si="3"/>
        <v>project manager</v>
      </c>
      <c r="B29" s="458" t="s">
        <v>36</v>
      </c>
      <c r="C29" s="458" t="s">
        <v>1040</v>
      </c>
      <c r="D29" s="458" t="s">
        <v>1053</v>
      </c>
      <c r="E29" s="448"/>
      <c r="F29" s="540"/>
      <c r="G29" s="540"/>
      <c r="H29" s="540"/>
      <c r="I29" s="540"/>
      <c r="J29" s="617">
        <f>J11*(1+'.c12_inputs.hr'!$E$8)+(J20*(1+'.c12_inputs.hr'!$E$9))</f>
        <v>0</v>
      </c>
      <c r="K29" s="617">
        <f>K11*(1+'.c12_inputs.hr'!$E$8)+(K20*(1+'.c12_inputs.hr'!$E$9))</f>
        <v>0</v>
      </c>
      <c r="L29" s="617">
        <f>L11*(1+'.c12_inputs.hr'!$E$8)+(L20*(1+'.c12_inputs.hr'!$E$9))</f>
        <v>0</v>
      </c>
      <c r="M29" s="617">
        <f>M11*(1+'.c12_inputs.hr'!$E$8)+(M20*(1+'.c12_inputs.hr'!$E$9))</f>
        <v>0</v>
      </c>
      <c r="N29" s="617">
        <f>N11*(1+'.c12_inputs.hr'!$E$8)+(N20*(1+'.c12_inputs.hr'!$E$9))</f>
        <v>0</v>
      </c>
      <c r="O29" s="617">
        <f>O11*(1+'.c12_inputs.hr'!$E$8)+(O20*(1+'.c12_inputs.hr'!$E$9))</f>
        <v>0</v>
      </c>
      <c r="P29" s="617">
        <f>P11*(1+'.c12_inputs.hr'!$E$8)+(P20*(1+'.c12_inputs.hr'!$E$9))</f>
        <v>43200</v>
      </c>
      <c r="Q29" s="617">
        <f>Q11*(1+'.c12_inputs.hr'!$E$8)+(Q20*(1+'.c12_inputs.hr'!$E$9))</f>
        <v>48395</v>
      </c>
      <c r="R29" s="544">
        <f>R11*(1+'.c12_inputs.hr'!$E$8)+(R20*(1+'.c12_inputs.hr'!$E$9))</f>
        <v>183190</v>
      </c>
      <c r="S29" s="544">
        <f>S11*(1+'.c12_inputs.hr'!$E$8)+(S20*(1+'.c12_inputs.hr'!$E$9))</f>
        <v>183190</v>
      </c>
      <c r="T29" s="544">
        <f>T11*(1+'.c12_inputs.hr'!$E$8)+(T20*(1+'.c12_inputs.hr'!$E$9))</f>
        <v>183190</v>
      </c>
      <c r="U29" s="544">
        <f>U11*(1+'.c12_inputs.hr'!$E$8)+(U20*(1+'.c12_inputs.hr'!$E$9))</f>
        <v>183190</v>
      </c>
      <c r="V29" s="544"/>
      <c r="W29" s="544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</row>
    <row r="30" spans="1:49" s="445" customFormat="1" ht="14.65" customHeight="1">
      <c r="A30" s="446"/>
      <c r="B30" s="446"/>
      <c r="C30" s="446"/>
      <c r="D30" s="446"/>
      <c r="E30" s="448"/>
      <c r="F30" s="540"/>
      <c r="G30" s="540"/>
      <c r="H30" s="540"/>
      <c r="I30" s="540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</row>
    <row r="31" spans="1:49" ht="14.65" customHeight="1">
      <c r="A31" s="615" t="s">
        <v>100</v>
      </c>
      <c r="B31" s="458" t="s">
        <v>36</v>
      </c>
      <c r="C31" s="458" t="s">
        <v>101</v>
      </c>
      <c r="D31" s="446"/>
      <c r="E31" s="544"/>
      <c r="F31" s="540"/>
      <c r="G31" s="540"/>
      <c r="H31" s="540"/>
      <c r="I31" s="540"/>
      <c r="J31" s="617">
        <f t="shared" ref="J31:U31" si="4">SUM(J24:J29)</f>
        <v>298080</v>
      </c>
      <c r="K31" s="617">
        <f t="shared" si="4"/>
        <v>298080</v>
      </c>
      <c r="L31" s="617">
        <f t="shared" si="4"/>
        <v>298080</v>
      </c>
      <c r="M31" s="617">
        <f t="shared" si="4"/>
        <v>770825</v>
      </c>
      <c r="N31" s="617">
        <f t="shared" si="4"/>
        <v>391680</v>
      </c>
      <c r="O31" s="617">
        <f t="shared" si="4"/>
        <v>391680</v>
      </c>
      <c r="P31" s="617">
        <f t="shared" si="4"/>
        <v>434880</v>
      </c>
      <c r="Q31" s="617">
        <f t="shared" si="4"/>
        <v>949185</v>
      </c>
      <c r="R31" s="544">
        <f t="shared" si="4"/>
        <v>2518770</v>
      </c>
      <c r="S31" s="544">
        <f t="shared" si="4"/>
        <v>2518770</v>
      </c>
      <c r="T31" s="544">
        <f t="shared" si="4"/>
        <v>2518770</v>
      </c>
      <c r="U31" s="544">
        <f t="shared" si="4"/>
        <v>2518770</v>
      </c>
      <c r="V31" s="544"/>
      <c r="W31" s="545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</row>
    <row r="32" spans="1:49">
      <c r="A32" s="486" t="s">
        <v>102</v>
      </c>
      <c r="B32" s="458" t="s">
        <v>36</v>
      </c>
      <c r="C32" s="458" t="s">
        <v>103</v>
      </c>
      <c r="D32" s="446"/>
      <c r="E32" s="565"/>
      <c r="F32" s="540"/>
      <c r="G32" s="540"/>
      <c r="H32" s="540"/>
      <c r="I32" s="540"/>
      <c r="J32" s="573">
        <f>SUMPRODUCT('.c12_alloc'!$H$16:$H$21,'.c12_hm_hr'!J$24:J$29)</f>
        <v>154080</v>
      </c>
      <c r="K32" s="573">
        <f>SUMPRODUCT('.c12_alloc'!$H$16:$H$21,'.c12_hm_hr'!K$24:K$29)</f>
        <v>154080</v>
      </c>
      <c r="L32" s="573">
        <f>SUMPRODUCT('.c12_alloc'!$H$16:$H$21,'.c12_hm_hr'!L$24:L$29)</f>
        <v>154080</v>
      </c>
      <c r="M32" s="573">
        <f>SUMPRODUCT('.c12_alloc'!$H$16:$H$21,'.c12_hm_hr'!M$24:M$29)</f>
        <v>367075</v>
      </c>
      <c r="N32" s="573">
        <f>SUMPRODUCT('.c12_alloc'!$H$16:$H$21,'.c12_hm_hr'!N$24:N$29)</f>
        <v>247680</v>
      </c>
      <c r="O32" s="573">
        <f>SUMPRODUCT('.c12_alloc'!$H$16:$H$21,'.c12_hm_hr'!O$24:O$29)</f>
        <v>247680</v>
      </c>
      <c r="P32" s="573">
        <f>SUMPRODUCT('.c12_alloc'!$H$16:$H$21,'.c12_hm_hr'!P$24:P$29)</f>
        <v>290880</v>
      </c>
      <c r="Q32" s="573">
        <f>SUMPRODUCT('.c12_alloc'!$H$16:$H$21,'.c12_hm_hr'!Q$24:Q$29)</f>
        <v>545435</v>
      </c>
      <c r="R32" s="565">
        <f>SUMPRODUCT('.c12_alloc'!$H$16:$H$21,'.c12_hm_hr'!R$24:R$29)</f>
        <v>1423270</v>
      </c>
      <c r="S32" s="565">
        <f>SUMPRODUCT('.c12_alloc'!$H$16:$H$21,'.c12_hm_hr'!S$24:S$29)</f>
        <v>1423270</v>
      </c>
      <c r="T32" s="565">
        <f>SUMPRODUCT('.c12_alloc'!$H$16:$H$21,'.c12_hm_hr'!T$24:T$29)</f>
        <v>1423270</v>
      </c>
      <c r="U32" s="565">
        <f>SUMPRODUCT('.c12_alloc'!$H$16:$H$21,'.c12_hm_hr'!U$24:U$29)</f>
        <v>1423270</v>
      </c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</row>
    <row r="33" spans="1:49">
      <c r="A33" s="486" t="s">
        <v>104</v>
      </c>
      <c r="B33" s="458" t="s">
        <v>36</v>
      </c>
      <c r="C33" s="458" t="s">
        <v>105</v>
      </c>
      <c r="D33" s="446"/>
      <c r="E33" s="565"/>
      <c r="F33" s="614"/>
      <c r="G33" s="614"/>
      <c r="H33" s="614"/>
      <c r="I33" s="614"/>
      <c r="J33" s="573">
        <f>SUMPRODUCT('.c12_alloc'!$G$16:$G$21,'.c12_hm_hr'!J$24:J$29)</f>
        <v>144000</v>
      </c>
      <c r="K33" s="573">
        <f>SUMPRODUCT('.c12_alloc'!$G$16:$G$21,'.c12_hm_hr'!K$24:K$29)</f>
        <v>144000</v>
      </c>
      <c r="L33" s="573">
        <f>SUMPRODUCT('.c12_alloc'!$G$16:$G$21,'.c12_hm_hr'!L$24:L$29)</f>
        <v>144000</v>
      </c>
      <c r="M33" s="573">
        <f>SUMPRODUCT('.c12_alloc'!$G$16:$G$21,'.c12_hm_hr'!M$24:M$29)</f>
        <v>403750</v>
      </c>
      <c r="N33" s="573">
        <f>SUMPRODUCT('.c12_alloc'!$G$16:$G$21,'.c12_hm_hr'!N$24:N$29)</f>
        <v>144000</v>
      </c>
      <c r="O33" s="573">
        <f>SUMPRODUCT('.c12_alloc'!$G$16:$G$21,'.c12_hm_hr'!O$24:O$29)</f>
        <v>144000</v>
      </c>
      <c r="P33" s="573">
        <f>SUMPRODUCT('.c12_alloc'!$G$16:$G$21,'.c12_hm_hr'!P$24:P$29)</f>
        <v>144000</v>
      </c>
      <c r="Q33" s="573">
        <f>SUMPRODUCT('.c12_alloc'!$G$16:$G$21,'.c12_hm_hr'!Q$24:Q$29)</f>
        <v>403750</v>
      </c>
      <c r="R33" s="565">
        <f>SUMPRODUCT('.c12_alloc'!$G$16:$G$21,'.c12_hm_hr'!R$24:R$29)</f>
        <v>1095500</v>
      </c>
      <c r="S33" s="565">
        <f>SUMPRODUCT('.c12_alloc'!$G$16:$G$21,'.c12_hm_hr'!S$24:S$29)</f>
        <v>1095500</v>
      </c>
      <c r="T33" s="565">
        <f>SUMPRODUCT('.c12_alloc'!$G$16:$G$21,'.c12_hm_hr'!T$24:T$29)</f>
        <v>1095500</v>
      </c>
      <c r="U33" s="565">
        <f>SUMPRODUCT('.c12_alloc'!$G$16:$G$21,'.c12_hm_hr'!U$24:U$29)</f>
        <v>1095500</v>
      </c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</row>
    <row r="34" spans="1:49">
      <c r="A34" s="486" t="s">
        <v>106</v>
      </c>
      <c r="B34" s="458" t="s">
        <v>36</v>
      </c>
      <c r="C34" s="458" t="s">
        <v>107</v>
      </c>
      <c r="D34" s="446"/>
      <c r="E34" s="565"/>
      <c r="F34" s="540"/>
      <c r="G34" s="540"/>
      <c r="H34" s="540"/>
      <c r="I34" s="540"/>
      <c r="J34" s="573">
        <f>SUMPRODUCT('.c12_alloc'!$E$16:$E$21,'.c12_hm_hr'!J$24:J$29)</f>
        <v>0</v>
      </c>
      <c r="K34" s="573">
        <f>SUMPRODUCT('.c12_alloc'!$E$16:$E$21,'.c12_hm_hr'!K$24:K$29)</f>
        <v>0</v>
      </c>
      <c r="L34" s="573">
        <f>SUMPRODUCT('.c12_alloc'!$E$16:$E$21,'.c12_hm_hr'!L$24:L$29)</f>
        <v>0</v>
      </c>
      <c r="M34" s="573">
        <f>SUMPRODUCT('.c12_alloc'!$E$16:$E$21,'.c12_hm_hr'!M$24:M$29)</f>
        <v>0</v>
      </c>
      <c r="N34" s="573">
        <f>SUMPRODUCT('.c12_alloc'!$E$16:$E$21,'.c12_hm_hr'!N$24:N$29)</f>
        <v>0</v>
      </c>
      <c r="O34" s="573">
        <f>SUMPRODUCT('.c12_alloc'!$E$16:$E$21,'.c12_hm_hr'!O$24:O$29)</f>
        <v>0</v>
      </c>
      <c r="P34" s="573">
        <f>SUMPRODUCT('.c12_alloc'!$E$16:$E$21,'.c12_hm_hr'!P$24:P$29)</f>
        <v>0</v>
      </c>
      <c r="Q34" s="573">
        <f>SUMPRODUCT('.c12_alloc'!$E$16:$E$21,'.c12_hm_hr'!Q$24:Q$29)</f>
        <v>0</v>
      </c>
      <c r="R34" s="565">
        <f>SUMPRODUCT('.c12_alloc'!$E$16:$E$21,'.c12_hm_hr'!R$24:R$29)</f>
        <v>0</v>
      </c>
      <c r="S34" s="565">
        <f>SUMPRODUCT('.c12_alloc'!$E$16:$E$21,'.c12_hm_hr'!S$24:S$29)</f>
        <v>0</v>
      </c>
      <c r="T34" s="565">
        <f>SUMPRODUCT('.c12_alloc'!$E$16:$E$21,'.c12_hm_hr'!T$24:T$29)</f>
        <v>0</v>
      </c>
      <c r="U34" s="565">
        <f>SUMPRODUCT('.c12_alloc'!$E$16:$E$21,'.c12_hm_hr'!U$24:U$29)</f>
        <v>0</v>
      </c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</row>
    <row r="35" spans="1:49">
      <c r="A35" s="446"/>
      <c r="B35" s="446"/>
      <c r="C35" s="446"/>
      <c r="D35" s="446"/>
      <c r="E35" s="565"/>
      <c r="F35" s="446"/>
      <c r="G35" s="446"/>
      <c r="H35" s="446"/>
      <c r="I35" s="446"/>
      <c r="J35" s="565"/>
      <c r="K35" s="565"/>
      <c r="L35" s="565"/>
      <c r="M35" s="565"/>
      <c r="N35" s="565"/>
      <c r="O35" s="565"/>
      <c r="P35" s="565"/>
      <c r="Q35" s="565"/>
      <c r="R35" s="565"/>
      <c r="S35" s="565"/>
      <c r="T35" s="565"/>
      <c r="U35" s="565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</row>
    <row r="36" spans="1:49">
      <c r="A36" s="446"/>
      <c r="B36" s="446"/>
      <c r="C36" s="446"/>
      <c r="D36" s="446"/>
      <c r="E36" s="446"/>
      <c r="F36" s="544"/>
      <c r="G36" s="544"/>
      <c r="H36" s="544"/>
      <c r="I36" s="544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</row>
    <row r="37" spans="1:49">
      <c r="A37" s="446"/>
      <c r="B37" s="446"/>
      <c r="C37" s="446"/>
      <c r="D37" s="446"/>
      <c r="E37" s="446"/>
      <c r="F37" s="544"/>
      <c r="G37" s="544"/>
      <c r="H37" s="544"/>
      <c r="I37" s="544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</row>
    <row r="38" spans="1:49">
      <c r="A38" s="446"/>
      <c r="B38" s="446"/>
      <c r="C38" s="446"/>
      <c r="D38" s="446"/>
      <c r="E38" s="446"/>
      <c r="F38" s="544"/>
      <c r="G38" s="544"/>
      <c r="H38" s="544"/>
      <c r="I38" s="544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</row>
    <row r="39" spans="1:49">
      <c r="A39" s="446"/>
      <c r="B39" s="446"/>
      <c r="C39" s="446"/>
      <c r="D39" s="446"/>
      <c r="E39" s="446"/>
      <c r="F39" s="544"/>
      <c r="G39" s="544"/>
      <c r="H39" s="544"/>
      <c r="I39" s="544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</row>
    <row r="40" spans="1:49">
      <c r="A40" s="446"/>
      <c r="B40" s="446"/>
      <c r="C40" s="446"/>
      <c r="D40" s="446"/>
      <c r="E40" s="446"/>
      <c r="F40" s="544"/>
      <c r="G40" s="544"/>
      <c r="H40" s="544"/>
      <c r="I40" s="544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</row>
    <row r="41" spans="1:49">
      <c r="A41" s="446"/>
      <c r="B41" s="446"/>
      <c r="C41" s="446"/>
      <c r="D41" s="446"/>
      <c r="E41" s="446"/>
      <c r="F41" s="540"/>
      <c r="G41" s="540"/>
      <c r="H41" s="540"/>
      <c r="I41" s="540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</row>
    <row r="42" spans="1:49">
      <c r="A42" s="446"/>
      <c r="B42" s="446"/>
      <c r="C42" s="446"/>
      <c r="D42" s="446"/>
      <c r="E42" s="446"/>
      <c r="F42" s="544"/>
      <c r="G42" s="544"/>
      <c r="H42" s="544"/>
      <c r="I42" s="544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</row>
    <row r="43" spans="1:49">
      <c r="A43" s="446"/>
      <c r="B43" s="446"/>
      <c r="C43" s="446"/>
      <c r="D43" s="446"/>
      <c r="E43" s="446"/>
      <c r="F43" s="544"/>
      <c r="G43" s="544"/>
      <c r="H43" s="544"/>
      <c r="I43" s="544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</row>
    <row r="44" spans="1:49">
      <c r="A44" s="446"/>
      <c r="B44" s="446"/>
      <c r="C44" s="446"/>
      <c r="D44" s="446"/>
      <c r="E44" s="446"/>
      <c r="F44" s="544"/>
      <c r="G44" s="544"/>
      <c r="H44" s="544"/>
      <c r="I44" s="544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</row>
    <row r="45" spans="1:49">
      <c r="A45" s="446"/>
      <c r="B45" s="446"/>
      <c r="C45" s="446"/>
      <c r="D45" s="446"/>
      <c r="E45" s="446"/>
      <c r="F45" s="544"/>
      <c r="G45" s="544"/>
      <c r="H45" s="544"/>
      <c r="I45" s="544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</row>
    <row r="46" spans="1:49">
      <c r="A46" s="446"/>
      <c r="B46" s="446"/>
      <c r="C46" s="446"/>
      <c r="D46" s="446"/>
      <c r="E46" s="446"/>
      <c r="F46" s="544"/>
      <c r="G46" s="544"/>
      <c r="H46" s="544"/>
      <c r="I46" s="544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</row>
    <row r="47" spans="1:49">
      <c r="A47" s="446"/>
      <c r="B47" s="446"/>
      <c r="C47" s="446"/>
      <c r="D47" s="446"/>
      <c r="E47" s="446"/>
      <c r="F47" s="544"/>
      <c r="G47" s="544"/>
      <c r="H47" s="544"/>
      <c r="I47" s="544"/>
      <c r="J47" s="446"/>
      <c r="K47" s="446"/>
      <c r="L47" s="446"/>
      <c r="M47" s="446"/>
      <c r="N47" s="446"/>
      <c r="O47" s="446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</row>
    <row r="48" spans="1:49">
      <c r="A48" s="446"/>
      <c r="B48" s="446"/>
      <c r="C48" s="446"/>
      <c r="D48" s="446"/>
      <c r="E48" s="446"/>
      <c r="F48" s="544"/>
      <c r="G48" s="544"/>
      <c r="H48" s="544"/>
      <c r="I48" s="544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</row>
    <row r="49" spans="1:49">
      <c r="A49" s="446"/>
      <c r="B49" s="446"/>
      <c r="C49" s="446"/>
      <c r="D49" s="446"/>
      <c r="E49" s="446"/>
      <c r="F49" s="565"/>
      <c r="G49" s="565"/>
      <c r="H49" s="565"/>
      <c r="I49" s="565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</row>
    <row r="50" spans="1:49">
      <c r="A50" s="446"/>
      <c r="B50" s="446"/>
      <c r="C50" s="446"/>
      <c r="D50" s="446"/>
      <c r="E50" s="446"/>
      <c r="F50" s="565"/>
      <c r="G50" s="565"/>
      <c r="H50" s="565"/>
      <c r="I50" s="565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</row>
    <row r="51" spans="1:49">
      <c r="A51" s="446"/>
      <c r="B51" s="446"/>
      <c r="C51" s="446"/>
      <c r="D51" s="446"/>
      <c r="E51" s="446"/>
      <c r="F51" s="565"/>
      <c r="G51" s="565"/>
      <c r="H51" s="565"/>
      <c r="I51" s="565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</row>
    <row r="52" spans="1:49">
      <c r="A52" s="446"/>
      <c r="B52" s="446"/>
      <c r="C52" s="446"/>
      <c r="D52" s="446"/>
      <c r="E52" s="446"/>
      <c r="F52" s="565"/>
      <c r="G52" s="565"/>
      <c r="H52" s="565"/>
      <c r="I52" s="565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</row>
    <row r="53" spans="1:49">
      <c r="A53" s="446"/>
      <c r="B53" s="446"/>
      <c r="C53" s="446"/>
      <c r="D53" s="446"/>
      <c r="E53" s="446"/>
      <c r="F53" s="565"/>
      <c r="G53" s="565"/>
      <c r="H53" s="565"/>
      <c r="I53" s="565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</row>
    <row r="54" spans="1:49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</row>
    <row r="55" spans="1:49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</row>
    <row r="56" spans="1:49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</row>
    <row r="57" spans="1:49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</row>
    <row r="58" spans="1:49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</row>
    <row r="59" spans="1:49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</row>
    <row r="60" spans="1:49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</row>
    <row r="61" spans="1:49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</row>
    <row r="62" spans="1:49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</row>
    <row r="63" spans="1:49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</row>
    <row r="64" spans="1:49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</row>
    <row r="65" spans="1:49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</row>
    <row r="66" spans="1:49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</row>
    <row r="67" spans="1:49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</row>
    <row r="68" spans="1:49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</row>
    <row r="69" spans="1:49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</row>
    <row r="70" spans="1:49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</row>
    <row r="71" spans="1:49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</row>
    <row r="72" spans="1:49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</row>
    <row r="73" spans="1:49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</row>
    <row r="74" spans="1:49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</row>
    <row r="75" spans="1:49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</row>
    <row r="76" spans="1:49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</row>
    <row r="77" spans="1:49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</row>
    <row r="78" spans="1:49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</row>
    <row r="79" spans="1:49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</row>
    <row r="80" spans="1:49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</row>
    <row r="81" spans="1:49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</row>
    <row r="82" spans="1:49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</row>
    <row r="83" spans="1:49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</row>
    <row r="84" spans="1:49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</row>
    <row r="85" spans="1:49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</row>
    <row r="86" spans="1:49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</row>
    <row r="87" spans="1:49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</row>
    <row r="88" spans="1:49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</row>
    <row r="89" spans="1:49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</row>
    <row r="90" spans="1:49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</row>
    <row r="91" spans="1:49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</row>
    <row r="92" spans="1:49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</row>
    <row r="93" spans="1:49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</row>
    <row r="94" spans="1:49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</row>
    <row r="95" spans="1:49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</row>
    <row r="96" spans="1:49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</row>
    <row r="97" spans="1:49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</row>
    <row r="98" spans="1:49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</row>
    <row r="99" spans="1:49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</row>
    <row r="100" spans="1:49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</row>
    <row r="101" spans="1:49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</row>
    <row r="102" spans="1:49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</row>
    <row r="103" spans="1:49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</row>
    <row r="104" spans="1:49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</row>
    <row r="105" spans="1:49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</row>
    <row r="106" spans="1:49">
      <c r="A106" s="446"/>
      <c r="B106" s="468"/>
      <c r="C106" s="446"/>
      <c r="D106" s="468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</row>
    <row r="107" spans="1:49">
      <c r="A107" s="446"/>
      <c r="B107" s="468"/>
      <c r="C107" s="446"/>
      <c r="D107" s="468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</row>
    <row r="108" spans="1:49">
      <c r="A108" s="446"/>
      <c r="B108" s="468"/>
      <c r="C108" s="446"/>
      <c r="D108" s="468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</row>
    <row r="109" spans="1:49">
      <c r="A109" s="446"/>
      <c r="B109" s="468"/>
      <c r="C109" s="446"/>
      <c r="D109" s="468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</row>
    <row r="110" spans="1:49">
      <c r="A110" s="446"/>
      <c r="B110" s="468"/>
      <c r="C110" s="446"/>
      <c r="D110" s="468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</row>
    <row r="111" spans="1:49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</row>
    <row r="112" spans="1:49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</row>
    <row r="113" spans="1:49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</row>
    <row r="114" spans="1:49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</row>
    <row r="115" spans="1:49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</row>
    <row r="116" spans="1:49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</row>
    <row r="117" spans="1:49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</row>
    <row r="118" spans="1:49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</row>
    <row r="119" spans="1:49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</row>
    <row r="120" spans="1:49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</row>
    <row r="121" spans="1:49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</row>
    <row r="122" spans="1:49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</row>
    <row r="123" spans="1:49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</row>
    <row r="124" spans="1:49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</row>
    <row r="125" spans="1:49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</row>
    <row r="126" spans="1:49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</row>
    <row r="127" spans="1:49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</row>
    <row r="128" spans="1:49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</row>
    <row r="129" spans="1:49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</row>
    <row r="130" spans="1:49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</row>
    <row r="131" spans="1:49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</row>
    <row r="132" spans="1:49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</row>
    <row r="133" spans="1:49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</row>
    <row r="134" spans="1:49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</row>
    <row r="135" spans="1:49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</row>
    <row r="136" spans="1:49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</row>
    <row r="137" spans="1:49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</row>
    <row r="138" spans="1:49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</row>
    <row r="139" spans="1:49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</row>
    <row r="140" spans="1:49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</row>
    <row r="141" spans="1:49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</row>
    <row r="142" spans="1:49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</row>
    <row r="143" spans="1:49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</row>
    <row r="144" spans="1:49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</row>
    <row r="145" spans="6:9">
      <c r="F145" s="446"/>
      <c r="G145" s="446"/>
      <c r="H145" s="446"/>
      <c r="I145" s="446"/>
    </row>
    <row r="146" spans="6:9">
      <c r="F146" s="446"/>
      <c r="G146" s="446"/>
      <c r="H146" s="446"/>
      <c r="I146" s="446"/>
    </row>
    <row r="147" spans="6:9">
      <c r="F147" s="446"/>
      <c r="G147" s="446"/>
      <c r="H147" s="446"/>
      <c r="I147" s="446"/>
    </row>
    <row r="148" spans="6:9">
      <c r="F148" s="446"/>
      <c r="G148" s="446"/>
      <c r="H148" s="446"/>
      <c r="I148" s="446"/>
    </row>
    <row r="149" spans="6:9">
      <c r="F149" s="446"/>
      <c r="G149" s="446"/>
      <c r="H149" s="446"/>
      <c r="I149" s="44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AW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.1796875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1.7265625" style="636" customWidth="1"/>
    <col min="10" max="13" width="11.7265625" customWidth="1"/>
    <col min="14" max="14" width="12" bestFit="1" customWidth="1"/>
    <col min="15" max="16" width="11.7265625" customWidth="1"/>
    <col min="17" max="17" width="12" bestFit="1" customWidth="1"/>
    <col min="18" max="22" width="11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49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</row>
    <row r="2" spans="1:49">
      <c r="A2" s="453"/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611"/>
      <c r="X2" s="611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</row>
    <row r="3" spans="1:49" ht="14.65" customHeight="1">
      <c r="A3" s="453" t="s">
        <v>871</v>
      </c>
      <c r="B3" s="450"/>
      <c r="C3" s="450"/>
      <c r="D3" s="450"/>
      <c r="E3" s="555"/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5" t="s">
        <v>2</v>
      </c>
      <c r="S3" s="555" t="s">
        <v>2</v>
      </c>
      <c r="T3" s="555" t="s">
        <v>2</v>
      </c>
      <c r="U3" s="555" t="s">
        <v>2</v>
      </c>
      <c r="V3" s="557"/>
      <c r="W3" s="611"/>
      <c r="X3" s="611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</row>
    <row r="4" spans="1:49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</row>
    <row r="5" spans="1:49">
      <c r="A5" s="612" t="s">
        <v>1041</v>
      </c>
      <c r="B5" s="461"/>
      <c r="C5" s="464"/>
      <c r="D5" s="461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545"/>
      <c r="X5" s="545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</row>
    <row r="6" spans="1:49">
      <c r="A6" s="606" t="s">
        <v>1055</v>
      </c>
      <c r="B6" s="459" t="s">
        <v>12</v>
      </c>
      <c r="C6" s="460" t="s">
        <v>1026</v>
      </c>
      <c r="D6" s="475" t="s">
        <v>1056</v>
      </c>
      <c r="E6" s="540"/>
      <c r="F6" s="446"/>
      <c r="G6" s="446"/>
      <c r="H6" s="446"/>
      <c r="I6" s="446"/>
      <c r="J6" s="607">
        <v>87500</v>
      </c>
      <c r="K6" s="607">
        <v>87500</v>
      </c>
      <c r="L6" s="607">
        <v>87500</v>
      </c>
      <c r="M6" s="607">
        <v>87500</v>
      </c>
      <c r="N6" s="607">
        <v>187500</v>
      </c>
      <c r="O6" s="607">
        <v>187500</v>
      </c>
      <c r="P6" s="607">
        <v>187500</v>
      </c>
      <c r="Q6" s="607">
        <v>187500</v>
      </c>
      <c r="R6" s="540">
        <v>750000</v>
      </c>
      <c r="S6" s="540">
        <v>750000</v>
      </c>
      <c r="T6" s="540">
        <v>750000</v>
      </c>
      <c r="U6" s="540">
        <v>750000</v>
      </c>
      <c r="V6" s="540"/>
      <c r="W6" s="545"/>
      <c r="X6" s="545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</row>
    <row r="7" spans="1:49">
      <c r="A7" s="606" t="s">
        <v>1057</v>
      </c>
      <c r="B7" s="459" t="s">
        <v>12</v>
      </c>
      <c r="C7" s="460" t="s">
        <v>1026</v>
      </c>
      <c r="D7" s="475" t="s">
        <v>1058</v>
      </c>
      <c r="E7" s="540"/>
      <c r="F7" s="446"/>
      <c r="G7" s="446"/>
      <c r="H7" s="446"/>
      <c r="I7" s="446"/>
      <c r="J7" s="607">
        <v>46250</v>
      </c>
      <c r="K7" s="607">
        <v>46250</v>
      </c>
      <c r="L7" s="607">
        <v>46250</v>
      </c>
      <c r="M7" s="607">
        <v>46250</v>
      </c>
      <c r="N7" s="607">
        <v>46250</v>
      </c>
      <c r="O7" s="607">
        <v>46250</v>
      </c>
      <c r="P7" s="607">
        <v>46250</v>
      </c>
      <c r="Q7" s="607">
        <v>46250</v>
      </c>
      <c r="R7" s="540">
        <v>185000</v>
      </c>
      <c r="S7" s="540">
        <v>185000</v>
      </c>
      <c r="T7" s="540">
        <v>185000</v>
      </c>
      <c r="U7" s="540">
        <v>185000</v>
      </c>
      <c r="V7" s="540"/>
      <c r="W7" s="545"/>
      <c r="X7" s="545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</row>
    <row r="8" spans="1:49">
      <c r="A8" s="606" t="s">
        <v>1059</v>
      </c>
      <c r="B8" s="459" t="s">
        <v>12</v>
      </c>
      <c r="C8" s="460" t="s">
        <v>1026</v>
      </c>
      <c r="D8" s="475" t="s">
        <v>1060</v>
      </c>
      <c r="E8" s="540"/>
      <c r="F8" s="446"/>
      <c r="G8" s="446"/>
      <c r="H8" s="446"/>
      <c r="I8" s="446"/>
      <c r="J8" s="607">
        <v>27500</v>
      </c>
      <c r="K8" s="607">
        <v>27500</v>
      </c>
      <c r="L8" s="607">
        <v>27500</v>
      </c>
      <c r="M8" s="607">
        <v>27500</v>
      </c>
      <c r="N8" s="607">
        <v>28125</v>
      </c>
      <c r="O8" s="607">
        <v>28125</v>
      </c>
      <c r="P8" s="607">
        <v>28125</v>
      </c>
      <c r="Q8" s="607">
        <v>28125</v>
      </c>
      <c r="R8" s="540">
        <v>112500</v>
      </c>
      <c r="S8" s="540">
        <v>112500</v>
      </c>
      <c r="T8" s="540">
        <v>112500</v>
      </c>
      <c r="U8" s="540">
        <v>112500</v>
      </c>
      <c r="V8" s="540"/>
      <c r="W8" s="545"/>
      <c r="X8" s="545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</row>
    <row r="9" spans="1:49">
      <c r="A9" s="606" t="s">
        <v>1061</v>
      </c>
      <c r="B9" s="458" t="s">
        <v>12</v>
      </c>
      <c r="C9" s="458" t="s">
        <v>1026</v>
      </c>
      <c r="D9" s="458" t="s">
        <v>1062</v>
      </c>
      <c r="E9" s="540"/>
      <c r="F9" s="446"/>
      <c r="G9" s="446"/>
      <c r="H9" s="446"/>
      <c r="I9" s="446"/>
      <c r="J9" s="607">
        <v>62500</v>
      </c>
      <c r="K9" s="607">
        <v>62500</v>
      </c>
      <c r="L9" s="607">
        <v>62500</v>
      </c>
      <c r="M9" s="607">
        <v>62500</v>
      </c>
      <c r="N9" s="607">
        <v>65000</v>
      </c>
      <c r="O9" s="607">
        <v>65000</v>
      </c>
      <c r="P9" s="607">
        <v>65000</v>
      </c>
      <c r="Q9" s="607">
        <v>65000</v>
      </c>
      <c r="R9" s="540">
        <v>260000</v>
      </c>
      <c r="S9" s="540">
        <v>260000</v>
      </c>
      <c r="T9" s="540">
        <v>260000</v>
      </c>
      <c r="U9" s="540">
        <v>260000</v>
      </c>
      <c r="V9" s="540"/>
      <c r="W9" s="545"/>
      <c r="X9" s="545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</row>
    <row r="10" spans="1:49">
      <c r="A10" s="606" t="s">
        <v>1063</v>
      </c>
      <c r="B10" s="458" t="s">
        <v>12</v>
      </c>
      <c r="C10" s="458" t="s">
        <v>1026</v>
      </c>
      <c r="D10" s="458" t="s">
        <v>1064</v>
      </c>
      <c r="E10" s="540"/>
      <c r="F10" s="540"/>
      <c r="G10" s="540"/>
      <c r="H10" s="540"/>
      <c r="I10" s="540"/>
      <c r="J10" s="607">
        <v>43750</v>
      </c>
      <c r="K10" s="607">
        <v>43750</v>
      </c>
      <c r="L10" s="607">
        <v>43750</v>
      </c>
      <c r="M10" s="607">
        <v>0</v>
      </c>
      <c r="N10" s="607">
        <v>0</v>
      </c>
      <c r="O10" s="607">
        <v>0</v>
      </c>
      <c r="P10" s="607">
        <v>0</v>
      </c>
      <c r="Q10" s="607">
        <v>0</v>
      </c>
      <c r="R10" s="540">
        <v>0</v>
      </c>
      <c r="S10" s="540">
        <v>0</v>
      </c>
      <c r="T10" s="540">
        <v>0</v>
      </c>
      <c r="U10" s="540">
        <v>0</v>
      </c>
      <c r="V10" s="540"/>
      <c r="W10" s="545"/>
      <c r="X10" s="545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</row>
    <row r="11" spans="1:49">
      <c r="A11" s="606" t="s">
        <v>1065</v>
      </c>
      <c r="B11" s="458" t="s">
        <v>12</v>
      </c>
      <c r="C11" s="458" t="s">
        <v>1026</v>
      </c>
      <c r="D11" s="458" t="s">
        <v>1066</v>
      </c>
      <c r="E11" s="540"/>
      <c r="F11" s="446"/>
      <c r="G11" s="446"/>
      <c r="H11" s="446"/>
      <c r="I11" s="446"/>
      <c r="J11" s="607">
        <v>75000</v>
      </c>
      <c r="K11" s="607">
        <v>75000</v>
      </c>
      <c r="L11" s="607">
        <v>75000</v>
      </c>
      <c r="M11" s="607">
        <v>75000</v>
      </c>
      <c r="N11" s="607">
        <v>0</v>
      </c>
      <c r="O11" s="607">
        <v>0</v>
      </c>
      <c r="P11" s="607">
        <v>0</v>
      </c>
      <c r="Q11" s="607">
        <v>0</v>
      </c>
      <c r="R11" s="540">
        <v>0</v>
      </c>
      <c r="S11" s="540">
        <v>0</v>
      </c>
      <c r="T11" s="540">
        <v>0</v>
      </c>
      <c r="U11" s="540">
        <v>0</v>
      </c>
      <c r="V11" s="540"/>
      <c r="W11" s="545"/>
      <c r="X11" s="545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</row>
    <row r="12" spans="1:49">
      <c r="A12" s="606" t="s">
        <v>1067</v>
      </c>
      <c r="B12" s="458" t="s">
        <v>12</v>
      </c>
      <c r="C12" s="458" t="s">
        <v>1026</v>
      </c>
      <c r="D12" s="458" t="s">
        <v>1068</v>
      </c>
      <c r="E12" s="540"/>
      <c r="F12" s="624"/>
      <c r="G12" s="624"/>
      <c r="H12" s="624"/>
      <c r="I12" s="624"/>
      <c r="J12" s="607">
        <v>45000</v>
      </c>
      <c r="K12" s="607">
        <v>45000</v>
      </c>
      <c r="L12" s="607">
        <v>45000</v>
      </c>
      <c r="M12" s="607">
        <v>45000</v>
      </c>
      <c r="N12" s="607">
        <v>47500</v>
      </c>
      <c r="O12" s="607">
        <v>47500</v>
      </c>
      <c r="P12" s="607">
        <v>47500</v>
      </c>
      <c r="Q12" s="607">
        <v>47500</v>
      </c>
      <c r="R12" s="540">
        <v>190000</v>
      </c>
      <c r="S12" s="540">
        <v>190000</v>
      </c>
      <c r="T12" s="540">
        <v>190000</v>
      </c>
      <c r="U12" s="540">
        <v>190000</v>
      </c>
      <c r="V12" s="540"/>
      <c r="W12" s="545"/>
      <c r="X12" s="545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</row>
    <row r="13" spans="1:49">
      <c r="A13" s="606" t="s">
        <v>1069</v>
      </c>
      <c r="B13" s="458" t="s">
        <v>12</v>
      </c>
      <c r="C13" s="458" t="s">
        <v>1026</v>
      </c>
      <c r="D13" s="458" t="s">
        <v>1070</v>
      </c>
      <c r="E13" s="540"/>
      <c r="F13" s="624"/>
      <c r="G13" s="624"/>
      <c r="H13" s="624"/>
      <c r="I13" s="624"/>
      <c r="J13" s="607">
        <v>32500</v>
      </c>
      <c r="K13" s="607">
        <v>32500</v>
      </c>
      <c r="L13" s="607">
        <v>32500</v>
      </c>
      <c r="M13" s="607">
        <v>32500</v>
      </c>
      <c r="N13" s="607">
        <v>34375</v>
      </c>
      <c r="O13" s="607">
        <v>0</v>
      </c>
      <c r="P13" s="607">
        <v>0</v>
      </c>
      <c r="Q13" s="607">
        <v>0</v>
      </c>
      <c r="R13" s="540">
        <v>0</v>
      </c>
      <c r="S13" s="540">
        <v>0</v>
      </c>
      <c r="T13" s="540">
        <v>0</v>
      </c>
      <c r="U13" s="540">
        <v>0</v>
      </c>
      <c r="V13" s="540"/>
      <c r="W13" s="545"/>
      <c r="X13" s="545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</row>
    <row r="14" spans="1:49">
      <c r="A14" s="606" t="s">
        <v>1071</v>
      </c>
      <c r="B14" s="458" t="s">
        <v>12</v>
      </c>
      <c r="C14" s="458" t="s">
        <v>1026</v>
      </c>
      <c r="D14" s="458" t="s">
        <v>1072</v>
      </c>
      <c r="E14" s="540"/>
      <c r="F14" s="446"/>
      <c r="G14" s="446"/>
      <c r="H14" s="446"/>
      <c r="I14" s="446"/>
      <c r="J14" s="607">
        <v>0</v>
      </c>
      <c r="K14" s="607">
        <v>0</v>
      </c>
      <c r="L14" s="607">
        <v>0</v>
      </c>
      <c r="M14" s="607">
        <v>0</v>
      </c>
      <c r="N14" s="607">
        <v>0</v>
      </c>
      <c r="O14" s="607">
        <v>0</v>
      </c>
      <c r="P14" s="607">
        <v>34375</v>
      </c>
      <c r="Q14" s="607">
        <v>34375</v>
      </c>
      <c r="R14" s="540">
        <v>137500</v>
      </c>
      <c r="S14" s="540">
        <v>137500</v>
      </c>
      <c r="T14" s="540">
        <v>137500</v>
      </c>
      <c r="U14" s="540">
        <v>137500</v>
      </c>
      <c r="V14" s="540"/>
      <c r="W14" s="545"/>
      <c r="X14" s="545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</row>
    <row r="15" spans="1:49" s="30" customFormat="1">
      <c r="A15" s="606" t="s">
        <v>1073</v>
      </c>
      <c r="B15" s="548" t="s">
        <v>12</v>
      </c>
      <c r="C15" s="546" t="s">
        <v>1026</v>
      </c>
      <c r="D15" s="548" t="s">
        <v>1074</v>
      </c>
      <c r="E15" s="540"/>
      <c r="F15" s="446"/>
      <c r="G15" s="446"/>
      <c r="H15" s="446"/>
      <c r="I15" s="446"/>
      <c r="J15" s="607">
        <v>27500</v>
      </c>
      <c r="K15" s="607">
        <v>27500</v>
      </c>
      <c r="L15" s="607">
        <v>27500</v>
      </c>
      <c r="M15" s="607">
        <v>27500</v>
      </c>
      <c r="N15" s="607">
        <v>27500</v>
      </c>
      <c r="O15" s="618">
        <v>27500</v>
      </c>
      <c r="P15" s="618">
        <v>27500</v>
      </c>
      <c r="Q15" s="618">
        <v>27500</v>
      </c>
      <c r="R15" s="540">
        <v>110000</v>
      </c>
      <c r="S15" s="540">
        <v>110000</v>
      </c>
      <c r="T15" s="540">
        <v>110000</v>
      </c>
      <c r="U15" s="540">
        <v>110000</v>
      </c>
      <c r="V15" s="540"/>
      <c r="W15" s="545"/>
      <c r="X15" s="545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</row>
    <row r="16" spans="1:49" ht="14.65" customHeight="1">
      <c r="A16" s="606" t="s">
        <v>1075</v>
      </c>
      <c r="B16" s="458" t="s">
        <v>12</v>
      </c>
      <c r="C16" s="458" t="s">
        <v>1026</v>
      </c>
      <c r="D16" s="458" t="s">
        <v>1076</v>
      </c>
      <c r="E16" s="540"/>
      <c r="F16" s="446"/>
      <c r="G16" s="446"/>
      <c r="H16" s="446"/>
      <c r="I16" s="446"/>
      <c r="J16" s="607"/>
      <c r="K16" s="607"/>
      <c r="L16" s="607"/>
      <c r="M16" s="607"/>
      <c r="N16" s="607">
        <v>50000</v>
      </c>
      <c r="O16" s="618">
        <v>50000</v>
      </c>
      <c r="P16" s="618">
        <v>50000</v>
      </c>
      <c r="Q16" s="618">
        <v>50000</v>
      </c>
      <c r="R16" s="540">
        <v>200000</v>
      </c>
      <c r="S16" s="540">
        <v>200000</v>
      </c>
      <c r="T16" s="540">
        <v>200000</v>
      </c>
      <c r="U16" s="540">
        <v>200000</v>
      </c>
      <c r="V16" s="540"/>
      <c r="W16" s="545"/>
      <c r="X16" s="545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</row>
    <row r="17" spans="1:49" ht="14.65" customHeight="1">
      <c r="A17" s="615" t="s">
        <v>306</v>
      </c>
      <c r="B17" s="446"/>
      <c r="C17" s="446"/>
      <c r="D17" s="446"/>
      <c r="E17" s="540"/>
      <c r="F17" s="614"/>
      <c r="G17" s="614"/>
      <c r="H17" s="614"/>
      <c r="I17" s="614"/>
      <c r="J17" s="540">
        <f t="shared" ref="J17:U17" si="0">SUM(J6:J16)</f>
        <v>447500</v>
      </c>
      <c r="K17" s="540">
        <f t="shared" si="0"/>
        <v>447500</v>
      </c>
      <c r="L17" s="540">
        <f t="shared" si="0"/>
        <v>447500</v>
      </c>
      <c r="M17" s="540">
        <f t="shared" si="0"/>
        <v>403750</v>
      </c>
      <c r="N17" s="540">
        <f t="shared" si="0"/>
        <v>486250</v>
      </c>
      <c r="O17" s="540">
        <f t="shared" si="0"/>
        <v>451875</v>
      </c>
      <c r="P17" s="540">
        <f t="shared" si="0"/>
        <v>486250</v>
      </c>
      <c r="Q17" s="540">
        <f t="shared" si="0"/>
        <v>486250</v>
      </c>
      <c r="R17" s="540">
        <f t="shared" si="0"/>
        <v>1945000</v>
      </c>
      <c r="S17" s="540">
        <f t="shared" si="0"/>
        <v>1945000</v>
      </c>
      <c r="T17" s="540">
        <f t="shared" si="0"/>
        <v>1945000</v>
      </c>
      <c r="U17" s="540">
        <f t="shared" si="0"/>
        <v>1945000</v>
      </c>
      <c r="V17" s="540"/>
      <c r="W17" s="545"/>
      <c r="X17" s="545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</row>
    <row r="18" spans="1:49">
      <c r="A18" s="616"/>
      <c r="B18" s="446"/>
      <c r="C18" s="446"/>
      <c r="D18" s="446"/>
      <c r="E18" s="540"/>
      <c r="F18" s="614"/>
      <c r="G18" s="614"/>
      <c r="H18" s="614"/>
      <c r="I18" s="614"/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</row>
    <row r="19" spans="1:49" ht="14.65" customHeight="1">
      <c r="A19" s="546" t="s">
        <v>1038</v>
      </c>
      <c r="B19" s="446"/>
      <c r="C19" s="446"/>
      <c r="D19" s="446"/>
      <c r="E19" s="446"/>
      <c r="F19" s="540"/>
      <c r="G19" s="540"/>
      <c r="H19" s="540"/>
      <c r="I19" s="540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545"/>
      <c r="X19" s="545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</row>
    <row r="20" spans="1:49">
      <c r="A20" s="446" t="str">
        <f t="shared" ref="A20:A30" si="1">+A6</f>
        <v>HODS  (RB)</v>
      </c>
      <c r="B20" s="458" t="s">
        <v>12</v>
      </c>
      <c r="C20" s="458" t="s">
        <v>1039</v>
      </c>
      <c r="D20" s="458" t="s">
        <v>1056</v>
      </c>
      <c r="E20" s="491"/>
      <c r="F20" s="446"/>
      <c r="G20" s="446"/>
      <c r="H20" s="446"/>
      <c r="I20" s="446"/>
      <c r="J20" s="524">
        <v>0</v>
      </c>
      <c r="K20" s="524">
        <v>0</v>
      </c>
      <c r="L20" s="524">
        <v>0</v>
      </c>
      <c r="M20" s="524">
        <v>685000</v>
      </c>
      <c r="N20" s="524">
        <v>0</v>
      </c>
      <c r="O20" s="524">
        <v>0</v>
      </c>
      <c r="P20" s="524">
        <v>0</v>
      </c>
      <c r="Q20" s="524">
        <v>250000</v>
      </c>
      <c r="R20" s="505">
        <v>250000</v>
      </c>
      <c r="S20" s="505">
        <v>250000</v>
      </c>
      <c r="T20" s="505">
        <v>250000</v>
      </c>
      <c r="U20" s="505">
        <v>250000</v>
      </c>
      <c r="V20" s="491"/>
      <c r="W20" s="545"/>
      <c r="X20" s="545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</row>
    <row r="21" spans="1:49">
      <c r="A21" s="446" t="str">
        <f t="shared" si="1"/>
        <v>Project Executive  (LS) (100%)</v>
      </c>
      <c r="B21" s="458" t="s">
        <v>12</v>
      </c>
      <c r="C21" s="458" t="s">
        <v>1039</v>
      </c>
      <c r="D21" s="458" t="s">
        <v>1058</v>
      </c>
      <c r="E21" s="540"/>
      <c r="F21" s="491"/>
      <c r="G21" s="491"/>
      <c r="H21" s="491"/>
      <c r="I21" s="491"/>
      <c r="J21" s="524">
        <v>0</v>
      </c>
      <c r="K21" s="524">
        <v>0</v>
      </c>
      <c r="L21" s="524">
        <v>0</v>
      </c>
      <c r="M21" s="524">
        <v>20000</v>
      </c>
      <c r="N21" s="524">
        <v>0</v>
      </c>
      <c r="O21" s="524">
        <v>0</v>
      </c>
      <c r="P21" s="524">
        <v>0</v>
      </c>
      <c r="Q21" s="524">
        <v>15000</v>
      </c>
      <c r="R21" s="505">
        <v>15000</v>
      </c>
      <c r="S21" s="505">
        <v>15000</v>
      </c>
      <c r="T21" s="505">
        <v>15000</v>
      </c>
      <c r="U21" s="505">
        <v>15000</v>
      </c>
      <c r="V21" s="540"/>
      <c r="W21" s="545"/>
      <c r="X21" s="545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</row>
    <row r="22" spans="1:49">
      <c r="A22" s="446" t="str">
        <f t="shared" si="1"/>
        <v>Project Manager (BD) (100%)</v>
      </c>
      <c r="B22" s="458" t="s">
        <v>12</v>
      </c>
      <c r="C22" s="458" t="s">
        <v>1039</v>
      </c>
      <c r="D22" s="458" t="s">
        <v>1060</v>
      </c>
      <c r="E22" s="540"/>
      <c r="F22" s="540"/>
      <c r="G22" s="540"/>
      <c r="H22" s="540"/>
      <c r="I22" s="540"/>
      <c r="J22" s="524">
        <v>0</v>
      </c>
      <c r="K22" s="524">
        <v>0</v>
      </c>
      <c r="L22" s="524">
        <v>0</v>
      </c>
      <c r="M22" s="524">
        <v>17500</v>
      </c>
      <c r="N22" s="524">
        <v>0</v>
      </c>
      <c r="O22" s="524">
        <v>0</v>
      </c>
      <c r="P22" s="524">
        <v>0</v>
      </c>
      <c r="Q22" s="524">
        <v>15000</v>
      </c>
      <c r="R22" s="505">
        <v>15000</v>
      </c>
      <c r="S22" s="505">
        <v>15000</v>
      </c>
      <c r="T22" s="505">
        <v>15000</v>
      </c>
      <c r="U22" s="505">
        <v>15000</v>
      </c>
      <c r="V22" s="540"/>
      <c r="W22" s="545"/>
      <c r="X22" s="545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</row>
    <row r="23" spans="1:49">
      <c r="A23" s="446" t="str">
        <f t="shared" si="1"/>
        <v>Counsel (KT)</v>
      </c>
      <c r="B23" s="458" t="s">
        <v>12</v>
      </c>
      <c r="C23" s="458" t="s">
        <v>1039</v>
      </c>
      <c r="D23" s="458" t="s">
        <v>1062</v>
      </c>
      <c r="E23" s="540"/>
      <c r="F23" s="540"/>
      <c r="G23" s="540"/>
      <c r="H23" s="540"/>
      <c r="I23" s="540"/>
      <c r="J23" s="524">
        <v>0</v>
      </c>
      <c r="K23" s="524">
        <v>0</v>
      </c>
      <c r="L23" s="524">
        <v>0</v>
      </c>
      <c r="M23" s="524">
        <v>230000</v>
      </c>
      <c r="N23" s="524">
        <v>0</v>
      </c>
      <c r="O23" s="524">
        <v>0</v>
      </c>
      <c r="P23" s="524">
        <v>0</v>
      </c>
      <c r="Q23" s="524">
        <v>125000</v>
      </c>
      <c r="R23" s="505">
        <v>125000</v>
      </c>
      <c r="S23" s="505">
        <v>125000</v>
      </c>
      <c r="T23" s="505">
        <v>125000</v>
      </c>
      <c r="U23" s="505">
        <v>125000</v>
      </c>
      <c r="V23" s="540"/>
      <c r="W23" s="545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</row>
    <row r="24" spans="1:49">
      <c r="A24" s="446" t="str">
        <f t="shared" si="1"/>
        <v>Development Manager??? (alexi?)</v>
      </c>
      <c r="B24" s="458" t="s">
        <v>12</v>
      </c>
      <c r="C24" s="458" t="s">
        <v>1039</v>
      </c>
      <c r="D24" s="458" t="s">
        <v>1064</v>
      </c>
      <c r="E24" s="540"/>
      <c r="F24" s="540"/>
      <c r="G24" s="540"/>
      <c r="H24" s="540"/>
      <c r="I24" s="540"/>
      <c r="J24" s="524">
        <v>0</v>
      </c>
      <c r="K24" s="524">
        <v>0</v>
      </c>
      <c r="L24" s="524">
        <v>0</v>
      </c>
      <c r="M24" s="524">
        <v>0</v>
      </c>
      <c r="N24" s="524">
        <v>0</v>
      </c>
      <c r="O24" s="524">
        <v>0</v>
      </c>
      <c r="P24" s="524">
        <v>0</v>
      </c>
      <c r="Q24" s="524">
        <v>0</v>
      </c>
      <c r="R24" s="505">
        <v>0</v>
      </c>
      <c r="S24" s="505">
        <v>0</v>
      </c>
      <c r="T24" s="505">
        <v>0</v>
      </c>
      <c r="U24" s="505">
        <v>0</v>
      </c>
      <c r="V24" s="540"/>
      <c r="W24" s="545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</row>
    <row r="25" spans="1:49">
      <c r="A25" s="446" t="str">
        <f t="shared" si="1"/>
        <v>Banker (tBD)</v>
      </c>
      <c r="B25" s="458" t="s">
        <v>12</v>
      </c>
      <c r="C25" s="458" t="s">
        <v>1039</v>
      </c>
      <c r="D25" s="458" t="s">
        <v>1066</v>
      </c>
      <c r="E25" s="540"/>
      <c r="F25" s="540"/>
      <c r="G25" s="540"/>
      <c r="H25" s="540"/>
      <c r="I25" s="540"/>
      <c r="J25" s="524">
        <v>0</v>
      </c>
      <c r="K25" s="524">
        <v>0</v>
      </c>
      <c r="L25" s="524">
        <v>0</v>
      </c>
      <c r="M25" s="524">
        <v>50000</v>
      </c>
      <c r="N25" s="524">
        <v>0</v>
      </c>
      <c r="O25" s="524">
        <v>0</v>
      </c>
      <c r="P25" s="524">
        <v>0</v>
      </c>
      <c r="Q25" s="524">
        <v>100000</v>
      </c>
      <c r="R25" s="505">
        <v>0</v>
      </c>
      <c r="S25" s="505">
        <v>0</v>
      </c>
      <c r="T25" s="505">
        <v>0</v>
      </c>
      <c r="U25" s="505">
        <v>0</v>
      </c>
      <c r="V25" s="540"/>
      <c r="W25" s="545"/>
      <c r="X25" s="545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</row>
    <row r="26" spans="1:49">
      <c r="A26" s="446" t="str">
        <f t="shared" si="1"/>
        <v>Senior Design Manager (AM)</v>
      </c>
      <c r="B26" s="458" t="s">
        <v>12</v>
      </c>
      <c r="C26" s="458" t="s">
        <v>1039</v>
      </c>
      <c r="D26" s="458" t="s">
        <v>1068</v>
      </c>
      <c r="E26" s="540"/>
      <c r="F26" s="540"/>
      <c r="G26" s="540"/>
      <c r="H26" s="540"/>
      <c r="I26" s="540"/>
      <c r="J26" s="524"/>
      <c r="K26" s="524"/>
      <c r="L26" s="524"/>
      <c r="M26" s="524">
        <v>65000</v>
      </c>
      <c r="N26" s="524">
        <v>0</v>
      </c>
      <c r="O26" s="524">
        <v>0</v>
      </c>
      <c r="P26" s="524">
        <v>0</v>
      </c>
      <c r="Q26" s="524">
        <v>55000</v>
      </c>
      <c r="R26" s="505">
        <v>55000</v>
      </c>
      <c r="S26" s="505">
        <v>55000</v>
      </c>
      <c r="T26" s="505">
        <v>55000</v>
      </c>
      <c r="U26" s="505">
        <v>55000</v>
      </c>
      <c r="V26" s="540"/>
      <c r="W26" s="545"/>
      <c r="X26" s="545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</row>
    <row r="27" spans="1:49">
      <c r="A27" s="446" t="str">
        <f t="shared" si="1"/>
        <v>Design Manager (AL) (gone)</v>
      </c>
      <c r="B27" s="458" t="s">
        <v>12</v>
      </c>
      <c r="C27" s="458" t="s">
        <v>1039</v>
      </c>
      <c r="D27" s="458" t="s">
        <v>1070</v>
      </c>
      <c r="E27" s="540"/>
      <c r="F27" s="540"/>
      <c r="G27" s="540"/>
      <c r="H27" s="540"/>
      <c r="I27" s="540"/>
      <c r="J27" s="524">
        <v>0</v>
      </c>
      <c r="K27" s="524">
        <v>0</v>
      </c>
      <c r="L27" s="524">
        <v>0</v>
      </c>
      <c r="M27" s="524">
        <v>25000</v>
      </c>
      <c r="N27" s="524">
        <v>0</v>
      </c>
      <c r="O27" s="524">
        <v>0</v>
      </c>
      <c r="P27" s="524">
        <v>0</v>
      </c>
      <c r="Q27" s="524">
        <v>0</v>
      </c>
      <c r="R27" s="505">
        <v>0</v>
      </c>
      <c r="S27" s="505">
        <v>0</v>
      </c>
      <c r="T27" s="505">
        <v>0</v>
      </c>
      <c r="U27" s="505">
        <v>0</v>
      </c>
      <c r="V27" s="540"/>
      <c r="W27" s="545"/>
      <c r="X27" s="545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</row>
    <row r="28" spans="1:49">
      <c r="A28" s="446" t="str">
        <f t="shared" si="1"/>
        <v>new design manager (TBD)</v>
      </c>
      <c r="B28" s="458" t="s">
        <v>12</v>
      </c>
      <c r="C28" s="458" t="s">
        <v>1039</v>
      </c>
      <c r="D28" s="458" t="s">
        <v>1072</v>
      </c>
      <c r="E28" s="540"/>
      <c r="F28" s="540"/>
      <c r="G28" s="540"/>
      <c r="H28" s="540"/>
      <c r="I28" s="540"/>
      <c r="J28" s="524">
        <v>0</v>
      </c>
      <c r="K28" s="524">
        <v>0</v>
      </c>
      <c r="L28" s="524">
        <v>0</v>
      </c>
      <c r="M28" s="524">
        <v>0</v>
      </c>
      <c r="N28" s="524">
        <v>0</v>
      </c>
      <c r="O28" s="524">
        <v>0</v>
      </c>
      <c r="P28" s="524">
        <v>0</v>
      </c>
      <c r="Q28" s="524">
        <v>11250</v>
      </c>
      <c r="R28" s="505">
        <v>22500</v>
      </c>
      <c r="S28" s="505">
        <v>22500</v>
      </c>
      <c r="T28" s="505">
        <v>22500</v>
      </c>
      <c r="U28" s="505">
        <v>22500</v>
      </c>
      <c r="V28" s="540"/>
      <c r="W28" s="545"/>
      <c r="X28" s="545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</row>
    <row r="29" spans="1:49" ht="14.65" customHeight="1">
      <c r="A29" s="446" t="str">
        <f t="shared" si="1"/>
        <v>FF&amp;E (SB)</v>
      </c>
      <c r="B29" s="458" t="s">
        <v>12</v>
      </c>
      <c r="C29" s="458" t="s">
        <v>1039</v>
      </c>
      <c r="D29" s="458" t="s">
        <v>1074</v>
      </c>
      <c r="E29" s="540"/>
      <c r="F29" s="540"/>
      <c r="G29" s="540"/>
      <c r="H29" s="540"/>
      <c r="I29" s="540"/>
      <c r="J29" s="524">
        <v>0</v>
      </c>
      <c r="K29" s="524">
        <v>0</v>
      </c>
      <c r="L29" s="524">
        <v>0</v>
      </c>
      <c r="M29" s="524">
        <v>0</v>
      </c>
      <c r="N29" s="524">
        <v>0</v>
      </c>
      <c r="O29" s="524">
        <v>0</v>
      </c>
      <c r="P29" s="524">
        <v>0</v>
      </c>
      <c r="Q29" s="524">
        <v>15000</v>
      </c>
      <c r="R29" s="505">
        <v>15000</v>
      </c>
      <c r="S29" s="505">
        <v>15000</v>
      </c>
      <c r="T29" s="505">
        <v>15000</v>
      </c>
      <c r="U29" s="505">
        <v>15000</v>
      </c>
      <c r="V29" s="540"/>
      <c r="W29" s="545"/>
      <c r="X29" s="545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</row>
    <row r="30" spans="1:49" ht="15" customHeight="1">
      <c r="A30" s="446" t="str">
        <f t="shared" si="1"/>
        <v>Senior Financial Analyst (KS)</v>
      </c>
      <c r="B30" s="458" t="s">
        <v>12</v>
      </c>
      <c r="C30" s="458" t="s">
        <v>1039</v>
      </c>
      <c r="D30" s="458" t="s">
        <v>1076</v>
      </c>
      <c r="E30" s="540"/>
      <c r="F30" s="540"/>
      <c r="G30" s="540"/>
      <c r="H30" s="540"/>
      <c r="I30" s="540"/>
      <c r="J30" s="524">
        <v>0</v>
      </c>
      <c r="K30" s="524">
        <v>0</v>
      </c>
      <c r="L30" s="524">
        <v>0</v>
      </c>
      <c r="M30" s="524">
        <v>50000</v>
      </c>
      <c r="N30" s="524"/>
      <c r="O30" s="524"/>
      <c r="P30" s="524"/>
      <c r="Q30" s="524">
        <v>50000</v>
      </c>
      <c r="R30" s="505">
        <v>50000</v>
      </c>
      <c r="S30" s="505">
        <v>50000</v>
      </c>
      <c r="T30" s="505">
        <v>50000</v>
      </c>
      <c r="U30" s="505">
        <v>50000</v>
      </c>
      <c r="V30" s="540"/>
      <c r="W30" s="545"/>
      <c r="X30" s="545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</row>
    <row r="31" spans="1:49" ht="14.65" customHeight="1">
      <c r="A31" s="615" t="s">
        <v>306</v>
      </c>
      <c r="B31" s="446"/>
      <c r="C31" s="446"/>
      <c r="D31" s="446"/>
      <c r="E31" s="540"/>
      <c r="F31" s="540"/>
      <c r="G31" s="540"/>
      <c r="H31" s="540"/>
      <c r="I31" s="540"/>
      <c r="J31" s="505">
        <v>0</v>
      </c>
      <c r="K31" s="505">
        <v>0</v>
      </c>
      <c r="L31" s="505">
        <v>0</v>
      </c>
      <c r="M31" s="505">
        <v>1142500</v>
      </c>
      <c r="N31" s="505">
        <v>0</v>
      </c>
      <c r="O31" s="505">
        <v>0</v>
      </c>
      <c r="P31" s="505">
        <v>0</v>
      </c>
      <c r="Q31" s="505">
        <v>897500</v>
      </c>
      <c r="R31" s="505">
        <v>797500</v>
      </c>
      <c r="S31" s="505">
        <v>797500</v>
      </c>
      <c r="T31" s="505">
        <v>797500</v>
      </c>
      <c r="U31" s="505">
        <v>797500</v>
      </c>
      <c r="V31" s="540"/>
      <c r="W31" s="545"/>
      <c r="X31" s="545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</row>
    <row r="32" spans="1:49">
      <c r="A32" s="616"/>
      <c r="B32" s="446"/>
      <c r="C32" s="446"/>
      <c r="D32" s="446"/>
      <c r="E32" s="540"/>
      <c r="F32" s="540"/>
      <c r="G32" s="540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65"/>
      <c r="W32" s="545"/>
      <c r="X32" s="545"/>
      <c r="Y32" s="446"/>
      <c r="Z32" s="446"/>
      <c r="AA32" s="446"/>
      <c r="AB32" s="446"/>
      <c r="AC32" s="446"/>
      <c r="AD32" s="446"/>
      <c r="AE32" s="446"/>
      <c r="AF32" s="446"/>
      <c r="AG32" s="446"/>
      <c r="AH32" s="581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</row>
    <row r="33" spans="1:49" ht="14.65" customHeight="1">
      <c r="A33" s="546" t="s">
        <v>1054</v>
      </c>
      <c r="B33" s="446"/>
      <c r="C33" s="446"/>
      <c r="D33" s="446"/>
      <c r="E33" s="446"/>
      <c r="F33" s="614"/>
      <c r="G33" s="614"/>
      <c r="H33" s="614"/>
      <c r="I33" s="614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545"/>
      <c r="X33" s="545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</row>
    <row r="34" spans="1:49">
      <c r="A34" s="446" t="str">
        <f t="shared" ref="A34:A44" si="2">+A6</f>
        <v>HODS  (RB)</v>
      </c>
      <c r="B34" s="458" t="s">
        <v>36</v>
      </c>
      <c r="C34" s="458" t="s">
        <v>1040</v>
      </c>
      <c r="D34" s="458" t="s">
        <v>1056</v>
      </c>
      <c r="E34" s="544"/>
      <c r="F34" s="540"/>
      <c r="G34" s="540"/>
      <c r="H34" s="540"/>
      <c r="I34" s="540"/>
      <c r="J34" s="617">
        <f>+J6*(1+'.c12_inputs.hr'!$E$15)+(J20*(1+'.c12_inputs.hr'!$E$16))</f>
        <v>100799.99999999999</v>
      </c>
      <c r="K34" s="617">
        <f>+K6*(1+'.c12_inputs.hr'!$E$15)+(K20*(1+'.c12_inputs.hr'!$E$16))</f>
        <v>100799.99999999999</v>
      </c>
      <c r="L34" s="617">
        <f>+L6*(1+'.c12_inputs.hr'!$E$15)+(L20*(1+'.c12_inputs.hr'!$E$16))</f>
        <v>100799.99999999999</v>
      </c>
      <c r="M34" s="617">
        <f>+M6*(1+'.c12_inputs.hr'!$E$15)+(M20*(1+'.c12_inputs.hr'!$E$16))</f>
        <v>812515</v>
      </c>
      <c r="N34" s="617">
        <f>+N6*(1+'.c12_inputs.hr'!$E$15)+(N20*(1+'.c12_inputs.hr'!$E$16))</f>
        <v>215999.99999999997</v>
      </c>
      <c r="O34" s="617">
        <f>+O6*(1+'.c12_inputs.hr'!$E$15)+(O20*(1+'.c12_inputs.hr'!$E$16))</f>
        <v>215999.99999999997</v>
      </c>
      <c r="P34" s="617">
        <f>+P6*(1+'.c12_inputs.hr'!$E$15)+(P20*(1+'.c12_inputs.hr'!$E$16))</f>
        <v>215999.99999999997</v>
      </c>
      <c r="Q34" s="617">
        <f>+Q6*(1+'.c12_inputs.hr'!$E$15)+(Q20*(1+'.c12_inputs.hr'!$E$16))</f>
        <v>475749.99999999994</v>
      </c>
      <c r="R34" s="544">
        <f>+R6*(1+'.c12_inputs.hr'!$E$15)+(R20*(1+'.c12_inputs.hr'!$E$16))</f>
        <v>1123749.9999999998</v>
      </c>
      <c r="S34" s="544">
        <f>+S6*(1+'.c12_inputs.hr'!$E$15)+(S20*(1+'.c12_inputs.hr'!$E$16))</f>
        <v>1123749.9999999998</v>
      </c>
      <c r="T34" s="544">
        <f>+T6*(1+'.c12_inputs.hr'!$E$15)+(T20*(1+'.c12_inputs.hr'!$E$16))</f>
        <v>1123749.9999999998</v>
      </c>
      <c r="U34" s="544">
        <f>+U6*(1+'.c12_inputs.hr'!$E$15)+(U20*(1+'.c12_inputs.hr'!$E$16))</f>
        <v>1123749.9999999998</v>
      </c>
      <c r="V34" s="544"/>
      <c r="W34" s="544"/>
      <c r="X34" s="545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</row>
    <row r="35" spans="1:49">
      <c r="A35" s="446" t="str">
        <f t="shared" si="2"/>
        <v>Project Executive  (LS) (100%)</v>
      </c>
      <c r="B35" s="458" t="s">
        <v>36</v>
      </c>
      <c r="C35" s="458" t="s">
        <v>1040</v>
      </c>
      <c r="D35" s="458" t="s">
        <v>1058</v>
      </c>
      <c r="E35" s="544"/>
      <c r="F35" s="446"/>
      <c r="G35" s="446"/>
      <c r="H35" s="446"/>
      <c r="I35" s="446"/>
      <c r="J35" s="617">
        <f>+J7*(1+'.c12_inputs.hr'!$E$15)+(J21*(1+'.c12_inputs.hr'!$E$16))</f>
        <v>53279.999999999993</v>
      </c>
      <c r="K35" s="617">
        <f>+K7*(1+'.c12_inputs.hr'!$E$15)+(K21*(1+'.c12_inputs.hr'!$E$16))</f>
        <v>53279.999999999993</v>
      </c>
      <c r="L35" s="617">
        <f>+L7*(1+'.c12_inputs.hr'!$E$15)+(L21*(1+'.c12_inputs.hr'!$E$16))</f>
        <v>53279.999999999993</v>
      </c>
      <c r="M35" s="617">
        <f>+M7*(1+'.c12_inputs.hr'!$E$15)+(M21*(1+'.c12_inputs.hr'!$E$16))</f>
        <v>74060</v>
      </c>
      <c r="N35" s="617">
        <f>+N7*(1+'.c12_inputs.hr'!$E$15)+(N21*(1+'.c12_inputs.hr'!$E$16))</f>
        <v>53279.999999999993</v>
      </c>
      <c r="O35" s="617">
        <f>+O7*(1+'.c12_inputs.hr'!$E$15)+(O21*(1+'.c12_inputs.hr'!$E$16))</f>
        <v>53279.999999999993</v>
      </c>
      <c r="P35" s="617">
        <f>+P7*(1+'.c12_inputs.hr'!$E$15)+(P21*(1+'.c12_inputs.hr'!$E$16))</f>
        <v>53279.999999999993</v>
      </c>
      <c r="Q35" s="617">
        <f>+Q7*(1+'.c12_inputs.hr'!$E$15)+(Q21*(1+'.c12_inputs.hr'!$E$16))</f>
        <v>68864.999999999985</v>
      </c>
      <c r="R35" s="544">
        <f>+R7*(1+'.c12_inputs.hr'!$E$15)+(R21*(1+'.c12_inputs.hr'!$E$16))</f>
        <v>228704.99999999997</v>
      </c>
      <c r="S35" s="544">
        <f>+S7*(1+'.c12_inputs.hr'!$E$15)+(S21*(1+'.c12_inputs.hr'!$E$16))</f>
        <v>228704.99999999997</v>
      </c>
      <c r="T35" s="544">
        <f>+T7*(1+'.c12_inputs.hr'!$E$15)+(T21*(1+'.c12_inputs.hr'!$E$16))</f>
        <v>228704.99999999997</v>
      </c>
      <c r="U35" s="544">
        <f>+U7*(1+'.c12_inputs.hr'!$E$15)+(U21*(1+'.c12_inputs.hr'!$E$16))</f>
        <v>228704.99999999997</v>
      </c>
      <c r="V35" s="544"/>
      <c r="W35" s="544"/>
      <c r="X35" s="545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</row>
    <row r="36" spans="1:49">
      <c r="A36" s="446" t="str">
        <f t="shared" si="2"/>
        <v>Project Manager (BD) (100%)</v>
      </c>
      <c r="B36" s="458" t="s">
        <v>36</v>
      </c>
      <c r="C36" s="458" t="s">
        <v>1040</v>
      </c>
      <c r="D36" s="458" t="s">
        <v>1060</v>
      </c>
      <c r="E36" s="544"/>
      <c r="F36" s="544"/>
      <c r="G36" s="544"/>
      <c r="H36" s="544"/>
      <c r="I36" s="544"/>
      <c r="J36" s="617">
        <f>+J8*(1+'.c12_inputs.hr'!$E$15)+(J22*(1+'.c12_inputs.hr'!$E$16))</f>
        <v>31679.999999999996</v>
      </c>
      <c r="K36" s="617">
        <f>+K8*(1+'.c12_inputs.hr'!$E$15)+(K22*(1+'.c12_inputs.hr'!$E$16))</f>
        <v>31679.999999999996</v>
      </c>
      <c r="L36" s="617">
        <f>+L8*(1+'.c12_inputs.hr'!$E$15)+(L22*(1+'.c12_inputs.hr'!$E$16))</f>
        <v>31679.999999999996</v>
      </c>
      <c r="M36" s="617">
        <f>+M8*(1+'.c12_inputs.hr'!$E$15)+(M22*(1+'.c12_inputs.hr'!$E$16))</f>
        <v>49862.5</v>
      </c>
      <c r="N36" s="617">
        <f>+N8*(1+'.c12_inputs.hr'!$E$15)+(N22*(1+'.c12_inputs.hr'!$E$16))</f>
        <v>32399.999999999996</v>
      </c>
      <c r="O36" s="617">
        <f>+O8*(1+'.c12_inputs.hr'!$E$15)+(O22*(1+'.c12_inputs.hr'!$E$16))</f>
        <v>32399.999999999996</v>
      </c>
      <c r="P36" s="617">
        <f>+P8*(1+'.c12_inputs.hr'!$E$15)+(P22*(1+'.c12_inputs.hr'!$E$16))</f>
        <v>32399.999999999996</v>
      </c>
      <c r="Q36" s="617">
        <f>+Q8*(1+'.c12_inputs.hr'!$E$15)+(Q22*(1+'.c12_inputs.hr'!$E$16))</f>
        <v>47984.999999999993</v>
      </c>
      <c r="R36" s="544">
        <f>+R8*(1+'.c12_inputs.hr'!$E$15)+(R22*(1+'.c12_inputs.hr'!$E$16))</f>
        <v>145184.99999999997</v>
      </c>
      <c r="S36" s="544">
        <f>+S8*(1+'.c12_inputs.hr'!$E$15)+(S22*(1+'.c12_inputs.hr'!$E$16))</f>
        <v>145184.99999999997</v>
      </c>
      <c r="T36" s="544">
        <f>+T8*(1+'.c12_inputs.hr'!$E$15)+(T22*(1+'.c12_inputs.hr'!$E$16))</f>
        <v>145184.99999999997</v>
      </c>
      <c r="U36" s="544">
        <f>+U8*(1+'.c12_inputs.hr'!$E$15)+(U22*(1+'.c12_inputs.hr'!$E$16))</f>
        <v>145184.99999999997</v>
      </c>
      <c r="V36" s="544"/>
      <c r="W36" s="544"/>
      <c r="X36" s="545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</row>
    <row r="37" spans="1:49">
      <c r="A37" s="446" t="str">
        <f t="shared" si="2"/>
        <v>Counsel (KT)</v>
      </c>
      <c r="B37" s="458" t="s">
        <v>36</v>
      </c>
      <c r="C37" s="458" t="s">
        <v>1040</v>
      </c>
      <c r="D37" s="458" t="s">
        <v>1062</v>
      </c>
      <c r="E37" s="544"/>
      <c r="F37" s="544"/>
      <c r="G37" s="544"/>
      <c r="H37" s="544"/>
      <c r="I37" s="544"/>
      <c r="J37" s="617">
        <f>+J9*(1+'.c12_inputs.hr'!$E$15)+(J23*(1+'.c12_inputs.hr'!$E$16))</f>
        <v>72000</v>
      </c>
      <c r="K37" s="617">
        <f>+K9*(1+'.c12_inputs.hr'!$E$15)+(K23*(1+'.c12_inputs.hr'!$E$16))</f>
        <v>72000</v>
      </c>
      <c r="L37" s="617">
        <f>+L9*(1+'.c12_inputs.hr'!$E$15)+(L23*(1+'.c12_inputs.hr'!$E$16))</f>
        <v>72000</v>
      </c>
      <c r="M37" s="617">
        <f>+M9*(1+'.c12_inputs.hr'!$E$15)+(M23*(1+'.c12_inputs.hr'!$E$16))</f>
        <v>310970</v>
      </c>
      <c r="N37" s="617">
        <f>+N9*(1+'.c12_inputs.hr'!$E$15)+(N23*(1+'.c12_inputs.hr'!$E$16))</f>
        <v>74880</v>
      </c>
      <c r="O37" s="617">
        <f>+O9*(1+'.c12_inputs.hr'!$E$15)+(O23*(1+'.c12_inputs.hr'!$E$16))</f>
        <v>74880</v>
      </c>
      <c r="P37" s="617">
        <f>+P9*(1+'.c12_inputs.hr'!$E$15)+(P23*(1+'.c12_inputs.hr'!$E$16))</f>
        <v>74880</v>
      </c>
      <c r="Q37" s="617">
        <f>+Q9*(1+'.c12_inputs.hr'!$E$15)+(Q23*(1+'.c12_inputs.hr'!$E$16))</f>
        <v>204755</v>
      </c>
      <c r="R37" s="544">
        <f>+R9*(1+'.c12_inputs.hr'!$E$15)+(R23*(1+'.c12_inputs.hr'!$E$16))</f>
        <v>429395</v>
      </c>
      <c r="S37" s="544">
        <f>+S9*(1+'.c12_inputs.hr'!$E$15)+(S23*(1+'.c12_inputs.hr'!$E$16))</f>
        <v>429395</v>
      </c>
      <c r="T37" s="544">
        <f>+T9*(1+'.c12_inputs.hr'!$E$15)+(T23*(1+'.c12_inputs.hr'!$E$16))</f>
        <v>429395</v>
      </c>
      <c r="U37" s="544">
        <f>+U9*(1+'.c12_inputs.hr'!$E$15)+(U23*(1+'.c12_inputs.hr'!$E$16))</f>
        <v>429395</v>
      </c>
      <c r="V37" s="544"/>
      <c r="W37" s="544"/>
      <c r="X37" s="545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</row>
    <row r="38" spans="1:49">
      <c r="A38" s="446" t="str">
        <f t="shared" si="2"/>
        <v>Development Manager??? (alexi?)</v>
      </c>
      <c r="B38" s="458" t="s">
        <v>36</v>
      </c>
      <c r="C38" s="458" t="s">
        <v>1040</v>
      </c>
      <c r="D38" s="458" t="s">
        <v>1064</v>
      </c>
      <c r="E38" s="544"/>
      <c r="F38" s="544"/>
      <c r="G38" s="544"/>
      <c r="H38" s="544"/>
      <c r="I38" s="544"/>
      <c r="J38" s="617">
        <f>+J10*(1+'.c12_inputs.hr'!$E$15)+(J24*(1+'.c12_inputs.hr'!$E$16))</f>
        <v>50399.999999999993</v>
      </c>
      <c r="K38" s="617">
        <f>+K10*(1+'.c12_inputs.hr'!$E$15)+(K24*(1+'.c12_inputs.hr'!$E$16))</f>
        <v>50399.999999999993</v>
      </c>
      <c r="L38" s="617">
        <f>+L10*(1+'.c12_inputs.hr'!$E$15)+(L24*(1+'.c12_inputs.hr'!$E$16))</f>
        <v>50399.999999999993</v>
      </c>
      <c r="M38" s="617">
        <f>+M10*(1+'.c12_inputs.hr'!$E$15)+(M24*(1+'.c12_inputs.hr'!$E$16))</f>
        <v>0</v>
      </c>
      <c r="N38" s="617">
        <f>+N10*(1+'.c12_inputs.hr'!$E$15)+(N24*(1+'.c12_inputs.hr'!$E$16))</f>
        <v>0</v>
      </c>
      <c r="O38" s="617">
        <f>+O10*(1+'.c12_inputs.hr'!$E$15)+(O24*(1+'.c12_inputs.hr'!$E$16))</f>
        <v>0</v>
      </c>
      <c r="P38" s="617">
        <f>+P10*(1+'.c12_inputs.hr'!$E$15)+(P24*(1+'.c12_inputs.hr'!$E$16))</f>
        <v>0</v>
      </c>
      <c r="Q38" s="617">
        <f>+Q10*(1+'.c12_inputs.hr'!$E$15)+(Q24*(1+'.c12_inputs.hr'!$E$16))</f>
        <v>0</v>
      </c>
      <c r="R38" s="544">
        <f>+R10*(1+'.c12_inputs.hr'!$E$15)+(R24*(1+'.c12_inputs.hr'!$E$16))</f>
        <v>0</v>
      </c>
      <c r="S38" s="544">
        <f>+S10*(1+'.c12_inputs.hr'!$E$15)+(S24*(1+'.c12_inputs.hr'!$E$16))</f>
        <v>0</v>
      </c>
      <c r="T38" s="544">
        <f>+T10*(1+'.c12_inputs.hr'!$E$15)+(T24*(1+'.c12_inputs.hr'!$E$16))</f>
        <v>0</v>
      </c>
      <c r="U38" s="544">
        <f>+U10*(1+'.c12_inputs.hr'!$E$15)+(U24*(1+'.c12_inputs.hr'!$E$16))</f>
        <v>0</v>
      </c>
      <c r="V38" s="544"/>
      <c r="W38" s="544"/>
      <c r="X38" s="545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</row>
    <row r="39" spans="1:49">
      <c r="A39" s="446" t="str">
        <f t="shared" si="2"/>
        <v>Banker (tBD)</v>
      </c>
      <c r="B39" s="458" t="s">
        <v>36</v>
      </c>
      <c r="C39" s="458" t="s">
        <v>1040</v>
      </c>
      <c r="D39" s="458" t="s">
        <v>1066</v>
      </c>
      <c r="E39" s="544"/>
      <c r="F39" s="544"/>
      <c r="G39" s="544"/>
      <c r="H39" s="544"/>
      <c r="I39" s="544"/>
      <c r="J39" s="617">
        <f>+J11*(1+'.c12_inputs.hr'!$E$15)+(J25*(1+'.c12_inputs.hr'!$E$16))</f>
        <v>86400</v>
      </c>
      <c r="K39" s="617">
        <f>+K11*(1+'.c12_inputs.hr'!$E$15)+(K25*(1+'.c12_inputs.hr'!$E$16))</f>
        <v>86400</v>
      </c>
      <c r="L39" s="617">
        <f>+L11*(1+'.c12_inputs.hr'!$E$15)+(L25*(1+'.c12_inputs.hr'!$E$16))</f>
        <v>86400</v>
      </c>
      <c r="M39" s="617">
        <f>+M11*(1+'.c12_inputs.hr'!$E$15)+(M25*(1+'.c12_inputs.hr'!$E$16))</f>
        <v>138350</v>
      </c>
      <c r="N39" s="617">
        <f>+N11*(1+'.c12_inputs.hr'!$E$15)+(N25*(1+'.c12_inputs.hr'!$E$16))</f>
        <v>0</v>
      </c>
      <c r="O39" s="617">
        <f>+O11*(1+'.c12_inputs.hr'!$E$15)+(O25*(1+'.c12_inputs.hr'!$E$16))</f>
        <v>0</v>
      </c>
      <c r="P39" s="617">
        <f>+P11*(1+'.c12_inputs.hr'!$E$15)+(P25*(1+'.c12_inputs.hr'!$E$16))</f>
        <v>0</v>
      </c>
      <c r="Q39" s="617">
        <f>+Q11*(1+'.c12_inputs.hr'!$E$15)+(Q25*(1+'.c12_inputs.hr'!$E$16))</f>
        <v>103899.99999999999</v>
      </c>
      <c r="R39" s="544">
        <f>+R11*(1+'.c12_inputs.hr'!$E$15)+(R25*(1+'.c12_inputs.hr'!$E$16))</f>
        <v>0</v>
      </c>
      <c r="S39" s="544">
        <f>+S11*(1+'.c12_inputs.hr'!$E$15)+(S25*(1+'.c12_inputs.hr'!$E$16))</f>
        <v>0</v>
      </c>
      <c r="T39" s="544">
        <f>+T11*(1+'.c12_inputs.hr'!$E$15)+(T25*(1+'.c12_inputs.hr'!$E$16))</f>
        <v>0</v>
      </c>
      <c r="U39" s="544">
        <f>+U11*(1+'.c12_inputs.hr'!$E$15)+(U25*(1+'.c12_inputs.hr'!$E$16))</f>
        <v>0</v>
      </c>
      <c r="V39" s="544"/>
      <c r="W39" s="544"/>
      <c r="X39" s="545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</row>
    <row r="40" spans="1:49">
      <c r="A40" s="446" t="str">
        <f t="shared" si="2"/>
        <v>Senior Design Manager (AM)</v>
      </c>
      <c r="B40" s="458" t="s">
        <v>36</v>
      </c>
      <c r="C40" s="458" t="s">
        <v>1040</v>
      </c>
      <c r="D40" s="458" t="s">
        <v>1068</v>
      </c>
      <c r="E40" s="544"/>
      <c r="F40" s="544"/>
      <c r="G40" s="544"/>
      <c r="H40" s="544"/>
      <c r="I40" s="544"/>
      <c r="J40" s="617">
        <f>+J12*(1+'.c12_inputs.hr'!$E$15)+(J26*(1+'.c12_inputs.hr'!$E$16))</f>
        <v>51839.999999999993</v>
      </c>
      <c r="K40" s="617">
        <f>+K12*(1+'.c12_inputs.hr'!$E$15)+(K26*(1+'.c12_inputs.hr'!$E$16))</f>
        <v>51839.999999999993</v>
      </c>
      <c r="L40" s="617">
        <f>+L12*(1+'.c12_inputs.hr'!$E$15)+(L26*(1+'.c12_inputs.hr'!$E$16))</f>
        <v>51839.999999999993</v>
      </c>
      <c r="M40" s="617">
        <f>+M12*(1+'.c12_inputs.hr'!$E$15)+(M26*(1+'.c12_inputs.hr'!$E$16))</f>
        <v>119375</v>
      </c>
      <c r="N40" s="617">
        <f>+N12*(1+'.c12_inputs.hr'!$E$15)+(N26*(1+'.c12_inputs.hr'!$E$16))</f>
        <v>54719.999999999993</v>
      </c>
      <c r="O40" s="617">
        <f>+O12*(1+'.c12_inputs.hr'!$E$15)+(O26*(1+'.c12_inputs.hr'!$E$16))</f>
        <v>54719.999999999993</v>
      </c>
      <c r="P40" s="617">
        <f>+P12*(1+'.c12_inputs.hr'!$E$15)+(P26*(1+'.c12_inputs.hr'!$E$16))</f>
        <v>54719.999999999993</v>
      </c>
      <c r="Q40" s="617">
        <f>+Q12*(1+'.c12_inputs.hr'!$E$15)+(Q26*(1+'.c12_inputs.hr'!$E$16))</f>
        <v>111864.99999999999</v>
      </c>
      <c r="R40" s="544">
        <f>+R12*(1+'.c12_inputs.hr'!$E$15)+(R26*(1+'.c12_inputs.hr'!$E$16))</f>
        <v>276024.99999999994</v>
      </c>
      <c r="S40" s="544">
        <f>+S12*(1+'.c12_inputs.hr'!$E$15)+(S26*(1+'.c12_inputs.hr'!$E$16))</f>
        <v>276024.99999999994</v>
      </c>
      <c r="T40" s="544">
        <f>+T12*(1+'.c12_inputs.hr'!$E$15)+(T26*(1+'.c12_inputs.hr'!$E$16))</f>
        <v>276024.99999999994</v>
      </c>
      <c r="U40" s="544">
        <f>+U12*(1+'.c12_inputs.hr'!$E$15)+(U26*(1+'.c12_inputs.hr'!$E$16))</f>
        <v>276024.99999999994</v>
      </c>
      <c r="V40" s="544"/>
      <c r="W40" s="544"/>
      <c r="X40" s="545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</row>
    <row r="41" spans="1:49">
      <c r="A41" s="446" t="str">
        <f t="shared" si="2"/>
        <v>Design Manager (AL) (gone)</v>
      </c>
      <c r="B41" s="458" t="s">
        <v>36</v>
      </c>
      <c r="C41" s="458" t="s">
        <v>1040</v>
      </c>
      <c r="D41" s="458" t="s">
        <v>1070</v>
      </c>
      <c r="E41" s="544"/>
      <c r="F41" s="540"/>
      <c r="G41" s="540"/>
      <c r="H41" s="540"/>
      <c r="I41" s="540"/>
      <c r="J41" s="617">
        <f>+J13*(1+'.c12_inputs.hr'!$E$15)+(J27*(1+'.c12_inputs.hr'!$E$16))</f>
        <v>37440</v>
      </c>
      <c r="K41" s="617">
        <f>+K13*(1+'.c12_inputs.hr'!$E$15)+(K27*(1+'.c12_inputs.hr'!$E$16))</f>
        <v>37440</v>
      </c>
      <c r="L41" s="617">
        <f>+L13*(1+'.c12_inputs.hr'!$E$15)+(L27*(1+'.c12_inputs.hr'!$E$16))</f>
        <v>37440</v>
      </c>
      <c r="M41" s="617">
        <f>+M13*(1+'.c12_inputs.hr'!$E$15)+(M27*(1+'.c12_inputs.hr'!$E$16))</f>
        <v>63415</v>
      </c>
      <c r="N41" s="617">
        <f>+N13*(1+'.c12_inputs.hr'!$E$15)+(N27*(1+'.c12_inputs.hr'!$E$16))</f>
        <v>39600</v>
      </c>
      <c r="O41" s="617">
        <f>+O13*(1+'.c12_inputs.hr'!$E$15)+(O27*(1+'.c12_inputs.hr'!$E$16))</f>
        <v>0</v>
      </c>
      <c r="P41" s="617">
        <f>+P13*(1+'.c12_inputs.hr'!$E$15)+(P27*(1+'.c12_inputs.hr'!$E$16))</f>
        <v>0</v>
      </c>
      <c r="Q41" s="617">
        <f>+Q13*(1+'.c12_inputs.hr'!$E$15)+(Q27*(1+'.c12_inputs.hr'!$E$16))</f>
        <v>0</v>
      </c>
      <c r="R41" s="544">
        <f>+R13*(1+'.c12_inputs.hr'!$E$15)+(R27*(1+'.c12_inputs.hr'!$E$16))</f>
        <v>0</v>
      </c>
      <c r="S41" s="544">
        <f>+S13*(1+'.c12_inputs.hr'!$E$15)+(S27*(1+'.c12_inputs.hr'!$E$16))</f>
        <v>0</v>
      </c>
      <c r="T41" s="544">
        <f>+T13*(1+'.c12_inputs.hr'!$E$15)+(T27*(1+'.c12_inputs.hr'!$E$16))</f>
        <v>0</v>
      </c>
      <c r="U41" s="544">
        <f>+U13*(1+'.c12_inputs.hr'!$E$15)+(U27*(1+'.c12_inputs.hr'!$E$16))</f>
        <v>0</v>
      </c>
      <c r="V41" s="544"/>
      <c r="W41" s="544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</row>
    <row r="42" spans="1:49">
      <c r="A42" s="446" t="str">
        <f t="shared" si="2"/>
        <v>new design manager (TBD)</v>
      </c>
      <c r="B42" s="458" t="s">
        <v>36</v>
      </c>
      <c r="C42" s="458" t="s">
        <v>1040</v>
      </c>
      <c r="D42" s="458" t="s">
        <v>1072</v>
      </c>
      <c r="E42" s="544"/>
      <c r="F42" s="544"/>
      <c r="G42" s="544"/>
      <c r="H42" s="544"/>
      <c r="I42" s="544"/>
      <c r="J42" s="617">
        <f>+J14*(1+'.c12_inputs.hr'!$E$15)+(J28*(1+'.c12_inputs.hr'!$E$16))</f>
        <v>0</v>
      </c>
      <c r="K42" s="617">
        <f>+K14*(1+'.c12_inputs.hr'!$E$15)+(K28*(1+'.c12_inputs.hr'!$E$16))</f>
        <v>0</v>
      </c>
      <c r="L42" s="617">
        <f>+L14*(1+'.c12_inputs.hr'!$E$15)+(L28*(1+'.c12_inputs.hr'!$E$16))</f>
        <v>0</v>
      </c>
      <c r="M42" s="617">
        <f>+M14*(1+'.c12_inputs.hr'!$E$15)+(M28*(1+'.c12_inputs.hr'!$E$16))</f>
        <v>0</v>
      </c>
      <c r="N42" s="617">
        <f>+N14*(1+'.c12_inputs.hr'!$E$15)+(N28*(1+'.c12_inputs.hr'!$E$16))</f>
        <v>0</v>
      </c>
      <c r="O42" s="617">
        <f>+O14*(1+'.c12_inputs.hr'!$E$15)+(O28*(1+'.c12_inputs.hr'!$E$16))</f>
        <v>0</v>
      </c>
      <c r="P42" s="617">
        <f>+P14*(1+'.c12_inputs.hr'!$E$15)+(P28*(1+'.c12_inputs.hr'!$E$16))</f>
        <v>39600</v>
      </c>
      <c r="Q42" s="617">
        <f>+Q14*(1+'.c12_inputs.hr'!$E$15)+(Q28*(1+'.c12_inputs.hr'!$E$16))</f>
        <v>51288.75</v>
      </c>
      <c r="R42" s="544">
        <f>+R14*(1+'.c12_inputs.hr'!$E$15)+(R28*(1+'.c12_inputs.hr'!$E$16))</f>
        <v>181777.5</v>
      </c>
      <c r="S42" s="544">
        <f>+S14*(1+'.c12_inputs.hr'!$E$15)+(S28*(1+'.c12_inputs.hr'!$E$16))</f>
        <v>181777.5</v>
      </c>
      <c r="T42" s="544">
        <f>+T14*(1+'.c12_inputs.hr'!$E$15)+(T28*(1+'.c12_inputs.hr'!$E$16))</f>
        <v>181777.5</v>
      </c>
      <c r="U42" s="544">
        <f>+U14*(1+'.c12_inputs.hr'!$E$15)+(U28*(1+'.c12_inputs.hr'!$E$16))</f>
        <v>181777.5</v>
      </c>
      <c r="V42" s="544"/>
      <c r="W42" s="544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</row>
    <row r="43" spans="1:49">
      <c r="A43" s="446" t="str">
        <f t="shared" si="2"/>
        <v>FF&amp;E (SB)</v>
      </c>
      <c r="B43" s="458" t="s">
        <v>36</v>
      </c>
      <c r="C43" s="458" t="s">
        <v>1040</v>
      </c>
      <c r="D43" s="458" t="s">
        <v>1074</v>
      </c>
      <c r="E43" s="544"/>
      <c r="F43" s="544"/>
      <c r="G43" s="544"/>
      <c r="H43" s="544"/>
      <c r="I43" s="544"/>
      <c r="J43" s="617">
        <f>+J15*(1+'.c12_inputs.hr'!$E$15)+(J29*(1+'.c12_inputs.hr'!$E$16))</f>
        <v>31679.999999999996</v>
      </c>
      <c r="K43" s="617">
        <f>+K15*(1+'.c12_inputs.hr'!$E$15)+(K29*(1+'.c12_inputs.hr'!$E$16))</f>
        <v>31679.999999999996</v>
      </c>
      <c r="L43" s="617">
        <f>+L15*(1+'.c12_inputs.hr'!$E$15)+(L29*(1+'.c12_inputs.hr'!$E$16))</f>
        <v>31679.999999999996</v>
      </c>
      <c r="M43" s="617">
        <f>+M15*(1+'.c12_inputs.hr'!$E$15)+(M29*(1+'.c12_inputs.hr'!$E$16))</f>
        <v>31679.999999999996</v>
      </c>
      <c r="N43" s="617">
        <f>+N15*(1+'.c12_inputs.hr'!$E$15)+(N29*(1+'.c12_inputs.hr'!$E$16))</f>
        <v>31679.999999999996</v>
      </c>
      <c r="O43" s="617">
        <f>+O15*(1+'.c12_inputs.hr'!$E$15)+(O29*(1+'.c12_inputs.hr'!$E$16))</f>
        <v>31679.999999999996</v>
      </c>
      <c r="P43" s="617">
        <f>+P15*(1+'.c12_inputs.hr'!$E$15)+(P29*(1+'.c12_inputs.hr'!$E$16))</f>
        <v>31679.999999999996</v>
      </c>
      <c r="Q43" s="617">
        <f>+Q15*(1+'.c12_inputs.hr'!$E$15)+(Q29*(1+'.c12_inputs.hr'!$E$16))</f>
        <v>47264.999999999993</v>
      </c>
      <c r="R43" s="544">
        <f>+R15*(1+'.c12_inputs.hr'!$E$15)+(R29*(1+'.c12_inputs.hr'!$E$16))</f>
        <v>142304.99999999997</v>
      </c>
      <c r="S43" s="544">
        <f>+S15*(1+'.c12_inputs.hr'!$E$15)+(S29*(1+'.c12_inputs.hr'!$E$16))</f>
        <v>142304.99999999997</v>
      </c>
      <c r="T43" s="544">
        <f>+T15*(1+'.c12_inputs.hr'!$E$15)+(T29*(1+'.c12_inputs.hr'!$E$16))</f>
        <v>142304.99999999997</v>
      </c>
      <c r="U43" s="544">
        <f>+U15*(1+'.c12_inputs.hr'!$E$15)+(U29*(1+'.c12_inputs.hr'!$E$16))</f>
        <v>142304.99999999997</v>
      </c>
      <c r="V43" s="544"/>
      <c r="W43" s="544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</row>
    <row r="44" spans="1:49" ht="14.65" customHeight="1">
      <c r="A44" s="446" t="str">
        <f t="shared" si="2"/>
        <v>Senior Financial Analyst (KS)</v>
      </c>
      <c r="B44" s="458" t="s">
        <v>36</v>
      </c>
      <c r="C44" s="458" t="s">
        <v>1040</v>
      </c>
      <c r="D44" s="458" t="s">
        <v>1076</v>
      </c>
      <c r="E44" s="544"/>
      <c r="F44" s="544"/>
      <c r="G44" s="544"/>
      <c r="H44" s="544"/>
      <c r="I44" s="544"/>
      <c r="J44" s="617">
        <f>+J16*(1+'.c12_inputs.hr'!$E$15)+(J30*(1+'.c12_inputs.hr'!$E$16))</f>
        <v>0</v>
      </c>
      <c r="K44" s="617">
        <f>+K16*(1+'.c12_inputs.hr'!$E$15)+(K30*(1+'.c12_inputs.hr'!$E$16))</f>
        <v>0</v>
      </c>
      <c r="L44" s="617">
        <f>+L16*(1+'.c12_inputs.hr'!$E$15)+(L30*(1+'.c12_inputs.hr'!$E$16))</f>
        <v>0</v>
      </c>
      <c r="M44" s="617">
        <f>+M16*(1+'.c12_inputs.hr'!$E$15)+(M30*(1+'.c12_inputs.hr'!$E$16))</f>
        <v>51949.999999999993</v>
      </c>
      <c r="N44" s="617">
        <f>+N16*(1+'.c12_inputs.hr'!$E$15)+(N30*(1+'.c12_inputs.hr'!$E$16))</f>
        <v>57599.999999999993</v>
      </c>
      <c r="O44" s="617">
        <f>+O16*(1+'.c12_inputs.hr'!$E$15)+(O30*(1+'.c12_inputs.hr'!$E$16))</f>
        <v>57599.999999999993</v>
      </c>
      <c r="P44" s="617">
        <f>+P16*(1+'.c12_inputs.hr'!$E$15)+(P30*(1+'.c12_inputs.hr'!$E$16))</f>
        <v>57599.999999999993</v>
      </c>
      <c r="Q44" s="617">
        <f>+Q16*(1+'.c12_inputs.hr'!$E$15)+(Q30*(1+'.c12_inputs.hr'!$E$16))</f>
        <v>109549.99999999999</v>
      </c>
      <c r="R44" s="544">
        <f>+R16*(1+'.c12_inputs.hr'!$E$15)+(R30*(1+'.c12_inputs.hr'!$E$16))</f>
        <v>282349.99999999994</v>
      </c>
      <c r="S44" s="544">
        <f>+S16*(1+'.c12_inputs.hr'!$E$15)+(S30*(1+'.c12_inputs.hr'!$E$16))</f>
        <v>282349.99999999994</v>
      </c>
      <c r="T44" s="544">
        <f>+T16*(1+'.c12_inputs.hr'!$E$15)+(T30*(1+'.c12_inputs.hr'!$E$16))</f>
        <v>282349.99999999994</v>
      </c>
      <c r="U44" s="544">
        <f>+U16*(1+'.c12_inputs.hr'!$E$15)+(U30*(1+'.c12_inputs.hr'!$E$16))</f>
        <v>282349.99999999994</v>
      </c>
      <c r="V44" s="544"/>
      <c r="W44" s="544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</row>
    <row r="45" spans="1:49" ht="14.65" customHeight="1">
      <c r="A45" s="615" t="s">
        <v>100</v>
      </c>
      <c r="B45" s="458" t="s">
        <v>36</v>
      </c>
      <c r="C45" s="458" t="s">
        <v>101</v>
      </c>
      <c r="D45" s="446"/>
      <c r="E45" s="544"/>
      <c r="F45" s="544"/>
      <c r="G45" s="544"/>
      <c r="H45" s="544"/>
      <c r="I45" s="544"/>
      <c r="J45" s="617">
        <f t="shared" ref="J45:U45" si="3">SUM(J34:J44)</f>
        <v>515519.99999999994</v>
      </c>
      <c r="K45" s="617">
        <f t="shared" si="3"/>
        <v>515519.99999999994</v>
      </c>
      <c r="L45" s="617">
        <f t="shared" si="3"/>
        <v>515519.99999999994</v>
      </c>
      <c r="M45" s="617">
        <f t="shared" si="3"/>
        <v>1652177.5</v>
      </c>
      <c r="N45" s="617">
        <f t="shared" si="3"/>
        <v>560159.99999999988</v>
      </c>
      <c r="O45" s="617">
        <f t="shared" si="3"/>
        <v>520559.99999999994</v>
      </c>
      <c r="P45" s="617">
        <f t="shared" si="3"/>
        <v>560159.99999999988</v>
      </c>
      <c r="Q45" s="617">
        <f t="shared" si="3"/>
        <v>1221223.75</v>
      </c>
      <c r="R45" s="544">
        <f t="shared" si="3"/>
        <v>2809492.4999999995</v>
      </c>
      <c r="S45" s="544">
        <f t="shared" si="3"/>
        <v>2809492.4999999995</v>
      </c>
      <c r="T45" s="544">
        <f t="shared" si="3"/>
        <v>2809492.4999999995</v>
      </c>
      <c r="U45" s="544">
        <f t="shared" si="3"/>
        <v>2809492.4999999995</v>
      </c>
      <c r="V45" s="544"/>
      <c r="W45" s="545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</row>
    <row r="46" spans="1:49">
      <c r="A46" s="486" t="s">
        <v>102</v>
      </c>
      <c r="B46" s="458" t="s">
        <v>36</v>
      </c>
      <c r="C46" s="458" t="s">
        <v>103</v>
      </c>
      <c r="D46" s="446"/>
      <c r="E46" s="565"/>
      <c r="F46" s="544"/>
      <c r="G46" s="544"/>
      <c r="H46" s="544"/>
      <c r="I46" s="544"/>
      <c r="J46" s="573">
        <f>SUMPRODUCT('.c12_alloc'!$H$25:$H$35,'.c12_d&amp;s_hr'!J$34:J$44)</f>
        <v>84959.999999999985</v>
      </c>
      <c r="K46" s="573">
        <f>SUMPRODUCT('.c12_alloc'!$H$25:$H$35,'.c12_d&amp;s_hr'!K$34:K$44)</f>
        <v>84959.999999999985</v>
      </c>
      <c r="L46" s="573">
        <f>SUMPRODUCT('.c12_alloc'!$H$25:$H$35,'.c12_d&amp;s_hr'!L$34:L$44)</f>
        <v>84959.999999999985</v>
      </c>
      <c r="M46" s="573">
        <f>SUMPRODUCT('.c12_alloc'!$H$25:$H$35,'.c12_d&amp;s_hr'!M$34:M$44)</f>
        <v>123922.5</v>
      </c>
      <c r="N46" s="573">
        <f>SUMPRODUCT('.c12_alloc'!$H$25:$H$35,'.c12_d&amp;s_hr'!N$34:N$44)</f>
        <v>85679.999999999985</v>
      </c>
      <c r="O46" s="573">
        <f>SUMPRODUCT('.c12_alloc'!$H$25:$H$35,'.c12_d&amp;s_hr'!O$34:O$44)</f>
        <v>85679.999999999985</v>
      </c>
      <c r="P46" s="573">
        <f>SUMPRODUCT('.c12_alloc'!$H$25:$H$35,'.c12_d&amp;s_hr'!P$34:P$44)</f>
        <v>85679.999999999985</v>
      </c>
      <c r="Q46" s="573">
        <f>SUMPRODUCT('.c12_alloc'!$H$25:$H$35,'.c12_d&amp;s_hr'!Q$34:Q$44)</f>
        <v>116849.99999999997</v>
      </c>
      <c r="R46" s="565">
        <f>SUMPRODUCT('.c12_alloc'!$H$25:$H$35,'.c12_d&amp;s_hr'!R$34:R$44)</f>
        <v>373889.99999999994</v>
      </c>
      <c r="S46" s="565">
        <f>SUMPRODUCT('.c12_alloc'!$H$25:$H$35,'.c12_d&amp;s_hr'!S$34:S$44)</f>
        <v>373889.99999999994</v>
      </c>
      <c r="T46" s="565">
        <f>SUMPRODUCT('.c12_alloc'!$H$25:$H$35,'.c12_d&amp;s_hr'!T$34:T$44)</f>
        <v>373889.99999999994</v>
      </c>
      <c r="U46" s="565">
        <f>SUMPRODUCT('.c12_alloc'!$H$25:$H$35,'.c12_d&amp;s_hr'!U$34:U$44)</f>
        <v>373889.99999999994</v>
      </c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</row>
    <row r="47" spans="1:49">
      <c r="A47" s="486" t="s">
        <v>104</v>
      </c>
      <c r="B47" s="458" t="s">
        <v>36</v>
      </c>
      <c r="C47" s="458" t="s">
        <v>105</v>
      </c>
      <c r="D47" s="446"/>
      <c r="E47" s="565"/>
      <c r="F47" s="544"/>
      <c r="G47" s="544"/>
      <c r="H47" s="544"/>
      <c r="I47" s="544"/>
      <c r="J47" s="573">
        <f>SUMPRODUCT('.c12_alloc'!$G$25:$G$35,'.c12_d&amp;s_hr'!J$34:J$44)</f>
        <v>430560</v>
      </c>
      <c r="K47" s="573">
        <f>SUMPRODUCT('.c12_alloc'!$G$25:$G$35,'.c12_d&amp;s_hr'!K$34:K$44)</f>
        <v>430560</v>
      </c>
      <c r="L47" s="573">
        <f>SUMPRODUCT('.c12_alloc'!$G$25:$G$35,'.c12_d&amp;s_hr'!L$34:L$44)</f>
        <v>430560</v>
      </c>
      <c r="M47" s="573">
        <f>SUMPRODUCT('.c12_alloc'!$G$25:$G$35,'.c12_d&amp;s_hr'!M$34:M$44)</f>
        <v>1528255</v>
      </c>
      <c r="N47" s="573">
        <f>SUMPRODUCT('.c12_alloc'!$G$25:$G$35,'.c12_d&amp;s_hr'!N$34:N$44)</f>
        <v>474480</v>
      </c>
      <c r="O47" s="573">
        <f>SUMPRODUCT('.c12_alloc'!$G$25:$G$35,'.c12_d&amp;s_hr'!O$34:O$44)</f>
        <v>434880</v>
      </c>
      <c r="P47" s="573">
        <f>SUMPRODUCT('.c12_alloc'!$G$25:$G$35,'.c12_d&amp;s_hr'!P$34:P$44)</f>
        <v>474480</v>
      </c>
      <c r="Q47" s="573">
        <f>SUMPRODUCT('.c12_alloc'!$G$25:$G$35,'.c12_d&amp;s_hr'!Q$34:Q$44)</f>
        <v>1104373.75</v>
      </c>
      <c r="R47" s="565">
        <f>SUMPRODUCT('.c12_alloc'!$G$25:$G$35,'.c12_d&amp;s_hr'!R$34:R$44)</f>
        <v>2435602.4999999995</v>
      </c>
      <c r="S47" s="565">
        <f>SUMPRODUCT('.c12_alloc'!$G$25:$G$35,'.c12_d&amp;s_hr'!S$34:S$44)</f>
        <v>2435602.4999999995</v>
      </c>
      <c r="T47" s="565">
        <f>SUMPRODUCT('.c12_alloc'!$G$25:$G$35,'.c12_d&amp;s_hr'!T$34:T$44)</f>
        <v>2435602.4999999995</v>
      </c>
      <c r="U47" s="565">
        <f>SUMPRODUCT('.c12_alloc'!$G$25:$G$35,'.c12_d&amp;s_hr'!U$34:U$44)</f>
        <v>2435602.4999999995</v>
      </c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</row>
    <row r="48" spans="1:49">
      <c r="A48" s="486" t="s">
        <v>106</v>
      </c>
      <c r="B48" s="458" t="s">
        <v>36</v>
      </c>
      <c r="C48" s="458" t="s">
        <v>107</v>
      </c>
      <c r="D48" s="446"/>
      <c r="E48" s="565"/>
      <c r="F48" s="544"/>
      <c r="G48" s="544"/>
      <c r="H48" s="544"/>
      <c r="I48" s="544"/>
      <c r="J48" s="573">
        <f>SUMPRODUCT('.c12_alloc'!$E$25:$E$35,'.c12_d&amp;s_hr'!J$34:J$44)</f>
        <v>0</v>
      </c>
      <c r="K48" s="573">
        <f>SUMPRODUCT('.c12_alloc'!$E$25:$E$35,'.c12_d&amp;s_hr'!K$34:K$44)</f>
        <v>0</v>
      </c>
      <c r="L48" s="573">
        <f>SUMPRODUCT('.c12_alloc'!$E$25:$E$35,'.c12_d&amp;s_hr'!L$34:L$44)</f>
        <v>0</v>
      </c>
      <c r="M48" s="573">
        <f>SUMPRODUCT('.c12_alloc'!$E$25:$E$35,'.c12_d&amp;s_hr'!M$34:M$44)</f>
        <v>0</v>
      </c>
      <c r="N48" s="573">
        <f>SUMPRODUCT('.c12_alloc'!$E$25:$E$35,'.c12_d&amp;s_hr'!N$34:N$44)</f>
        <v>0</v>
      </c>
      <c r="O48" s="573">
        <f>SUMPRODUCT('.c12_alloc'!$E$25:$E$35,'.c12_d&amp;s_hr'!O$34:O$44)</f>
        <v>0</v>
      </c>
      <c r="P48" s="573">
        <f>SUMPRODUCT('.c12_alloc'!$E$25:$E$35,'.c12_d&amp;s_hr'!P$34:P$44)</f>
        <v>0</v>
      </c>
      <c r="Q48" s="573">
        <f>SUMPRODUCT('.c12_alloc'!$E$25:$E$35,'.c12_d&amp;s_hr'!Q$34:Q$44)</f>
        <v>0</v>
      </c>
      <c r="R48" s="565">
        <f>SUMPRODUCT('.c12_alloc'!$E$25:$E$35,'.c12_d&amp;s_hr'!R$34:R$44)</f>
        <v>0</v>
      </c>
      <c r="S48" s="565">
        <f>SUMPRODUCT('.c12_alloc'!$E$25:$E$35,'.c12_d&amp;s_hr'!S$34:S$44)</f>
        <v>0</v>
      </c>
      <c r="T48" s="565">
        <f>SUMPRODUCT('.c12_alloc'!$E$25:$E$35,'.c12_d&amp;s_hr'!T$34:T$44)</f>
        <v>0</v>
      </c>
      <c r="U48" s="565">
        <f>SUMPRODUCT('.c12_alloc'!$E$25:$E$35,'.c12_d&amp;s_hr'!U$34:U$44)</f>
        <v>0</v>
      </c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</row>
    <row r="49" spans="1:49">
      <c r="A49" s="446"/>
      <c r="B49" s="446"/>
      <c r="C49" s="446"/>
      <c r="D49" s="446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</row>
    <row r="50" spans="1:49">
      <c r="A50" s="446"/>
      <c r="B50" s="446"/>
      <c r="C50" s="446"/>
      <c r="D50" s="446"/>
      <c r="E50" s="565"/>
      <c r="F50" s="565"/>
      <c r="G50" s="565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U50" s="565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</row>
    <row r="51" spans="1:49">
      <c r="A51" s="446"/>
      <c r="B51" s="446"/>
      <c r="C51" s="446"/>
      <c r="D51" s="446"/>
      <c r="E51" s="446"/>
      <c r="F51" s="565"/>
      <c r="G51" s="565"/>
      <c r="H51" s="565"/>
      <c r="I51" s="565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</row>
    <row r="52" spans="1:49">
      <c r="A52" s="446"/>
      <c r="B52" s="446"/>
      <c r="C52" s="446"/>
      <c r="D52" s="446"/>
      <c r="E52" s="446"/>
      <c r="F52" s="565"/>
      <c r="G52" s="565"/>
      <c r="H52" s="565"/>
      <c r="I52" s="565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</row>
    <row r="53" spans="1:49">
      <c r="A53" s="446"/>
      <c r="B53" s="446"/>
      <c r="C53" s="446"/>
      <c r="D53" s="446"/>
      <c r="E53" s="446"/>
      <c r="F53" s="565"/>
      <c r="G53" s="565"/>
      <c r="H53" s="565"/>
      <c r="I53" s="565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</row>
    <row r="54" spans="1:49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</row>
    <row r="55" spans="1:49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</row>
    <row r="56" spans="1:49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</row>
    <row r="57" spans="1:49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</row>
    <row r="58" spans="1:49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</row>
    <row r="59" spans="1:49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</row>
    <row r="60" spans="1:49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</row>
    <row r="61" spans="1:49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</row>
    <row r="62" spans="1:49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</row>
    <row r="63" spans="1:49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</row>
    <row r="64" spans="1:49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</row>
    <row r="65" spans="1:49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</row>
    <row r="66" spans="1:49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</row>
    <row r="67" spans="1:49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</row>
    <row r="68" spans="1:49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</row>
    <row r="69" spans="1:49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</row>
    <row r="70" spans="1:49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</row>
    <row r="71" spans="1:49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</row>
    <row r="72" spans="1:49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</row>
    <row r="73" spans="1:49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</row>
    <row r="74" spans="1:49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</row>
    <row r="75" spans="1:49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</row>
    <row r="76" spans="1:49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</row>
    <row r="77" spans="1:49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</row>
    <row r="78" spans="1:49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</row>
    <row r="79" spans="1:49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</row>
    <row r="80" spans="1:49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</row>
    <row r="81" spans="1:49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</row>
    <row r="82" spans="1:49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</row>
    <row r="83" spans="1:49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</row>
    <row r="84" spans="1:49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</row>
    <row r="85" spans="1:49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</row>
    <row r="86" spans="1:49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</row>
    <row r="87" spans="1:49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</row>
    <row r="88" spans="1:49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</row>
    <row r="89" spans="1:49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</row>
    <row r="90" spans="1:49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</row>
    <row r="91" spans="1:49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</row>
    <row r="92" spans="1:49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</row>
    <row r="93" spans="1:49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</row>
    <row r="94" spans="1:49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</row>
    <row r="95" spans="1:49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</row>
    <row r="96" spans="1:49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</row>
    <row r="97" spans="1:49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</row>
    <row r="98" spans="1:49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</row>
    <row r="99" spans="1:49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</row>
    <row r="100" spans="1:49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</row>
    <row r="101" spans="1:49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</row>
    <row r="102" spans="1:49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</row>
    <row r="103" spans="1:49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</row>
    <row r="104" spans="1:49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</row>
    <row r="105" spans="1:49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</row>
    <row r="106" spans="1:49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</row>
    <row r="107" spans="1:49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</row>
    <row r="108" spans="1:49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</row>
    <row r="109" spans="1:49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</row>
    <row r="110" spans="1:49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</row>
    <row r="111" spans="1:49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</row>
    <row r="112" spans="1:49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</row>
    <row r="113" spans="1:49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</row>
    <row r="114" spans="1:49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</row>
    <row r="115" spans="1:49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</row>
    <row r="116" spans="1:49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</row>
    <row r="117" spans="1:49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</row>
    <row r="118" spans="1:49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</row>
    <row r="119" spans="1:49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</row>
    <row r="120" spans="1:49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</row>
    <row r="121" spans="1:49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</row>
    <row r="122" spans="1:49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</row>
    <row r="123" spans="1:49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</row>
    <row r="124" spans="1:49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</row>
    <row r="125" spans="1:49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</row>
    <row r="126" spans="1:49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</row>
    <row r="127" spans="1:49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</row>
    <row r="128" spans="1:49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</row>
    <row r="129" spans="1:49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</row>
    <row r="130" spans="1:49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</row>
    <row r="131" spans="1:49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</row>
    <row r="132" spans="1:49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</row>
    <row r="133" spans="1:49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</row>
    <row r="134" spans="1:49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</row>
    <row r="135" spans="1:49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</row>
    <row r="136" spans="1:49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</row>
    <row r="137" spans="1:49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</row>
    <row r="138" spans="1:49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</row>
    <row r="139" spans="1:49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</row>
    <row r="140" spans="1:49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</row>
    <row r="141" spans="1:49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</row>
    <row r="142" spans="1:49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</row>
    <row r="143" spans="1:49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</row>
    <row r="144" spans="1:49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</row>
    <row r="145" spans="1:49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</row>
    <row r="146" spans="1:49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</row>
    <row r="147" spans="1:49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</row>
    <row r="148" spans="1:49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</row>
    <row r="149" spans="1:49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BI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42.08984375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1.7265625" style="636" customWidth="1"/>
    <col min="10" max="13" width="11.7265625" customWidth="1"/>
    <col min="14" max="14" width="12" bestFit="1" customWidth="1"/>
    <col min="15" max="22" width="11.7265625" customWidth="1"/>
    <col min="23" max="25" width="8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6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</row>
    <row r="2" spans="1:61">
      <c r="A2" s="453"/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611"/>
      <c r="X2" s="611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</row>
    <row r="3" spans="1:61" ht="14.65" customHeight="1">
      <c r="A3" s="453" t="s">
        <v>1077</v>
      </c>
      <c r="B3" s="450"/>
      <c r="C3" s="450"/>
      <c r="D3" s="450"/>
      <c r="E3" s="555"/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5" t="s">
        <v>2</v>
      </c>
      <c r="S3" s="555" t="s">
        <v>2</v>
      </c>
      <c r="T3" s="555" t="s">
        <v>2</v>
      </c>
      <c r="U3" s="555" t="s">
        <v>2</v>
      </c>
      <c r="V3" s="557"/>
      <c r="W3" s="611"/>
      <c r="X3" s="611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</row>
    <row r="4" spans="1:61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</row>
    <row r="5" spans="1:61">
      <c r="A5" s="612" t="s">
        <v>1041</v>
      </c>
      <c r="B5" s="461"/>
      <c r="C5" s="464"/>
      <c r="D5" s="461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545"/>
      <c r="X5" s="545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</row>
    <row r="6" spans="1:61" s="5" customFormat="1">
      <c r="A6" s="606" t="s">
        <v>1078</v>
      </c>
      <c r="B6" s="459" t="s">
        <v>12</v>
      </c>
      <c r="C6" s="460" t="s">
        <v>1026</v>
      </c>
      <c r="D6" s="475" t="s">
        <v>1079</v>
      </c>
      <c r="E6" s="446"/>
      <c r="F6" s="446"/>
      <c r="G6" s="446"/>
      <c r="H6" s="446"/>
      <c r="I6" s="446"/>
      <c r="J6" s="607">
        <v>93750</v>
      </c>
      <c r="K6" s="607">
        <v>93750</v>
      </c>
      <c r="L6" s="607">
        <v>93750</v>
      </c>
      <c r="M6" s="607">
        <v>93750</v>
      </c>
      <c r="N6" s="608">
        <v>93750</v>
      </c>
      <c r="O6" s="607">
        <v>93750</v>
      </c>
      <c r="P6" s="607">
        <v>93750</v>
      </c>
      <c r="Q6" s="607">
        <v>93750</v>
      </c>
      <c r="R6" s="540">
        <v>375000</v>
      </c>
      <c r="S6" s="540">
        <v>375000</v>
      </c>
      <c r="T6" s="540">
        <v>375000</v>
      </c>
      <c r="U6" s="540">
        <v>375000</v>
      </c>
      <c r="V6" s="446"/>
      <c r="W6" s="545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</row>
    <row r="7" spans="1:61" s="5" customFormat="1">
      <c r="A7" s="606" t="s">
        <v>1080</v>
      </c>
      <c r="B7" s="459" t="s">
        <v>12</v>
      </c>
      <c r="C7" s="460" t="s">
        <v>1026</v>
      </c>
      <c r="D7" s="475" t="s">
        <v>1081</v>
      </c>
      <c r="E7" s="446"/>
      <c r="F7" s="446"/>
      <c r="G7" s="446"/>
      <c r="H7" s="446"/>
      <c r="I7" s="446"/>
      <c r="J7" s="607">
        <v>0</v>
      </c>
      <c r="K7" s="607">
        <v>0</v>
      </c>
      <c r="L7" s="607">
        <v>0</v>
      </c>
      <c r="M7" s="607">
        <v>0</v>
      </c>
      <c r="N7" s="607">
        <v>0</v>
      </c>
      <c r="O7" s="607">
        <v>125000</v>
      </c>
      <c r="P7" s="607">
        <v>125000</v>
      </c>
      <c r="Q7" s="607">
        <v>125000</v>
      </c>
      <c r="R7" s="540">
        <v>375000</v>
      </c>
      <c r="S7" s="540">
        <v>375000</v>
      </c>
      <c r="T7" s="540">
        <v>375000</v>
      </c>
      <c r="U7" s="540">
        <v>375000</v>
      </c>
      <c r="V7" s="446"/>
      <c r="W7" s="545"/>
      <c r="X7" s="446"/>
      <c r="Y7" s="446"/>
      <c r="Z7" s="581"/>
      <c r="AA7" s="619"/>
      <c r="AB7" s="581"/>
      <c r="AC7" s="581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</row>
    <row r="8" spans="1:61" s="5" customFormat="1">
      <c r="A8" s="606" t="s">
        <v>1082</v>
      </c>
      <c r="B8" s="459" t="s">
        <v>12</v>
      </c>
      <c r="C8" s="460" t="s">
        <v>1026</v>
      </c>
      <c r="D8" s="475" t="s">
        <v>1083</v>
      </c>
      <c r="E8" s="446"/>
      <c r="F8" s="446"/>
      <c r="G8" s="446"/>
      <c r="H8" s="446"/>
      <c r="I8" s="446"/>
      <c r="J8" s="607">
        <v>0</v>
      </c>
      <c r="K8" s="607">
        <v>0</v>
      </c>
      <c r="L8" s="607">
        <v>21250</v>
      </c>
      <c r="M8" s="607">
        <v>21250</v>
      </c>
      <c r="N8" s="608">
        <v>21250</v>
      </c>
      <c r="O8" s="618">
        <v>21250</v>
      </c>
      <c r="P8" s="618">
        <v>21250</v>
      </c>
      <c r="Q8" s="618">
        <v>21250</v>
      </c>
      <c r="R8" s="620">
        <v>85000</v>
      </c>
      <c r="S8" s="620">
        <v>85000</v>
      </c>
      <c r="T8" s="620">
        <v>85000</v>
      </c>
      <c r="U8" s="620">
        <v>85000</v>
      </c>
      <c r="V8" s="446"/>
      <c r="W8" s="545"/>
      <c r="X8" s="446"/>
      <c r="Y8" s="446"/>
      <c r="Z8" s="446"/>
      <c r="AA8" s="471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</row>
    <row r="9" spans="1:61" s="5" customFormat="1">
      <c r="A9" s="606" t="s">
        <v>1084</v>
      </c>
      <c r="B9" s="548" t="s">
        <v>12</v>
      </c>
      <c r="C9" s="546" t="s">
        <v>1026</v>
      </c>
      <c r="D9" s="548" t="s">
        <v>1085</v>
      </c>
      <c r="E9" s="446"/>
      <c r="F9" s="446"/>
      <c r="G9" s="446"/>
      <c r="H9" s="446"/>
      <c r="I9" s="446"/>
      <c r="J9" s="607">
        <v>46250</v>
      </c>
      <c r="K9" s="607">
        <v>46250</v>
      </c>
      <c r="L9" s="607">
        <v>46250</v>
      </c>
      <c r="M9" s="607">
        <v>46250</v>
      </c>
      <c r="N9" s="608">
        <v>48750</v>
      </c>
      <c r="O9" s="618">
        <v>48750</v>
      </c>
      <c r="P9" s="618">
        <v>48750</v>
      </c>
      <c r="Q9" s="618">
        <v>48750</v>
      </c>
      <c r="R9" s="620">
        <v>195000</v>
      </c>
      <c r="S9" s="620">
        <v>195000</v>
      </c>
      <c r="T9" s="620">
        <v>195000</v>
      </c>
      <c r="U9" s="620">
        <v>195000</v>
      </c>
      <c r="V9" s="446"/>
      <c r="W9" s="545"/>
      <c r="X9" s="446"/>
      <c r="Y9" s="446"/>
      <c r="Z9" s="621"/>
      <c r="AA9" s="622"/>
      <c r="AB9" s="623"/>
      <c r="AC9" s="505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</row>
    <row r="10" spans="1:61" s="34" customFormat="1">
      <c r="A10" s="458" t="s">
        <v>1086</v>
      </c>
      <c r="B10" s="548" t="s">
        <v>12</v>
      </c>
      <c r="C10" s="546" t="s">
        <v>1026</v>
      </c>
      <c r="D10" s="548" t="s">
        <v>1068</v>
      </c>
      <c r="E10" s="540"/>
      <c r="F10" s="540"/>
      <c r="G10" s="540"/>
      <c r="H10" s="540"/>
      <c r="I10" s="540"/>
      <c r="J10" s="607">
        <v>37500</v>
      </c>
      <c r="K10" s="607">
        <v>37500</v>
      </c>
      <c r="L10" s="607">
        <v>37500</v>
      </c>
      <c r="M10" s="607">
        <v>31250</v>
      </c>
      <c r="N10" s="607">
        <v>0</v>
      </c>
      <c r="O10" s="607">
        <v>0</v>
      </c>
      <c r="P10" s="607">
        <v>0</v>
      </c>
      <c r="Q10" s="607">
        <v>0</v>
      </c>
      <c r="R10" s="620">
        <v>0</v>
      </c>
      <c r="S10" s="620">
        <v>0</v>
      </c>
      <c r="T10" s="620">
        <v>0</v>
      </c>
      <c r="U10" s="620">
        <v>0</v>
      </c>
      <c r="V10" s="446"/>
      <c r="W10" s="545"/>
      <c r="X10" s="446"/>
      <c r="Y10" s="446"/>
      <c r="Z10" s="621"/>
      <c r="AA10" s="622"/>
      <c r="AB10" s="623"/>
      <c r="AC10" s="505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</row>
    <row r="11" spans="1:61">
      <c r="A11" s="606" t="s">
        <v>1087</v>
      </c>
      <c r="B11" s="458" t="s">
        <v>12</v>
      </c>
      <c r="C11" s="458" t="s">
        <v>1026</v>
      </c>
      <c r="D11" s="458" t="s">
        <v>1088</v>
      </c>
      <c r="E11" s="446"/>
      <c r="F11" s="446"/>
      <c r="G11" s="446"/>
      <c r="H11" s="446"/>
      <c r="I11" s="446"/>
      <c r="J11" s="607">
        <v>0</v>
      </c>
      <c r="K11" s="607">
        <v>0</v>
      </c>
      <c r="L11" s="607">
        <v>0</v>
      </c>
      <c r="M11" s="607">
        <v>0</v>
      </c>
      <c r="N11" s="607">
        <v>0</v>
      </c>
      <c r="O11" s="524">
        <v>36250</v>
      </c>
      <c r="P11" s="524">
        <v>36250</v>
      </c>
      <c r="Q11" s="524">
        <v>36250</v>
      </c>
      <c r="R11" s="540">
        <v>145000</v>
      </c>
      <c r="S11" s="505">
        <v>145000</v>
      </c>
      <c r="T11" s="505">
        <v>145000</v>
      </c>
      <c r="U11" s="505">
        <v>145000</v>
      </c>
      <c r="V11" s="540"/>
      <c r="W11" s="471"/>
      <c r="X11" s="471"/>
      <c r="Y11" s="446"/>
      <c r="Z11" s="446"/>
      <c r="AA11" s="446"/>
      <c r="AB11" s="446"/>
      <c r="AC11" s="446"/>
      <c r="AD11" s="446"/>
      <c r="AE11" s="446"/>
      <c r="AF11" s="446"/>
      <c r="AG11" s="491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</row>
    <row r="12" spans="1:61" s="30" customFormat="1">
      <c r="A12" s="606" t="s">
        <v>1089</v>
      </c>
      <c r="B12" s="548" t="s">
        <v>12</v>
      </c>
      <c r="C12" s="546" t="s">
        <v>1026</v>
      </c>
      <c r="D12" s="548" t="s">
        <v>1090</v>
      </c>
      <c r="E12" s="624"/>
      <c r="F12" s="624"/>
      <c r="G12" s="624"/>
      <c r="H12" s="624"/>
      <c r="I12" s="624"/>
      <c r="J12" s="607">
        <v>0</v>
      </c>
      <c r="K12" s="607">
        <v>0</v>
      </c>
      <c r="L12" s="613">
        <v>53750</v>
      </c>
      <c r="M12" s="613">
        <v>53750</v>
      </c>
      <c r="N12" s="613">
        <v>53750</v>
      </c>
      <c r="O12" s="524">
        <v>53750</v>
      </c>
      <c r="P12" s="524">
        <v>53750</v>
      </c>
      <c r="Q12" s="524">
        <v>53750</v>
      </c>
      <c r="R12" s="620">
        <v>215000</v>
      </c>
      <c r="S12" s="620">
        <v>215000</v>
      </c>
      <c r="T12" s="620">
        <v>215000</v>
      </c>
      <c r="U12" s="620">
        <v>215000</v>
      </c>
      <c r="V12" s="446"/>
      <c r="W12" s="446"/>
      <c r="X12" s="446"/>
      <c r="Y12" s="446"/>
      <c r="Z12" s="540"/>
      <c r="AA12" s="545"/>
      <c r="AB12" s="545"/>
      <c r="AC12" s="446"/>
      <c r="AD12" s="621"/>
      <c r="AE12" s="622"/>
      <c r="AF12" s="623"/>
      <c r="AG12" s="540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</row>
    <row r="13" spans="1:61" s="30" customFormat="1">
      <c r="A13" s="606" t="s">
        <v>1091</v>
      </c>
      <c r="B13" s="548" t="s">
        <v>12</v>
      </c>
      <c r="C13" s="546" t="s">
        <v>1026</v>
      </c>
      <c r="D13" s="548" t="s">
        <v>1092</v>
      </c>
      <c r="E13" s="624"/>
      <c r="F13" s="624"/>
      <c r="G13" s="624"/>
      <c r="H13" s="624"/>
      <c r="I13" s="624"/>
      <c r="J13" s="524">
        <v>40000</v>
      </c>
      <c r="K13" s="524">
        <v>40000</v>
      </c>
      <c r="L13" s="524">
        <v>40000</v>
      </c>
      <c r="M13" s="524">
        <v>40000</v>
      </c>
      <c r="N13" s="524">
        <v>40000</v>
      </c>
      <c r="O13" s="524">
        <v>40000</v>
      </c>
      <c r="P13" s="524">
        <v>40000</v>
      </c>
      <c r="Q13" s="524">
        <v>40000</v>
      </c>
      <c r="R13" s="625">
        <v>200000</v>
      </c>
      <c r="S13" s="625">
        <v>200000</v>
      </c>
      <c r="T13" s="625">
        <v>200000</v>
      </c>
      <c r="U13" s="625">
        <v>200000</v>
      </c>
      <c r="V13" s="505"/>
      <c r="W13" s="505"/>
      <c r="X13" s="505"/>
      <c r="Y13" s="505"/>
      <c r="Z13" s="540"/>
      <c r="AA13" s="545"/>
      <c r="AB13" s="545"/>
      <c r="AC13" s="446"/>
      <c r="AD13" s="621"/>
      <c r="AE13" s="622"/>
      <c r="AF13" s="623"/>
      <c r="AG13" s="540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</row>
    <row r="14" spans="1:61" s="34" customFormat="1">
      <c r="A14" s="458" t="s">
        <v>1093</v>
      </c>
      <c r="B14" s="548" t="s">
        <v>12</v>
      </c>
      <c r="C14" s="546" t="s">
        <v>1026</v>
      </c>
      <c r="D14" s="548" t="s">
        <v>1094</v>
      </c>
      <c r="E14" s="446"/>
      <c r="F14" s="446"/>
      <c r="G14" s="446"/>
      <c r="H14" s="446"/>
      <c r="I14" s="446"/>
      <c r="J14" s="607">
        <v>0</v>
      </c>
      <c r="K14" s="607">
        <v>0</v>
      </c>
      <c r="L14" s="607">
        <v>0</v>
      </c>
      <c r="M14" s="607">
        <v>0</v>
      </c>
      <c r="N14" s="607">
        <v>0</v>
      </c>
      <c r="O14" s="618">
        <v>0</v>
      </c>
      <c r="P14" s="524">
        <v>37500</v>
      </c>
      <c r="Q14" s="524">
        <v>37500</v>
      </c>
      <c r="R14" s="620">
        <v>150000</v>
      </c>
      <c r="S14" s="620">
        <v>150000</v>
      </c>
      <c r="T14" s="620">
        <v>150000</v>
      </c>
      <c r="U14" s="620">
        <v>150000</v>
      </c>
      <c r="V14" s="446"/>
      <c r="W14" s="545"/>
      <c r="X14" s="446"/>
      <c r="Y14" s="446"/>
      <c r="Z14" s="621"/>
      <c r="AA14" s="622"/>
      <c r="AB14" s="623"/>
      <c r="AC14" s="505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</row>
    <row r="15" spans="1:61" s="34" customFormat="1">
      <c r="A15" s="458" t="s">
        <v>1095</v>
      </c>
      <c r="B15" s="548" t="s">
        <v>12</v>
      </c>
      <c r="C15" s="546" t="s">
        <v>1026</v>
      </c>
      <c r="D15" s="548" t="s">
        <v>1096</v>
      </c>
      <c r="E15" s="446"/>
      <c r="F15" s="446"/>
      <c r="G15" s="446"/>
      <c r="H15" s="446"/>
      <c r="I15" s="446"/>
      <c r="J15" s="607">
        <v>0</v>
      </c>
      <c r="K15" s="607">
        <v>0</v>
      </c>
      <c r="L15" s="607">
        <v>0</v>
      </c>
      <c r="M15" s="607">
        <v>0</v>
      </c>
      <c r="N15" s="607">
        <v>0</v>
      </c>
      <c r="O15" s="618">
        <v>0</v>
      </c>
      <c r="P15" s="524">
        <v>56250</v>
      </c>
      <c r="Q15" s="524">
        <v>56250</v>
      </c>
      <c r="R15" s="620">
        <v>225000</v>
      </c>
      <c r="S15" s="620">
        <v>225000</v>
      </c>
      <c r="T15" s="620">
        <v>225000</v>
      </c>
      <c r="U15" s="620">
        <v>225000</v>
      </c>
      <c r="V15" s="446"/>
      <c r="W15" s="545"/>
      <c r="X15" s="446"/>
      <c r="Y15" s="446"/>
      <c r="Z15" s="621"/>
      <c r="AA15" s="622"/>
      <c r="AB15" s="623"/>
      <c r="AC15" s="505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</row>
    <row r="16" spans="1:61" s="34" customFormat="1">
      <c r="A16" s="458" t="s">
        <v>1097</v>
      </c>
      <c r="B16" s="548" t="s">
        <v>12</v>
      </c>
      <c r="C16" s="546" t="s">
        <v>1026</v>
      </c>
      <c r="D16" s="548" t="s">
        <v>1098</v>
      </c>
      <c r="E16" s="446"/>
      <c r="F16" s="446"/>
      <c r="G16" s="446"/>
      <c r="H16" s="446"/>
      <c r="I16" s="446"/>
      <c r="J16" s="607">
        <v>0</v>
      </c>
      <c r="K16" s="607">
        <v>0</v>
      </c>
      <c r="L16" s="607">
        <v>0</v>
      </c>
      <c r="M16" s="607">
        <v>0</v>
      </c>
      <c r="N16" s="607">
        <v>0</v>
      </c>
      <c r="O16" s="618">
        <v>0</v>
      </c>
      <c r="P16" s="524">
        <v>56250</v>
      </c>
      <c r="Q16" s="524">
        <v>56250</v>
      </c>
      <c r="R16" s="620">
        <v>225000</v>
      </c>
      <c r="S16" s="620">
        <v>225000</v>
      </c>
      <c r="T16" s="620">
        <v>225000</v>
      </c>
      <c r="U16" s="620">
        <v>225000</v>
      </c>
      <c r="V16" s="446"/>
      <c r="W16" s="545"/>
      <c r="X16" s="446"/>
      <c r="Y16" s="446"/>
      <c r="Z16" s="621"/>
      <c r="AA16" s="622"/>
      <c r="AB16" s="623"/>
      <c r="AC16" s="505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</row>
    <row r="17" spans="1:61" s="34" customFormat="1">
      <c r="A17" s="458" t="s">
        <v>1099</v>
      </c>
      <c r="B17" s="548" t="s">
        <v>12</v>
      </c>
      <c r="C17" s="546" t="s">
        <v>1026</v>
      </c>
      <c r="D17" s="548" t="s">
        <v>1100</v>
      </c>
      <c r="E17" s="614"/>
      <c r="F17" s="614"/>
      <c r="G17" s="614"/>
      <c r="H17" s="614"/>
      <c r="I17" s="614"/>
      <c r="J17" s="607">
        <v>0</v>
      </c>
      <c r="K17" s="607">
        <v>0</v>
      </c>
      <c r="L17" s="607">
        <v>0</v>
      </c>
      <c r="M17" s="607">
        <v>0</v>
      </c>
      <c r="N17" s="607">
        <v>0</v>
      </c>
      <c r="O17" s="618">
        <v>0</v>
      </c>
      <c r="P17" s="524">
        <v>18750</v>
      </c>
      <c r="Q17" s="524">
        <v>18750</v>
      </c>
      <c r="R17" s="620">
        <v>75000</v>
      </c>
      <c r="S17" s="620">
        <v>75000</v>
      </c>
      <c r="T17" s="620">
        <v>75000</v>
      </c>
      <c r="U17" s="620">
        <v>75000</v>
      </c>
      <c r="V17" s="446"/>
      <c r="W17" s="545"/>
      <c r="X17" s="446"/>
      <c r="Y17" s="446"/>
      <c r="Z17" s="621"/>
      <c r="AA17" s="622"/>
      <c r="AB17" s="623"/>
      <c r="AC17" s="505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</row>
    <row r="18" spans="1:61" ht="14.65" customHeight="1">
      <c r="A18" s="615" t="s">
        <v>306</v>
      </c>
      <c r="B18" s="446"/>
      <c r="C18" s="446"/>
      <c r="D18" s="446"/>
      <c r="E18" s="614"/>
      <c r="F18" s="614"/>
      <c r="G18" s="614"/>
      <c r="H18" s="614"/>
      <c r="I18" s="614"/>
      <c r="J18" s="540">
        <f t="shared" ref="J18:U18" si="0">SUM(J6:J17)</f>
        <v>217500</v>
      </c>
      <c r="K18" s="540">
        <f t="shared" si="0"/>
        <v>217500</v>
      </c>
      <c r="L18" s="540">
        <f t="shared" si="0"/>
        <v>292500</v>
      </c>
      <c r="M18" s="540">
        <f t="shared" si="0"/>
        <v>286250</v>
      </c>
      <c r="N18" s="540">
        <f t="shared" si="0"/>
        <v>257500</v>
      </c>
      <c r="O18" s="540">
        <f t="shared" si="0"/>
        <v>418750</v>
      </c>
      <c r="P18" s="540">
        <f t="shared" si="0"/>
        <v>587500</v>
      </c>
      <c r="Q18" s="540">
        <f t="shared" si="0"/>
        <v>587500</v>
      </c>
      <c r="R18" s="540">
        <f t="shared" si="0"/>
        <v>2265000</v>
      </c>
      <c r="S18" s="540">
        <f t="shared" si="0"/>
        <v>2265000</v>
      </c>
      <c r="T18" s="540">
        <f t="shared" si="0"/>
        <v>2265000</v>
      </c>
      <c r="U18" s="540">
        <f t="shared" si="0"/>
        <v>2265000</v>
      </c>
      <c r="V18" s="540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</row>
    <row r="19" spans="1:61">
      <c r="A19" s="616"/>
      <c r="B19" s="446"/>
      <c r="C19" s="446"/>
      <c r="D19" s="446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  <c r="W19" s="545"/>
      <c r="X19" s="545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</row>
    <row r="20" spans="1:61" ht="14.65" customHeight="1">
      <c r="A20" s="546" t="s">
        <v>1038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545"/>
      <c r="X20" s="545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</row>
    <row r="21" spans="1:61" s="5" customFormat="1">
      <c r="A21" s="446" t="str">
        <f t="shared" ref="A21:A32" si="1">+A6</f>
        <v>HOBI (CW)</v>
      </c>
      <c r="B21" s="548" t="s">
        <v>12</v>
      </c>
      <c r="C21" s="546" t="s">
        <v>1039</v>
      </c>
      <c r="D21" s="548" t="s">
        <v>1079</v>
      </c>
      <c r="E21" s="491"/>
      <c r="F21" s="491"/>
      <c r="G21" s="491"/>
      <c r="H21" s="491"/>
      <c r="I21" s="491"/>
      <c r="J21" s="524">
        <v>0</v>
      </c>
      <c r="K21" s="524">
        <v>0</v>
      </c>
      <c r="L21" s="524">
        <v>0</v>
      </c>
      <c r="M21" s="524">
        <v>125000</v>
      </c>
      <c r="N21" s="524">
        <v>0</v>
      </c>
      <c r="O21" s="524">
        <v>0</v>
      </c>
      <c r="P21" s="524">
        <v>0</v>
      </c>
      <c r="Q21" s="524">
        <v>225000</v>
      </c>
      <c r="R21" s="505">
        <v>325000</v>
      </c>
      <c r="S21" s="505">
        <v>325000</v>
      </c>
      <c r="T21" s="505">
        <v>325000</v>
      </c>
      <c r="U21" s="505">
        <v>325000</v>
      </c>
      <c r="V21" s="446"/>
      <c r="W21" s="545"/>
      <c r="X21" s="446"/>
      <c r="Y21" s="446"/>
      <c r="Z21" s="626"/>
      <c r="AA21" s="622"/>
      <c r="AB21" s="622"/>
      <c r="AC21" s="622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</row>
    <row r="22" spans="1:61" s="5" customFormat="1">
      <c r="A22" s="446" t="str">
        <f t="shared" si="1"/>
        <v xml:space="preserve">CFO (ZS) </v>
      </c>
      <c r="B22" s="548" t="s">
        <v>12</v>
      </c>
      <c r="C22" s="546" t="s">
        <v>1039</v>
      </c>
      <c r="D22" s="548" t="s">
        <v>1081</v>
      </c>
      <c r="E22" s="540"/>
      <c r="F22" s="540"/>
      <c r="G22" s="540"/>
      <c r="H22" s="540"/>
      <c r="I22" s="540"/>
      <c r="J22" s="524">
        <v>0</v>
      </c>
      <c r="K22" s="524">
        <v>0</v>
      </c>
      <c r="L22" s="524">
        <v>0</v>
      </c>
      <c r="M22" s="524">
        <v>60000</v>
      </c>
      <c r="N22" s="524">
        <v>0</v>
      </c>
      <c r="O22" s="524">
        <v>0</v>
      </c>
      <c r="P22" s="524">
        <v>0</v>
      </c>
      <c r="Q22" s="524">
        <v>100000</v>
      </c>
      <c r="R22" s="505">
        <v>150000</v>
      </c>
      <c r="S22" s="505">
        <v>150000</v>
      </c>
      <c r="T22" s="505">
        <v>150000</v>
      </c>
      <c r="U22" s="505">
        <v>150000</v>
      </c>
      <c r="V22" s="446"/>
      <c r="W22" s="545"/>
      <c r="X22" s="446"/>
      <c r="Y22" s="446"/>
      <c r="Z22" s="446"/>
      <c r="AA22" s="471"/>
      <c r="AB22" s="622"/>
      <c r="AC22" s="622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</row>
    <row r="23" spans="1:61" s="5" customFormat="1">
      <c r="A23" s="446" t="str">
        <f t="shared" si="1"/>
        <v xml:space="preserve">Financial Analyst (NR) </v>
      </c>
      <c r="B23" s="548" t="s">
        <v>12</v>
      </c>
      <c r="C23" s="546" t="s">
        <v>1039</v>
      </c>
      <c r="D23" s="548" t="s">
        <v>1083</v>
      </c>
      <c r="E23" s="540"/>
      <c r="F23" s="540"/>
      <c r="G23" s="540"/>
      <c r="H23" s="540"/>
      <c r="I23" s="540"/>
      <c r="J23" s="524">
        <v>0</v>
      </c>
      <c r="K23" s="524">
        <v>0</v>
      </c>
      <c r="L23" s="524">
        <v>0</v>
      </c>
      <c r="M23" s="524">
        <v>5000</v>
      </c>
      <c r="N23" s="524">
        <v>0</v>
      </c>
      <c r="O23" s="524">
        <v>0</v>
      </c>
      <c r="P23" s="524">
        <v>0</v>
      </c>
      <c r="Q23" s="524">
        <v>7500</v>
      </c>
      <c r="R23" s="505">
        <v>7500</v>
      </c>
      <c r="S23" s="505">
        <v>7500</v>
      </c>
      <c r="T23" s="505">
        <v>7500</v>
      </c>
      <c r="U23" s="505">
        <v>7500</v>
      </c>
      <c r="V23" s="446"/>
      <c r="W23" s="545"/>
      <c r="X23" s="446"/>
      <c r="Y23" s="446"/>
      <c r="Z23" s="446"/>
      <c r="AA23" s="471"/>
      <c r="AB23" s="446"/>
      <c r="AC23" s="471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</row>
    <row r="24" spans="1:61" s="5" customFormat="1">
      <c r="A24" s="446" t="str">
        <f t="shared" si="1"/>
        <v>Fin Controls (TB) - 100%</v>
      </c>
      <c r="B24" s="548" t="s">
        <v>12</v>
      </c>
      <c r="C24" s="546" t="s">
        <v>1039</v>
      </c>
      <c r="D24" s="548" t="s">
        <v>1085</v>
      </c>
      <c r="E24" s="540"/>
      <c r="F24" s="540"/>
      <c r="G24" s="540"/>
      <c r="H24" s="540"/>
      <c r="I24" s="540"/>
      <c r="J24" s="524">
        <v>0</v>
      </c>
      <c r="K24" s="524">
        <v>0</v>
      </c>
      <c r="L24" s="524">
        <v>0</v>
      </c>
      <c r="M24" s="524">
        <v>17500</v>
      </c>
      <c r="N24" s="524">
        <v>0</v>
      </c>
      <c r="O24" s="524">
        <v>0</v>
      </c>
      <c r="P24" s="524">
        <v>0</v>
      </c>
      <c r="Q24" s="524">
        <v>15000</v>
      </c>
      <c r="R24" s="505">
        <v>15000</v>
      </c>
      <c r="S24" s="505">
        <v>15000</v>
      </c>
      <c r="T24" s="505">
        <v>15000</v>
      </c>
      <c r="U24" s="505">
        <v>15000</v>
      </c>
      <c r="V24" s="446"/>
      <c r="W24" s="545"/>
      <c r="X24" s="446"/>
      <c r="Y24" s="446"/>
      <c r="Z24" s="446"/>
      <c r="AA24" s="622"/>
      <c r="AB24" s="446"/>
      <c r="AC24" s="471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</row>
    <row r="25" spans="1:61" s="5" customFormat="1">
      <c r="A25" s="446" t="str">
        <f t="shared" si="1"/>
        <v>Administrative Assistant (AM)</v>
      </c>
      <c r="B25" s="548" t="s">
        <v>12</v>
      </c>
      <c r="C25" s="546" t="s">
        <v>1039</v>
      </c>
      <c r="D25" s="548" t="s">
        <v>1068</v>
      </c>
      <c r="E25" s="540"/>
      <c r="F25" s="540"/>
      <c r="G25" s="540"/>
      <c r="H25" s="540"/>
      <c r="I25" s="540"/>
      <c r="J25" s="524">
        <v>0</v>
      </c>
      <c r="K25" s="524">
        <v>0</v>
      </c>
      <c r="L25" s="524">
        <v>0</v>
      </c>
      <c r="M25" s="524">
        <v>10000</v>
      </c>
      <c r="N25" s="524">
        <v>0</v>
      </c>
      <c r="O25" s="524">
        <v>0</v>
      </c>
      <c r="P25" s="524">
        <v>0</v>
      </c>
      <c r="Q25" s="524">
        <v>0</v>
      </c>
      <c r="R25" s="505">
        <v>0</v>
      </c>
      <c r="S25" s="505">
        <v>0</v>
      </c>
      <c r="T25" s="505">
        <v>0</v>
      </c>
      <c r="U25" s="505">
        <v>0</v>
      </c>
      <c r="V25" s="446"/>
      <c r="W25" s="545"/>
      <c r="X25" s="446"/>
      <c r="Y25" s="446"/>
      <c r="Z25" s="446"/>
      <c r="AA25" s="446"/>
      <c r="AB25" s="446"/>
      <c r="AC25" s="623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  <c r="BF25" s="446"/>
      <c r="BG25" s="446"/>
      <c r="BH25" s="446"/>
      <c r="BI25" s="446"/>
    </row>
    <row r="26" spans="1:61">
      <c r="A26" s="446" t="str">
        <f t="shared" si="1"/>
        <v>Administrative Assistant (PT)</v>
      </c>
      <c r="B26" s="458" t="s">
        <v>12</v>
      </c>
      <c r="C26" s="458" t="s">
        <v>1039</v>
      </c>
      <c r="D26" s="458" t="s">
        <v>1088</v>
      </c>
      <c r="E26" s="540"/>
      <c r="F26" s="540"/>
      <c r="G26" s="540"/>
      <c r="H26" s="540"/>
      <c r="I26" s="540"/>
      <c r="J26" s="524">
        <v>0</v>
      </c>
      <c r="K26" s="524">
        <v>0</v>
      </c>
      <c r="L26" s="524">
        <v>0</v>
      </c>
      <c r="M26" s="524">
        <v>0</v>
      </c>
      <c r="N26" s="524">
        <v>0</v>
      </c>
      <c r="O26" s="524">
        <v>0</v>
      </c>
      <c r="P26" s="524">
        <v>0</v>
      </c>
      <c r="Q26" s="524">
        <v>10000</v>
      </c>
      <c r="R26" s="505">
        <v>10000</v>
      </c>
      <c r="S26" s="505">
        <v>10000</v>
      </c>
      <c r="T26" s="505">
        <v>10000</v>
      </c>
      <c r="U26" s="505">
        <v>10000</v>
      </c>
      <c r="V26" s="540"/>
      <c r="W26" s="471"/>
      <c r="X26" s="471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  <c r="BF26" s="446"/>
      <c r="BG26" s="446"/>
      <c r="BH26" s="446"/>
      <c r="BI26" s="446"/>
    </row>
    <row r="27" spans="1:61" s="30" customFormat="1">
      <c r="A27" s="446" t="str">
        <f t="shared" si="1"/>
        <v>Financial Director (DV) - 100%</v>
      </c>
      <c r="B27" s="548" t="s">
        <v>12</v>
      </c>
      <c r="C27" s="546" t="s">
        <v>1039</v>
      </c>
      <c r="D27" s="548" t="s">
        <v>1090</v>
      </c>
      <c r="E27" s="540"/>
      <c r="F27" s="540"/>
      <c r="G27" s="540"/>
      <c r="H27" s="540"/>
      <c r="I27" s="540"/>
      <c r="J27" s="524">
        <v>0</v>
      </c>
      <c r="K27" s="524">
        <v>0</v>
      </c>
      <c r="L27" s="524">
        <v>0</v>
      </c>
      <c r="M27" s="524">
        <v>20000</v>
      </c>
      <c r="N27" s="524">
        <v>0</v>
      </c>
      <c r="O27" s="524">
        <v>0</v>
      </c>
      <c r="P27" s="524">
        <v>0</v>
      </c>
      <c r="Q27" s="524">
        <v>40000</v>
      </c>
      <c r="R27" s="505">
        <v>40000</v>
      </c>
      <c r="S27" s="505">
        <v>40000</v>
      </c>
      <c r="T27" s="505">
        <v>40000</v>
      </c>
      <c r="U27" s="505">
        <v>40000</v>
      </c>
      <c r="V27" s="540"/>
      <c r="W27" s="545"/>
      <c r="X27" s="545"/>
      <c r="Y27" s="446"/>
      <c r="Z27" s="446"/>
      <c r="AA27" s="471"/>
      <c r="AB27" s="446"/>
      <c r="AC27" s="622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6"/>
    </row>
    <row r="28" spans="1:61" s="30" customFormat="1">
      <c r="A28" s="446" t="str">
        <f t="shared" si="1"/>
        <v>IM (TW)</v>
      </c>
      <c r="B28" s="548" t="s">
        <v>12</v>
      </c>
      <c r="C28" s="546" t="s">
        <v>1039</v>
      </c>
      <c r="D28" s="548" t="s">
        <v>1092</v>
      </c>
      <c r="E28" s="540"/>
      <c r="F28" s="540"/>
      <c r="G28" s="540"/>
      <c r="H28" s="540"/>
      <c r="I28" s="540"/>
      <c r="J28" s="524">
        <v>0</v>
      </c>
      <c r="K28" s="524">
        <v>0</v>
      </c>
      <c r="L28" s="524">
        <v>0</v>
      </c>
      <c r="M28" s="524">
        <v>25000</v>
      </c>
      <c r="N28" s="524">
        <v>0</v>
      </c>
      <c r="O28" s="524">
        <v>0</v>
      </c>
      <c r="P28" s="524">
        <v>0</v>
      </c>
      <c r="Q28" s="524">
        <v>25000</v>
      </c>
      <c r="R28" s="505">
        <v>25000</v>
      </c>
      <c r="S28" s="505">
        <v>25000</v>
      </c>
      <c r="T28" s="505">
        <v>25000</v>
      </c>
      <c r="U28" s="505">
        <v>25000</v>
      </c>
      <c r="V28" s="540"/>
      <c r="W28" s="545"/>
      <c r="X28" s="545"/>
      <c r="Y28" s="446"/>
      <c r="Z28" s="446"/>
      <c r="AA28" s="471"/>
      <c r="AB28" s="446"/>
      <c r="AC28" s="622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  <c r="BF28" s="446"/>
      <c r="BG28" s="446"/>
      <c r="BH28" s="446"/>
      <c r="BI28" s="446"/>
    </row>
    <row r="29" spans="1:61" s="5" customFormat="1">
      <c r="A29" s="446" t="str">
        <f t="shared" si="1"/>
        <v>HR (100%)</v>
      </c>
      <c r="B29" s="548" t="s">
        <v>12</v>
      </c>
      <c r="C29" s="546" t="s">
        <v>1039</v>
      </c>
      <c r="D29" s="548" t="s">
        <v>1094</v>
      </c>
      <c r="E29" s="540"/>
      <c r="F29" s="540"/>
      <c r="G29" s="540"/>
      <c r="H29" s="540"/>
      <c r="I29" s="540"/>
      <c r="J29" s="524">
        <v>0</v>
      </c>
      <c r="K29" s="524">
        <v>0</v>
      </c>
      <c r="L29" s="524">
        <v>0</v>
      </c>
      <c r="M29" s="524">
        <v>0</v>
      </c>
      <c r="N29" s="524">
        <v>0</v>
      </c>
      <c r="O29" s="524">
        <v>0</v>
      </c>
      <c r="P29" s="524">
        <v>0</v>
      </c>
      <c r="Q29" s="524">
        <v>15000</v>
      </c>
      <c r="R29" s="505">
        <v>25000</v>
      </c>
      <c r="S29" s="505">
        <v>25000</v>
      </c>
      <c r="T29" s="505">
        <v>25000</v>
      </c>
      <c r="U29" s="505">
        <v>25000</v>
      </c>
      <c r="V29" s="446"/>
      <c r="W29" s="545"/>
      <c r="X29" s="446"/>
      <c r="Y29" s="446"/>
      <c r="Z29" s="446"/>
      <c r="AA29" s="622"/>
      <c r="AB29" s="446"/>
      <c r="AC29" s="623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  <c r="BF29" s="446"/>
      <c r="BG29" s="446"/>
      <c r="BH29" s="446"/>
      <c r="BI29" s="446"/>
    </row>
    <row r="30" spans="1:61" s="5" customFormat="1">
      <c r="A30" s="446" t="str">
        <f t="shared" si="1"/>
        <v>Legal (100%)</v>
      </c>
      <c r="B30" s="548" t="s">
        <v>12</v>
      </c>
      <c r="C30" s="546" t="s">
        <v>1039</v>
      </c>
      <c r="D30" s="548" t="s">
        <v>1096</v>
      </c>
      <c r="E30" s="540"/>
      <c r="F30" s="540"/>
      <c r="G30" s="540"/>
      <c r="H30" s="540"/>
      <c r="I30" s="540"/>
      <c r="J30" s="524">
        <v>0</v>
      </c>
      <c r="K30" s="524">
        <v>0</v>
      </c>
      <c r="L30" s="524">
        <v>0</v>
      </c>
      <c r="M30" s="524">
        <v>0</v>
      </c>
      <c r="N30" s="524">
        <v>0</v>
      </c>
      <c r="O30" s="524">
        <v>0</v>
      </c>
      <c r="P30" s="524">
        <v>0</v>
      </c>
      <c r="Q30" s="524">
        <v>15000</v>
      </c>
      <c r="R30" s="505">
        <v>25000</v>
      </c>
      <c r="S30" s="505">
        <v>25000</v>
      </c>
      <c r="T30" s="505">
        <v>25000</v>
      </c>
      <c r="U30" s="505">
        <v>25000</v>
      </c>
      <c r="V30" s="446"/>
      <c r="W30" s="545"/>
      <c r="X30" s="446"/>
      <c r="Y30" s="446"/>
      <c r="Z30" s="446"/>
      <c r="AA30" s="622"/>
      <c r="AB30" s="446"/>
      <c r="AC30" s="623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46"/>
    </row>
    <row r="31" spans="1:61" s="5" customFormat="1">
      <c r="A31" s="446" t="str">
        <f t="shared" si="1"/>
        <v>Tech1</v>
      </c>
      <c r="B31" s="548" t="s">
        <v>12</v>
      </c>
      <c r="C31" s="546" t="s">
        <v>1039</v>
      </c>
      <c r="D31" s="548" t="s">
        <v>1098</v>
      </c>
      <c r="E31" s="540"/>
      <c r="F31" s="540"/>
      <c r="G31" s="540"/>
      <c r="H31" s="540"/>
      <c r="I31" s="540"/>
      <c r="J31" s="524">
        <v>0</v>
      </c>
      <c r="K31" s="524">
        <v>0</v>
      </c>
      <c r="L31" s="524">
        <v>0</v>
      </c>
      <c r="M31" s="524">
        <v>0</v>
      </c>
      <c r="N31" s="524">
        <v>0</v>
      </c>
      <c r="O31" s="524">
        <v>0</v>
      </c>
      <c r="P31" s="524">
        <v>0</v>
      </c>
      <c r="Q31" s="524">
        <v>15000</v>
      </c>
      <c r="R31" s="505">
        <v>25000</v>
      </c>
      <c r="S31" s="505">
        <v>25000</v>
      </c>
      <c r="T31" s="505">
        <v>25000</v>
      </c>
      <c r="U31" s="505">
        <v>25000</v>
      </c>
      <c r="V31" s="446"/>
      <c r="W31" s="545"/>
      <c r="X31" s="446"/>
      <c r="Y31" s="446"/>
      <c r="Z31" s="539"/>
      <c r="AA31" s="622"/>
      <c r="AB31" s="446"/>
      <c r="AC31" s="622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  <c r="BF31" s="446"/>
      <c r="BG31" s="446"/>
      <c r="BH31" s="446"/>
      <c r="BI31" s="446"/>
    </row>
    <row r="32" spans="1:61" s="5" customFormat="1">
      <c r="A32" s="446" t="str">
        <f t="shared" si="1"/>
        <v>Tech2</v>
      </c>
      <c r="B32" s="548" t="s">
        <v>12</v>
      </c>
      <c r="C32" s="546" t="s">
        <v>1039</v>
      </c>
      <c r="D32" s="548" t="s">
        <v>1100</v>
      </c>
      <c r="E32" s="540"/>
      <c r="F32" s="540"/>
      <c r="G32" s="540"/>
      <c r="H32" s="540"/>
      <c r="I32" s="540"/>
      <c r="J32" s="524">
        <v>0</v>
      </c>
      <c r="K32" s="524">
        <v>0</v>
      </c>
      <c r="L32" s="524">
        <v>0</v>
      </c>
      <c r="M32" s="524">
        <v>0</v>
      </c>
      <c r="N32" s="524">
        <v>0</v>
      </c>
      <c r="O32" s="524">
        <v>0</v>
      </c>
      <c r="P32" s="524">
        <v>0</v>
      </c>
      <c r="Q32" s="524">
        <v>15000</v>
      </c>
      <c r="R32" s="505">
        <v>25000</v>
      </c>
      <c r="S32" s="505">
        <v>25000</v>
      </c>
      <c r="T32" s="505">
        <v>25000</v>
      </c>
      <c r="U32" s="505">
        <v>25000</v>
      </c>
      <c r="V32" s="446"/>
      <c r="W32" s="545"/>
      <c r="X32" s="446"/>
      <c r="Y32" s="446"/>
      <c r="Z32" s="539"/>
      <c r="AA32" s="622"/>
      <c r="AB32" s="446"/>
      <c r="AC32" s="622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</row>
    <row r="33" spans="1:61" ht="14.65" customHeight="1">
      <c r="A33" s="615" t="s">
        <v>306</v>
      </c>
      <c r="B33" s="446"/>
      <c r="C33" s="446"/>
      <c r="D33" s="446"/>
      <c r="E33" s="614"/>
      <c r="F33" s="614"/>
      <c r="G33" s="614"/>
      <c r="H33" s="614"/>
      <c r="I33" s="614"/>
      <c r="J33" s="540">
        <f t="shared" ref="J33:U33" si="2">SUM(J21:J32)</f>
        <v>0</v>
      </c>
      <c r="K33" s="540">
        <f t="shared" si="2"/>
        <v>0</v>
      </c>
      <c r="L33" s="540">
        <f t="shared" si="2"/>
        <v>0</v>
      </c>
      <c r="M33" s="540">
        <f t="shared" si="2"/>
        <v>262500</v>
      </c>
      <c r="N33" s="540">
        <f t="shared" si="2"/>
        <v>0</v>
      </c>
      <c r="O33" s="540">
        <f t="shared" si="2"/>
        <v>0</v>
      </c>
      <c r="P33" s="540">
        <f t="shared" si="2"/>
        <v>0</v>
      </c>
      <c r="Q33" s="540">
        <f t="shared" si="2"/>
        <v>482500</v>
      </c>
      <c r="R33" s="540">
        <f t="shared" si="2"/>
        <v>672500</v>
      </c>
      <c r="S33" s="540">
        <f t="shared" si="2"/>
        <v>672500</v>
      </c>
      <c r="T33" s="540">
        <f t="shared" si="2"/>
        <v>672500</v>
      </c>
      <c r="U33" s="540">
        <f t="shared" si="2"/>
        <v>672500</v>
      </c>
      <c r="V33" s="540"/>
      <c r="W33" s="545"/>
      <c r="X33" s="545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</row>
    <row r="34" spans="1:61">
      <c r="A34" s="616"/>
      <c r="B34" s="446"/>
      <c r="C34" s="446"/>
      <c r="D34" s="446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65"/>
      <c r="W34" s="545"/>
      <c r="X34" s="545"/>
      <c r="Y34" s="446"/>
      <c r="Z34" s="446"/>
      <c r="AA34" s="446"/>
      <c r="AB34" s="446"/>
      <c r="AC34" s="446"/>
      <c r="AD34" s="446"/>
      <c r="AE34" s="446"/>
      <c r="AF34" s="446"/>
      <c r="AG34" s="446"/>
      <c r="AH34" s="581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</row>
    <row r="35" spans="1:61" ht="14.65" customHeight="1">
      <c r="A35" s="546" t="s">
        <v>1054</v>
      </c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545"/>
      <c r="X35" s="545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</row>
    <row r="36" spans="1:61">
      <c r="A36" s="446" t="str">
        <f t="shared" ref="A36:A47" si="3">+A6</f>
        <v>HOBI (CW)</v>
      </c>
      <c r="B36" s="458" t="s">
        <v>36</v>
      </c>
      <c r="C36" s="458" t="s">
        <v>1040</v>
      </c>
      <c r="D36" s="458" t="s">
        <v>1079</v>
      </c>
      <c r="E36" s="544"/>
      <c r="F36" s="544"/>
      <c r="G36" s="544"/>
      <c r="H36" s="544"/>
      <c r="I36" s="544"/>
      <c r="J36" s="617">
        <f>+J6*(1+'.c12_inputs.hr'!$E$15)+(J21*(1+'.c12_inputs.hr'!$E$16))</f>
        <v>107999.99999999999</v>
      </c>
      <c r="K36" s="617">
        <f>+K6*(1+'.c12_inputs.hr'!$E$15)+(K21*(1+'.c12_inputs.hr'!$E$16))</f>
        <v>107999.99999999999</v>
      </c>
      <c r="L36" s="617">
        <f>+L6*(1+'.c12_inputs.hr'!$E$15)+(L21*(1+'.c12_inputs.hr'!$E$16))</f>
        <v>107999.99999999999</v>
      </c>
      <c r="M36" s="617">
        <f>+M6*(1+'.c12_inputs.hr'!$E$15)+(M21*(1+'.c12_inputs.hr'!$E$16))</f>
        <v>237874.99999999997</v>
      </c>
      <c r="N36" s="617">
        <f>+N6*(1+'.c12_inputs.hr'!$E$15)+(N21*(1+'.c12_inputs.hr'!$E$16))</f>
        <v>107999.99999999999</v>
      </c>
      <c r="O36" s="617">
        <f>+O6*(1+'.c12_inputs.hr'!$E$15)+(O21*(1+'.c12_inputs.hr'!$E$16))</f>
        <v>107999.99999999999</v>
      </c>
      <c r="P36" s="617">
        <f>+P6*(1+'.c12_inputs.hr'!$E$15)+(P21*(1+'.c12_inputs.hr'!$E$16))</f>
        <v>107999.99999999999</v>
      </c>
      <c r="Q36" s="617">
        <f>+Q6*(1+'.c12_inputs.hr'!$E$15)+(Q21*(1+'.c12_inputs.hr'!$E$16))</f>
        <v>341774.99999999994</v>
      </c>
      <c r="R36" s="544">
        <f>+R6*(1+'.c12_inputs.hr'!$E$15)+(R21*(1+'.c12_inputs.hr'!$E$16))</f>
        <v>769675</v>
      </c>
      <c r="S36" s="544">
        <f>+S6*(1+'.c12_inputs.hr'!$E$15)+(S21*(1+'.c12_inputs.hr'!$E$16))</f>
        <v>769675</v>
      </c>
      <c r="T36" s="544">
        <f>+T6*(1+'.c12_inputs.hr'!$E$15)+(T21*(1+'.c12_inputs.hr'!$E$16))</f>
        <v>769675</v>
      </c>
      <c r="U36" s="544">
        <f>+U6*(1+'.c12_inputs.hr'!$E$15)+(U21*(1+'.c12_inputs.hr'!$E$16))</f>
        <v>769675</v>
      </c>
      <c r="V36" s="544"/>
      <c r="W36" s="544"/>
      <c r="X36" s="545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</row>
    <row r="37" spans="1:61">
      <c r="A37" s="446" t="str">
        <f t="shared" si="3"/>
        <v xml:space="preserve">CFO (ZS) </v>
      </c>
      <c r="B37" s="458" t="s">
        <v>36</v>
      </c>
      <c r="C37" s="458" t="s">
        <v>1040</v>
      </c>
      <c r="D37" s="458" t="s">
        <v>1081</v>
      </c>
      <c r="E37" s="544"/>
      <c r="F37" s="544"/>
      <c r="G37" s="544"/>
      <c r="H37" s="544"/>
      <c r="I37" s="544"/>
      <c r="J37" s="617">
        <f>+J7*(1+'.c12_inputs.hr'!$E$15)+(J22*(1+'.c12_inputs.hr'!$E$16))</f>
        <v>0</v>
      </c>
      <c r="K37" s="617">
        <f>+K7*(1+'.c12_inputs.hr'!$E$15)+(K22*(1+'.c12_inputs.hr'!$E$16))</f>
        <v>0</v>
      </c>
      <c r="L37" s="617">
        <f>+L7*(1+'.c12_inputs.hr'!$E$15)+(L22*(1+'.c12_inputs.hr'!$E$16))</f>
        <v>0</v>
      </c>
      <c r="M37" s="617">
        <f>+M7*(1+'.c12_inputs.hr'!$E$15)+(M22*(1+'.c12_inputs.hr'!$E$16))</f>
        <v>62339.999999999993</v>
      </c>
      <c r="N37" s="617">
        <f>+N7*(1+'.c12_inputs.hr'!$E$15)+(N22*(1+'.c12_inputs.hr'!$E$16))</f>
        <v>0</v>
      </c>
      <c r="O37" s="617">
        <f>+O7*(1+'.c12_inputs.hr'!$E$15)+(O22*(1+'.c12_inputs.hr'!$E$16))</f>
        <v>144000</v>
      </c>
      <c r="P37" s="617">
        <f>+P7*(1+'.c12_inputs.hr'!$E$15)+(P22*(1+'.c12_inputs.hr'!$E$16))</f>
        <v>144000</v>
      </c>
      <c r="Q37" s="617">
        <f>+Q7*(1+'.c12_inputs.hr'!$E$15)+(Q22*(1+'.c12_inputs.hr'!$E$16))</f>
        <v>247900</v>
      </c>
      <c r="R37" s="544">
        <f>+R7*(1+'.c12_inputs.hr'!$E$15)+(R22*(1+'.c12_inputs.hr'!$E$16))</f>
        <v>587850</v>
      </c>
      <c r="S37" s="544">
        <f>+S7*(1+'.c12_inputs.hr'!$E$15)+(S22*(1+'.c12_inputs.hr'!$E$16))</f>
        <v>587850</v>
      </c>
      <c r="T37" s="544">
        <f>+T7*(1+'.c12_inputs.hr'!$E$15)+(T22*(1+'.c12_inputs.hr'!$E$16))</f>
        <v>587850</v>
      </c>
      <c r="U37" s="544">
        <f>+U7*(1+'.c12_inputs.hr'!$E$15)+(U22*(1+'.c12_inputs.hr'!$E$16))</f>
        <v>587850</v>
      </c>
      <c r="V37" s="544"/>
      <c r="W37" s="544"/>
      <c r="X37" s="545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</row>
    <row r="38" spans="1:61">
      <c r="A38" s="446" t="str">
        <f t="shared" si="3"/>
        <v xml:space="preserve">Financial Analyst (NR) </v>
      </c>
      <c r="B38" s="458" t="s">
        <v>36</v>
      </c>
      <c r="C38" s="458" t="s">
        <v>1040</v>
      </c>
      <c r="D38" s="458" t="s">
        <v>1083</v>
      </c>
      <c r="E38" s="544"/>
      <c r="F38" s="544"/>
      <c r="G38" s="544"/>
      <c r="H38" s="544"/>
      <c r="I38" s="544"/>
      <c r="J38" s="617">
        <f>+J8*(1+'.c12_inputs.hr'!$E$15)+(J23*(1+'.c12_inputs.hr'!$E$16))</f>
        <v>0</v>
      </c>
      <c r="K38" s="617">
        <f>+K8*(1+'.c12_inputs.hr'!$E$15)+(K23*(1+'.c12_inputs.hr'!$E$16))</f>
        <v>0</v>
      </c>
      <c r="L38" s="617">
        <f>+L8*(1+'.c12_inputs.hr'!$E$15)+(L23*(1+'.c12_inputs.hr'!$E$16))</f>
        <v>24479.999999999996</v>
      </c>
      <c r="M38" s="617">
        <f>+M8*(1+'.c12_inputs.hr'!$E$15)+(M23*(1+'.c12_inputs.hr'!$E$16))</f>
        <v>29674.999999999996</v>
      </c>
      <c r="N38" s="617">
        <f>+N8*(1+'.c12_inputs.hr'!$E$15)+(N23*(1+'.c12_inputs.hr'!$E$16))</f>
        <v>24479.999999999996</v>
      </c>
      <c r="O38" s="617">
        <f>+O8*(1+'.c12_inputs.hr'!$E$15)+(O23*(1+'.c12_inputs.hr'!$E$16))</f>
        <v>24479.999999999996</v>
      </c>
      <c r="P38" s="617">
        <f>+P8*(1+'.c12_inputs.hr'!$E$15)+(P23*(1+'.c12_inputs.hr'!$E$16))</f>
        <v>24479.999999999996</v>
      </c>
      <c r="Q38" s="617">
        <f>+Q8*(1+'.c12_inputs.hr'!$E$15)+(Q23*(1+'.c12_inputs.hr'!$E$16))</f>
        <v>32272.499999999996</v>
      </c>
      <c r="R38" s="544">
        <f>+R8*(1+'.c12_inputs.hr'!$E$15)+(R23*(1+'.c12_inputs.hr'!$E$16))</f>
        <v>105712.49999999999</v>
      </c>
      <c r="S38" s="544">
        <f>+S8*(1+'.c12_inputs.hr'!$E$15)+(S23*(1+'.c12_inputs.hr'!$E$16))</f>
        <v>105712.49999999999</v>
      </c>
      <c r="T38" s="544">
        <f>+T8*(1+'.c12_inputs.hr'!$E$15)+(T23*(1+'.c12_inputs.hr'!$E$16))</f>
        <v>105712.49999999999</v>
      </c>
      <c r="U38" s="544">
        <f>+U8*(1+'.c12_inputs.hr'!$E$15)+(U23*(1+'.c12_inputs.hr'!$E$16))</f>
        <v>105712.49999999999</v>
      </c>
      <c r="V38" s="544"/>
      <c r="W38" s="544"/>
      <c r="X38" s="545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</row>
    <row r="39" spans="1:61">
      <c r="A39" s="446" t="str">
        <f t="shared" si="3"/>
        <v>Fin Controls (TB) - 100%</v>
      </c>
      <c r="B39" s="458" t="s">
        <v>36</v>
      </c>
      <c r="C39" s="458" t="s">
        <v>1040</v>
      </c>
      <c r="D39" s="458" t="s">
        <v>1085</v>
      </c>
      <c r="E39" s="544"/>
      <c r="F39" s="544"/>
      <c r="G39" s="544"/>
      <c r="H39" s="544"/>
      <c r="I39" s="544"/>
      <c r="J39" s="617">
        <f>+J9*(1+'.c12_inputs.hr'!$E$15)+(J24*(1+'.c12_inputs.hr'!$E$16))</f>
        <v>53279.999999999993</v>
      </c>
      <c r="K39" s="617">
        <f>+K9*(1+'.c12_inputs.hr'!$E$15)+(K24*(1+'.c12_inputs.hr'!$E$16))</f>
        <v>53279.999999999993</v>
      </c>
      <c r="L39" s="617">
        <f>+L9*(1+'.c12_inputs.hr'!$E$15)+(L24*(1+'.c12_inputs.hr'!$E$16))</f>
        <v>53279.999999999993</v>
      </c>
      <c r="M39" s="617">
        <f>+M9*(1+'.c12_inputs.hr'!$E$15)+(M24*(1+'.c12_inputs.hr'!$E$16))</f>
        <v>71462.5</v>
      </c>
      <c r="N39" s="617">
        <f>+N9*(1+'.c12_inputs.hr'!$E$15)+(N24*(1+'.c12_inputs.hr'!$E$16))</f>
        <v>56159.999999999993</v>
      </c>
      <c r="O39" s="617">
        <f>+O9*(1+'.c12_inputs.hr'!$E$15)+(O24*(1+'.c12_inputs.hr'!$E$16))</f>
        <v>56159.999999999993</v>
      </c>
      <c r="P39" s="617">
        <f>+P9*(1+'.c12_inputs.hr'!$E$15)+(P24*(1+'.c12_inputs.hr'!$E$16))</f>
        <v>56159.999999999993</v>
      </c>
      <c r="Q39" s="617">
        <f>+Q9*(1+'.c12_inputs.hr'!$E$15)+(Q24*(1+'.c12_inputs.hr'!$E$16))</f>
        <v>71744.999999999985</v>
      </c>
      <c r="R39" s="544">
        <f>+R9*(1+'.c12_inputs.hr'!$E$15)+(R24*(1+'.c12_inputs.hr'!$E$16))</f>
        <v>240224.99999999997</v>
      </c>
      <c r="S39" s="544">
        <f>+S9*(1+'.c12_inputs.hr'!$E$15)+(S24*(1+'.c12_inputs.hr'!$E$16))</f>
        <v>240224.99999999997</v>
      </c>
      <c r="T39" s="544">
        <f>+T9*(1+'.c12_inputs.hr'!$E$15)+(T24*(1+'.c12_inputs.hr'!$E$16))</f>
        <v>240224.99999999997</v>
      </c>
      <c r="U39" s="544">
        <f>+U9*(1+'.c12_inputs.hr'!$E$15)+(U24*(1+'.c12_inputs.hr'!$E$16))</f>
        <v>240224.99999999997</v>
      </c>
      <c r="V39" s="544"/>
      <c r="W39" s="544"/>
      <c r="X39" s="545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  <c r="BF39" s="446"/>
      <c r="BG39" s="446"/>
      <c r="BH39" s="446"/>
      <c r="BI39" s="446"/>
    </row>
    <row r="40" spans="1:61">
      <c r="A40" s="446" t="str">
        <f t="shared" si="3"/>
        <v>Administrative Assistant (AM)</v>
      </c>
      <c r="B40" s="458" t="s">
        <v>36</v>
      </c>
      <c r="C40" s="458" t="s">
        <v>1040</v>
      </c>
      <c r="D40" s="458" t="s">
        <v>1068</v>
      </c>
      <c r="E40" s="544"/>
      <c r="F40" s="544"/>
      <c r="G40" s="544"/>
      <c r="H40" s="544"/>
      <c r="I40" s="544"/>
      <c r="J40" s="617">
        <f>+J10*(1+'.c12_inputs.hr'!$E$15)+(J25*(1+'.c12_inputs.hr'!$E$16))</f>
        <v>43200</v>
      </c>
      <c r="K40" s="617">
        <f>+K10*(1+'.c12_inputs.hr'!$E$15)+(K25*(1+'.c12_inputs.hr'!$E$16))</f>
        <v>43200</v>
      </c>
      <c r="L40" s="617">
        <f>+L10*(1+'.c12_inputs.hr'!$E$15)+(L25*(1+'.c12_inputs.hr'!$E$16))</f>
        <v>43200</v>
      </c>
      <c r="M40" s="617">
        <f>+M10*(1+'.c12_inputs.hr'!$E$15)+(M25*(1+'.c12_inputs.hr'!$E$16))</f>
        <v>46390</v>
      </c>
      <c r="N40" s="617">
        <f>+N10*(1+'.c12_inputs.hr'!$E$15)+(N25*(1+'.c12_inputs.hr'!$E$16))</f>
        <v>0</v>
      </c>
      <c r="O40" s="617">
        <f>+O10*(1+'.c12_inputs.hr'!$E$15)+(O25*(1+'.c12_inputs.hr'!$E$16))</f>
        <v>0</v>
      </c>
      <c r="P40" s="617">
        <f>+P10*(1+'.c12_inputs.hr'!$E$15)+(P25*(1+'.c12_inputs.hr'!$E$16))</f>
        <v>0</v>
      </c>
      <c r="Q40" s="617">
        <f>+Q10*(1+'.c12_inputs.hr'!$E$15)+(Q25*(1+'.c12_inputs.hr'!$E$16))</f>
        <v>0</v>
      </c>
      <c r="R40" s="544">
        <f>+R10*(1+'.c12_inputs.hr'!$E$15)+(R25*(1+'.c12_inputs.hr'!$E$16))</f>
        <v>0</v>
      </c>
      <c r="S40" s="544">
        <f>+S10*(1+'.c12_inputs.hr'!$E$15)+(S25*(1+'.c12_inputs.hr'!$E$16))</f>
        <v>0</v>
      </c>
      <c r="T40" s="544">
        <f>+T10*(1+'.c12_inputs.hr'!$E$15)+(T25*(1+'.c12_inputs.hr'!$E$16))</f>
        <v>0</v>
      </c>
      <c r="U40" s="544">
        <f>+U10*(1+'.c12_inputs.hr'!$E$15)+(U25*(1+'.c12_inputs.hr'!$E$16))</f>
        <v>0</v>
      </c>
      <c r="V40" s="544"/>
      <c r="W40" s="544"/>
      <c r="X40" s="545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</row>
    <row r="41" spans="1:61">
      <c r="A41" s="446" t="str">
        <f t="shared" si="3"/>
        <v>Administrative Assistant (PT)</v>
      </c>
      <c r="B41" s="458" t="s">
        <v>36</v>
      </c>
      <c r="C41" s="458" t="s">
        <v>1040</v>
      </c>
      <c r="D41" s="458" t="s">
        <v>1088</v>
      </c>
      <c r="E41" s="540"/>
      <c r="F41" s="540"/>
      <c r="G41" s="540"/>
      <c r="H41" s="540"/>
      <c r="I41" s="540"/>
      <c r="J41" s="610">
        <f>'.c12_bi&amp;f_hr'!J11*(1+'.c12_inputs.hr'!$E$5)+('.c12_bi&amp;f_hr'!J26*(1+'.c12_inputs.hr'!$E$6))</f>
        <v>0</v>
      </c>
      <c r="K41" s="610">
        <f>'.c12_bi&amp;f_hr'!K11*(1+'.c12_inputs.hr'!$E$5)+('.c12_bi&amp;f_hr'!K26*(1+'.c12_inputs.hr'!$E$6))</f>
        <v>0</v>
      </c>
      <c r="L41" s="610">
        <f>'.c12_bi&amp;f_hr'!L11*(1+'.c12_inputs.hr'!$E$5)+('.c12_bi&amp;f_hr'!L26*(1+'.c12_inputs.hr'!$E$6))</f>
        <v>0</v>
      </c>
      <c r="M41" s="610">
        <f>'.c12_bi&amp;f_hr'!M11*(1+'.c12_inputs.hr'!$E$5)+('.c12_bi&amp;f_hr'!M26*(1+'.c12_inputs.hr'!$E$6))</f>
        <v>0</v>
      </c>
      <c r="N41" s="610">
        <f>'.c12_bi&amp;f_hr'!N11*(1+'.c12_inputs.hr'!$E$5)+('.c12_bi&amp;f_hr'!N26*(1+'.c12_inputs.hr'!$E$6))</f>
        <v>0</v>
      </c>
      <c r="O41" s="610">
        <f>'.c12_bi&amp;f_hr'!O11*(1+'.c12_inputs.hr'!$E$5)+('.c12_bi&amp;f_hr'!O26*(1+'.c12_inputs.hr'!$E$6))</f>
        <v>36250</v>
      </c>
      <c r="P41" s="610">
        <f>'.c12_bi&amp;f_hr'!P11*(1+'.c12_inputs.hr'!$E$5)+('.c12_bi&amp;f_hr'!P26*(1+'.c12_inputs.hr'!$E$6))</f>
        <v>36250</v>
      </c>
      <c r="Q41" s="610">
        <f>'.c12_bi&amp;f_hr'!Q11*(1+'.c12_inputs.hr'!$E$5)+('.c12_bi&amp;f_hr'!Q26*(1+'.c12_inputs.hr'!$E$6))</f>
        <v>46640</v>
      </c>
      <c r="R41" s="540">
        <f>'.c12_bi&amp;f_hr'!R11*(1+'.c12_inputs.hr'!$E$5)+('.c12_bi&amp;f_hr'!R26*(1+'.c12_inputs.hr'!$E$6))</f>
        <v>155390</v>
      </c>
      <c r="S41" s="540">
        <f>'.c12_bi&amp;f_hr'!S11*(1+'.c12_inputs.hr'!$E$5)+('.c12_bi&amp;f_hr'!S26*(1+'.c12_inputs.hr'!$E$6))</f>
        <v>155390</v>
      </c>
      <c r="T41" s="540">
        <f>'.c12_bi&amp;f_hr'!T11*(1+'.c12_inputs.hr'!$E$5)+('.c12_bi&amp;f_hr'!T26*(1+'.c12_inputs.hr'!$E$6))</f>
        <v>155390</v>
      </c>
      <c r="U41" s="540">
        <f>'.c12_bi&amp;f_hr'!U11*(1+'.c12_inputs.hr'!$E$5)+('.c12_bi&amp;f_hr'!U26*(1+'.c12_inputs.hr'!$E$6))</f>
        <v>155390</v>
      </c>
      <c r="V41" s="540"/>
      <c r="W41" s="471"/>
      <c r="X41" s="446"/>
      <c r="Y41" s="446"/>
      <c r="Z41" s="446"/>
      <c r="AA41" s="446"/>
      <c r="AB41" s="446"/>
      <c r="AC41" s="446"/>
      <c r="AD41" s="446"/>
      <c r="AE41" s="446"/>
      <c r="AF41" s="446"/>
      <c r="AG41" s="491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</row>
    <row r="42" spans="1:61">
      <c r="A42" s="446" t="str">
        <f t="shared" si="3"/>
        <v>Financial Director (DV) - 100%</v>
      </c>
      <c r="B42" s="458" t="s">
        <v>36</v>
      </c>
      <c r="C42" s="458" t="s">
        <v>1040</v>
      </c>
      <c r="D42" s="458" t="s">
        <v>1090</v>
      </c>
      <c r="E42" s="544"/>
      <c r="F42" s="544"/>
      <c r="G42" s="544"/>
      <c r="H42" s="544"/>
      <c r="I42" s="544"/>
      <c r="J42" s="617">
        <f>+J12*(1+'.c12_inputs.hr'!$E$15)+(J27*(1+'.c12_inputs.hr'!$E$16))</f>
        <v>0</v>
      </c>
      <c r="K42" s="617">
        <f>+K12*(1+'.c12_inputs.hr'!$E$15)+(K27*(1+'.c12_inputs.hr'!$E$16))</f>
        <v>0</v>
      </c>
      <c r="L42" s="617">
        <f>+L12*(1+'.c12_inputs.hr'!$E$15)+(L27*(1+'.c12_inputs.hr'!$E$16))</f>
        <v>61919.999999999993</v>
      </c>
      <c r="M42" s="617">
        <f>+M12*(1+'.c12_inputs.hr'!$E$15)+(M27*(1+'.c12_inputs.hr'!$E$16))</f>
        <v>82700</v>
      </c>
      <c r="N42" s="617">
        <f>+N12*(1+'.c12_inputs.hr'!$E$15)+(N27*(1+'.c12_inputs.hr'!$E$16))</f>
        <v>61919.999999999993</v>
      </c>
      <c r="O42" s="617">
        <f>+O12*(1+'.c12_inputs.hr'!$E$15)+(O27*(1+'.c12_inputs.hr'!$E$16))</f>
        <v>61919.999999999993</v>
      </c>
      <c r="P42" s="617">
        <f>+P12*(1+'.c12_inputs.hr'!$E$15)+(P27*(1+'.c12_inputs.hr'!$E$16))</f>
        <v>61919.999999999993</v>
      </c>
      <c r="Q42" s="617">
        <f>+Q12*(1+'.c12_inputs.hr'!$E$15)+(Q27*(1+'.c12_inputs.hr'!$E$16))</f>
        <v>103480</v>
      </c>
      <c r="R42" s="544">
        <f>+R12*(1+'.c12_inputs.hr'!$E$15)+(R27*(1+'.c12_inputs.hr'!$E$16))</f>
        <v>289240</v>
      </c>
      <c r="S42" s="544">
        <f>+S12*(1+'.c12_inputs.hr'!$E$15)+(S27*(1+'.c12_inputs.hr'!$E$16))</f>
        <v>289240</v>
      </c>
      <c r="T42" s="544">
        <f>+T12*(1+'.c12_inputs.hr'!$E$15)+(T27*(1+'.c12_inputs.hr'!$E$16))</f>
        <v>289240</v>
      </c>
      <c r="U42" s="544">
        <f>+U12*(1+'.c12_inputs.hr'!$E$15)+(U27*(1+'.c12_inputs.hr'!$E$16))</f>
        <v>289240</v>
      </c>
      <c r="V42" s="544"/>
      <c r="W42" s="544"/>
      <c r="X42" s="545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</row>
    <row r="43" spans="1:61">
      <c r="A43" s="446" t="str">
        <f t="shared" si="3"/>
        <v>IM (TW)</v>
      </c>
      <c r="B43" s="458" t="s">
        <v>36</v>
      </c>
      <c r="C43" s="458" t="s">
        <v>1040</v>
      </c>
      <c r="D43" s="458" t="s">
        <v>1092</v>
      </c>
      <c r="E43" s="544"/>
      <c r="F43" s="544"/>
      <c r="G43" s="544"/>
      <c r="H43" s="544"/>
      <c r="I43" s="544"/>
      <c r="J43" s="617">
        <f>+J13*(1+'.c12_inputs.hr'!$E$15)+(J28*(1+'.c12_inputs.hr'!$E$16))</f>
        <v>46080</v>
      </c>
      <c r="K43" s="617">
        <f>+K13*(1+'.c12_inputs.hr'!$E$15)+(K28*(1+'.c12_inputs.hr'!$E$16))</f>
        <v>46080</v>
      </c>
      <c r="L43" s="617">
        <f>+L13*(1+'.c12_inputs.hr'!$E$15)+(L28*(1+'.c12_inputs.hr'!$E$16))</f>
        <v>46080</v>
      </c>
      <c r="M43" s="617">
        <f>+M13*(1+'.c12_inputs.hr'!$E$15)+(M28*(1+'.c12_inputs.hr'!$E$16))</f>
        <v>72055</v>
      </c>
      <c r="N43" s="617">
        <f>+N13*(1+'.c12_inputs.hr'!$E$15)+(N28*(1+'.c12_inputs.hr'!$E$16))</f>
        <v>46080</v>
      </c>
      <c r="O43" s="617">
        <f>+O13*(1+'.c12_inputs.hr'!$E$15)+(O28*(1+'.c12_inputs.hr'!$E$16))</f>
        <v>46080</v>
      </c>
      <c r="P43" s="617">
        <f>+P13*(1+'.c12_inputs.hr'!$E$15)+(P28*(1+'.c12_inputs.hr'!$E$16))</f>
        <v>46080</v>
      </c>
      <c r="Q43" s="617">
        <f>+Q13*(1+'.c12_inputs.hr'!$E$15)+(Q28*(1+'.c12_inputs.hr'!$E$16))</f>
        <v>72055</v>
      </c>
      <c r="R43" s="544">
        <f>+R13*(1+'.c12_inputs.hr'!$E$15)+(R28*(1+'.c12_inputs.hr'!$E$16))</f>
        <v>256374.99999999997</v>
      </c>
      <c r="S43" s="544">
        <f>+S13*(1+'.c12_inputs.hr'!$E$15)+(S28*(1+'.c12_inputs.hr'!$E$16))</f>
        <v>256374.99999999997</v>
      </c>
      <c r="T43" s="544">
        <f>+T13*(1+'.c12_inputs.hr'!$E$15)+(T28*(1+'.c12_inputs.hr'!$E$16))</f>
        <v>256374.99999999997</v>
      </c>
      <c r="U43" s="544">
        <f>+U13*(1+'.c12_inputs.hr'!$E$15)+(U28*(1+'.c12_inputs.hr'!$E$16))</f>
        <v>256374.99999999997</v>
      </c>
      <c r="V43" s="544"/>
      <c r="W43" s="544"/>
      <c r="X43" s="545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</row>
    <row r="44" spans="1:61">
      <c r="A44" s="446" t="str">
        <f t="shared" si="3"/>
        <v>HR (100%)</v>
      </c>
      <c r="B44" s="458" t="s">
        <v>36</v>
      </c>
      <c r="C44" s="458" t="s">
        <v>1040</v>
      </c>
      <c r="D44" s="458" t="s">
        <v>1094</v>
      </c>
      <c r="E44" s="544"/>
      <c r="F44" s="544"/>
      <c r="G44" s="544"/>
      <c r="H44" s="544"/>
      <c r="I44" s="544"/>
      <c r="J44" s="617">
        <f>+J14*(1+'.c12_inputs.hr'!$E$15)+(J29*(1+'.c12_inputs.hr'!$E$16))</f>
        <v>0</v>
      </c>
      <c r="K44" s="617">
        <f>+K14*(1+'.c12_inputs.hr'!$E$15)+(K29*(1+'.c12_inputs.hr'!$E$16))</f>
        <v>0</v>
      </c>
      <c r="L44" s="617">
        <f>+L14*(1+'.c12_inputs.hr'!$E$15)+(L29*(1+'.c12_inputs.hr'!$E$16))</f>
        <v>0</v>
      </c>
      <c r="M44" s="617">
        <f>+M14*(1+'.c12_inputs.hr'!$E$15)+(M29*(1+'.c12_inputs.hr'!$E$16))</f>
        <v>0</v>
      </c>
      <c r="N44" s="617">
        <f>+N14*(1+'.c12_inputs.hr'!$E$15)+(N29*(1+'.c12_inputs.hr'!$E$16))</f>
        <v>0</v>
      </c>
      <c r="O44" s="617">
        <f>+O14*(1+'.c12_inputs.hr'!$E$15)+(O29*(1+'.c12_inputs.hr'!$E$16))</f>
        <v>0</v>
      </c>
      <c r="P44" s="617">
        <f>+P14*(1+'.c12_inputs.hr'!$E$15)+(P29*(1+'.c12_inputs.hr'!$E$16))</f>
        <v>43200</v>
      </c>
      <c r="Q44" s="617">
        <f>+Q14*(1+'.c12_inputs.hr'!$E$15)+(Q29*(1+'.c12_inputs.hr'!$E$16))</f>
        <v>58785</v>
      </c>
      <c r="R44" s="544">
        <f>+R14*(1+'.c12_inputs.hr'!$E$15)+(R29*(1+'.c12_inputs.hr'!$E$16))</f>
        <v>198775</v>
      </c>
      <c r="S44" s="544">
        <f>+S14*(1+'.c12_inputs.hr'!$E$15)+(S29*(1+'.c12_inputs.hr'!$E$16))</f>
        <v>198775</v>
      </c>
      <c r="T44" s="544">
        <f>+T14*(1+'.c12_inputs.hr'!$E$15)+(T29*(1+'.c12_inputs.hr'!$E$16))</f>
        <v>198775</v>
      </c>
      <c r="U44" s="544">
        <f>+U14*(1+'.c12_inputs.hr'!$E$15)+(U29*(1+'.c12_inputs.hr'!$E$16))</f>
        <v>198775</v>
      </c>
      <c r="V44" s="544"/>
      <c r="W44" s="544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</row>
    <row r="45" spans="1:61">
      <c r="A45" s="446" t="str">
        <f t="shared" si="3"/>
        <v>Legal (100%)</v>
      </c>
      <c r="B45" s="458" t="s">
        <v>36</v>
      </c>
      <c r="C45" s="458" t="s">
        <v>1040</v>
      </c>
      <c r="D45" s="458" t="s">
        <v>1096</v>
      </c>
      <c r="E45" s="544"/>
      <c r="F45" s="544"/>
      <c r="G45" s="544"/>
      <c r="H45" s="544"/>
      <c r="I45" s="544"/>
      <c r="J45" s="617">
        <f>+J15*(1+'.c12_inputs.hr'!$E$15)+(J30*(1+'.c12_inputs.hr'!$E$16))</f>
        <v>0</v>
      </c>
      <c r="K45" s="617">
        <f>+K15*(1+'.c12_inputs.hr'!$E$15)+(K30*(1+'.c12_inputs.hr'!$E$16))</f>
        <v>0</v>
      </c>
      <c r="L45" s="617">
        <f>+L15*(1+'.c12_inputs.hr'!$E$15)+(L30*(1+'.c12_inputs.hr'!$E$16))</f>
        <v>0</v>
      </c>
      <c r="M45" s="617">
        <f>+M15*(1+'.c12_inputs.hr'!$E$15)+(M30*(1+'.c12_inputs.hr'!$E$16))</f>
        <v>0</v>
      </c>
      <c r="N45" s="617">
        <f>+N15*(1+'.c12_inputs.hr'!$E$15)+(N30*(1+'.c12_inputs.hr'!$E$16))</f>
        <v>0</v>
      </c>
      <c r="O45" s="617">
        <f>+O15*(1+'.c12_inputs.hr'!$E$15)+(O30*(1+'.c12_inputs.hr'!$E$16))</f>
        <v>0</v>
      </c>
      <c r="P45" s="617">
        <f>+P15*(1+'.c12_inputs.hr'!$E$15)+(P30*(1+'.c12_inputs.hr'!$E$16))</f>
        <v>64799.999999999993</v>
      </c>
      <c r="Q45" s="617">
        <f>+Q15*(1+'.c12_inputs.hr'!$E$15)+(Q30*(1+'.c12_inputs.hr'!$E$16))</f>
        <v>80384.999999999985</v>
      </c>
      <c r="R45" s="544">
        <f>+R15*(1+'.c12_inputs.hr'!$E$15)+(R30*(1+'.c12_inputs.hr'!$E$16))</f>
        <v>285174.99999999994</v>
      </c>
      <c r="S45" s="544">
        <f>+S15*(1+'.c12_inputs.hr'!$E$15)+(S30*(1+'.c12_inputs.hr'!$E$16))</f>
        <v>285174.99999999994</v>
      </c>
      <c r="T45" s="544">
        <f>+T15*(1+'.c12_inputs.hr'!$E$15)+(T30*(1+'.c12_inputs.hr'!$E$16))</f>
        <v>285174.99999999994</v>
      </c>
      <c r="U45" s="544">
        <f>+U15*(1+'.c12_inputs.hr'!$E$15)+(U30*(1+'.c12_inputs.hr'!$E$16))</f>
        <v>285174.99999999994</v>
      </c>
      <c r="V45" s="544"/>
      <c r="W45" s="544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</row>
    <row r="46" spans="1:61">
      <c r="A46" s="446" t="str">
        <f t="shared" si="3"/>
        <v>Tech1</v>
      </c>
      <c r="B46" s="458" t="s">
        <v>36</v>
      </c>
      <c r="C46" s="458" t="s">
        <v>1040</v>
      </c>
      <c r="D46" s="458" t="s">
        <v>1098</v>
      </c>
      <c r="E46" s="544"/>
      <c r="F46" s="544"/>
      <c r="G46" s="544"/>
      <c r="H46" s="544"/>
      <c r="I46" s="544"/>
      <c r="J46" s="617">
        <f>+J16*(1+'.c12_inputs.hr'!$E$15)+(J31*(1+'.c12_inputs.hr'!$E$16))</f>
        <v>0</v>
      </c>
      <c r="K46" s="617">
        <f>+K16*(1+'.c12_inputs.hr'!$E$15)+(K31*(1+'.c12_inputs.hr'!$E$16))</f>
        <v>0</v>
      </c>
      <c r="L46" s="617">
        <f>+L16*(1+'.c12_inputs.hr'!$E$15)+(L31*(1+'.c12_inputs.hr'!$E$16))</f>
        <v>0</v>
      </c>
      <c r="M46" s="617">
        <f>+M16*(1+'.c12_inputs.hr'!$E$15)+(M31*(1+'.c12_inputs.hr'!$E$16))</f>
        <v>0</v>
      </c>
      <c r="N46" s="617">
        <f>+N16*(1+'.c12_inputs.hr'!$E$15)+(N31*(1+'.c12_inputs.hr'!$E$16))</f>
        <v>0</v>
      </c>
      <c r="O46" s="617">
        <f>+O16*(1+'.c12_inputs.hr'!$E$15)+(O31*(1+'.c12_inputs.hr'!$E$16))</f>
        <v>0</v>
      </c>
      <c r="P46" s="617">
        <f>+P16*(1+'.c12_inputs.hr'!$E$15)+(P31*(1+'.c12_inputs.hr'!$E$16))</f>
        <v>64799.999999999993</v>
      </c>
      <c r="Q46" s="617">
        <f>+Q16*(1+'.c12_inputs.hr'!$E$15)+(Q31*(1+'.c12_inputs.hr'!$E$16))</f>
        <v>80384.999999999985</v>
      </c>
      <c r="R46" s="544">
        <f>+R16*(1+'.c12_inputs.hr'!$E$15)+(R31*(1+'.c12_inputs.hr'!$E$16))</f>
        <v>285174.99999999994</v>
      </c>
      <c r="S46" s="544">
        <f>+S16*(1+'.c12_inputs.hr'!$E$15)+(S31*(1+'.c12_inputs.hr'!$E$16))</f>
        <v>285174.99999999994</v>
      </c>
      <c r="T46" s="544">
        <f>+T16*(1+'.c12_inputs.hr'!$E$15)+(T31*(1+'.c12_inputs.hr'!$E$16))</f>
        <v>285174.99999999994</v>
      </c>
      <c r="U46" s="544">
        <f>+U16*(1+'.c12_inputs.hr'!$E$15)+(U31*(1+'.c12_inputs.hr'!$E$16))</f>
        <v>285174.99999999994</v>
      </c>
      <c r="V46" s="544"/>
      <c r="W46" s="544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</row>
    <row r="47" spans="1:61" ht="14.65" customHeight="1">
      <c r="A47" s="446" t="str">
        <f t="shared" si="3"/>
        <v>Tech2</v>
      </c>
      <c r="B47" s="458" t="s">
        <v>36</v>
      </c>
      <c r="C47" s="458" t="s">
        <v>1040</v>
      </c>
      <c r="D47" s="458" t="s">
        <v>1100</v>
      </c>
      <c r="E47" s="544"/>
      <c r="F47" s="544"/>
      <c r="G47" s="544"/>
      <c r="H47" s="544"/>
      <c r="I47" s="544"/>
      <c r="J47" s="617">
        <f>+J17*(1+'.c12_inputs.hr'!$E$15)+(J32*(1+'.c12_inputs.hr'!$E$16))</f>
        <v>0</v>
      </c>
      <c r="K47" s="617">
        <f>+K17*(1+'.c12_inputs.hr'!$E$15)+(K32*(1+'.c12_inputs.hr'!$E$16))</f>
        <v>0</v>
      </c>
      <c r="L47" s="617">
        <f>+L17*(1+'.c12_inputs.hr'!$E$15)+(L32*(1+'.c12_inputs.hr'!$E$16))</f>
        <v>0</v>
      </c>
      <c r="M47" s="617">
        <f>+M17*(1+'.c12_inputs.hr'!$E$15)+(M32*(1+'.c12_inputs.hr'!$E$16))</f>
        <v>0</v>
      </c>
      <c r="N47" s="617">
        <f>+N17*(1+'.c12_inputs.hr'!$E$15)+(N32*(1+'.c12_inputs.hr'!$E$16))</f>
        <v>0</v>
      </c>
      <c r="O47" s="617">
        <f>+O17*(1+'.c12_inputs.hr'!$E$15)+(O32*(1+'.c12_inputs.hr'!$E$16))</f>
        <v>0</v>
      </c>
      <c r="P47" s="617">
        <f>+P17*(1+'.c12_inputs.hr'!$E$15)+(P32*(1+'.c12_inputs.hr'!$E$16))</f>
        <v>21600</v>
      </c>
      <c r="Q47" s="617">
        <f>+Q17*(1+'.c12_inputs.hr'!$E$15)+(Q32*(1+'.c12_inputs.hr'!$E$16))</f>
        <v>37185</v>
      </c>
      <c r="R47" s="544">
        <f>+R17*(1+'.c12_inputs.hr'!$E$15)+(R32*(1+'.c12_inputs.hr'!$E$16))</f>
        <v>112375</v>
      </c>
      <c r="S47" s="544">
        <f>+S17*(1+'.c12_inputs.hr'!$E$15)+(S32*(1+'.c12_inputs.hr'!$E$16))</f>
        <v>112375</v>
      </c>
      <c r="T47" s="544">
        <f>+T17*(1+'.c12_inputs.hr'!$E$15)+(T32*(1+'.c12_inputs.hr'!$E$16))</f>
        <v>112375</v>
      </c>
      <c r="U47" s="544">
        <f>+U17*(1+'.c12_inputs.hr'!$E$15)+(U32*(1+'.c12_inputs.hr'!$E$16))</f>
        <v>112375</v>
      </c>
      <c r="V47" s="544"/>
      <c r="W47" s="544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</row>
    <row r="48" spans="1:61" ht="14.65" customHeight="1">
      <c r="A48" s="615" t="s">
        <v>100</v>
      </c>
      <c r="B48" s="458" t="s">
        <v>36</v>
      </c>
      <c r="C48" s="458" t="s">
        <v>101</v>
      </c>
      <c r="D48" s="446"/>
      <c r="E48" s="544"/>
      <c r="F48" s="544"/>
      <c r="G48" s="544"/>
      <c r="H48" s="544"/>
      <c r="I48" s="544"/>
      <c r="J48" s="617">
        <f t="shared" ref="J48:U48" si="4">SUM(J36:J47)</f>
        <v>250559.99999999997</v>
      </c>
      <c r="K48" s="617">
        <f t="shared" si="4"/>
        <v>250559.99999999997</v>
      </c>
      <c r="L48" s="617">
        <f t="shared" si="4"/>
        <v>336959.99999999994</v>
      </c>
      <c r="M48" s="617">
        <f t="shared" si="4"/>
        <v>602497.5</v>
      </c>
      <c r="N48" s="617">
        <f t="shared" si="4"/>
        <v>296640</v>
      </c>
      <c r="O48" s="617">
        <f t="shared" si="4"/>
        <v>476890</v>
      </c>
      <c r="P48" s="617">
        <f t="shared" si="4"/>
        <v>671290</v>
      </c>
      <c r="Q48" s="617">
        <f t="shared" si="4"/>
        <v>1172607.5</v>
      </c>
      <c r="R48" s="544">
        <f t="shared" si="4"/>
        <v>3285967.5</v>
      </c>
      <c r="S48" s="544">
        <f t="shared" si="4"/>
        <v>3285967.5</v>
      </c>
      <c r="T48" s="544">
        <f t="shared" si="4"/>
        <v>3285967.5</v>
      </c>
      <c r="U48" s="544">
        <f t="shared" si="4"/>
        <v>3285967.5</v>
      </c>
      <c r="V48" s="544"/>
      <c r="W48" s="545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</row>
    <row r="49" spans="1:61">
      <c r="A49" s="486" t="s">
        <v>102</v>
      </c>
      <c r="B49" s="458" t="s">
        <v>36</v>
      </c>
      <c r="C49" s="458" t="s">
        <v>103</v>
      </c>
      <c r="D49" s="446"/>
      <c r="E49" s="565"/>
      <c r="F49" s="565"/>
      <c r="G49" s="565"/>
      <c r="H49" s="565"/>
      <c r="I49" s="565"/>
      <c r="J49" s="573">
        <f>SUMPRODUCT('.c12_alloc'!$H$39:$H$50,'.c12_bi&amp;f_hr'!J$36:J$47)</f>
        <v>53279.999999999993</v>
      </c>
      <c r="K49" s="573">
        <f>SUMPRODUCT('.c12_alloc'!$H$39:$H$50,'.c12_bi&amp;f_hr'!K$36:K$47)</f>
        <v>53279.999999999993</v>
      </c>
      <c r="L49" s="573">
        <f>SUMPRODUCT('.c12_alloc'!$H$39:$H$50,'.c12_bi&amp;f_hr'!L$36:L$47)</f>
        <v>115199.99999999999</v>
      </c>
      <c r="M49" s="573">
        <f>SUMPRODUCT('.c12_alloc'!$H$39:$H$50,'.c12_bi&amp;f_hr'!M$36:M$47)</f>
        <v>154162.5</v>
      </c>
      <c r="N49" s="573">
        <f>SUMPRODUCT('.c12_alloc'!$H$39:$H$50,'.c12_bi&amp;f_hr'!N$36:N$47)</f>
        <v>118079.99999999999</v>
      </c>
      <c r="O49" s="573">
        <f>SUMPRODUCT('.c12_alloc'!$H$39:$H$50,'.c12_bi&amp;f_hr'!O$36:O$47)</f>
        <v>118079.99999999999</v>
      </c>
      <c r="P49" s="573">
        <f>SUMPRODUCT('.c12_alloc'!$H$39:$H$50,'.c12_bi&amp;f_hr'!P$36:P$47)</f>
        <v>226080</v>
      </c>
      <c r="Q49" s="573">
        <f>SUMPRODUCT('.c12_alloc'!$H$39:$H$50,'.c12_bi&amp;f_hr'!Q$36:Q$47)</f>
        <v>314395</v>
      </c>
      <c r="R49" s="565">
        <f>SUMPRODUCT('.c12_alloc'!$H$39:$H$50,'.c12_bi&amp;f_hr'!R$36:R$47)</f>
        <v>1013415</v>
      </c>
      <c r="S49" s="565">
        <f>SUMPRODUCT('.c12_alloc'!$H$39:$H$50,'.c12_bi&amp;f_hr'!S$36:S$47)</f>
        <v>1013415</v>
      </c>
      <c r="T49" s="565">
        <f>SUMPRODUCT('.c12_alloc'!$H$39:$H$50,'.c12_bi&amp;f_hr'!T$36:T$47)</f>
        <v>1013415</v>
      </c>
      <c r="U49" s="565">
        <f>SUMPRODUCT('.c12_alloc'!$H$39:$H$50,'.c12_bi&amp;f_hr'!U$36:U$47)</f>
        <v>1013415</v>
      </c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</row>
    <row r="50" spans="1:61">
      <c r="A50" s="486" t="s">
        <v>104</v>
      </c>
      <c r="B50" s="458" t="s">
        <v>36</v>
      </c>
      <c r="C50" s="458" t="s">
        <v>105</v>
      </c>
      <c r="D50" s="446"/>
      <c r="E50" s="565"/>
      <c r="F50" s="565"/>
      <c r="G50" s="565"/>
      <c r="H50" s="565"/>
      <c r="I50" s="565"/>
      <c r="J50" s="573">
        <f>SUMPRODUCT('.c12_alloc'!$G$39:$G$50,'.c12_bi&amp;f_hr'!J$36:J$47)</f>
        <v>197280</v>
      </c>
      <c r="K50" s="573">
        <f>SUMPRODUCT('.c12_alloc'!$G$39:$G$50,'.c12_bi&amp;f_hr'!K$36:K$47)</f>
        <v>197280</v>
      </c>
      <c r="L50" s="573">
        <f>SUMPRODUCT('.c12_alloc'!$G$39:$G$50,'.c12_bi&amp;f_hr'!L$36:L$47)</f>
        <v>221759.99999999997</v>
      </c>
      <c r="M50" s="573">
        <f>SUMPRODUCT('.c12_alloc'!$G$39:$G$50,'.c12_bi&amp;f_hr'!M$36:M$47)</f>
        <v>448334.99999999994</v>
      </c>
      <c r="N50" s="573">
        <f>SUMPRODUCT('.c12_alloc'!$G$39:$G$50,'.c12_bi&amp;f_hr'!N$36:N$47)</f>
        <v>178559.99999999997</v>
      </c>
      <c r="O50" s="573">
        <f>SUMPRODUCT('.c12_alloc'!$G$39:$G$50,'.c12_bi&amp;f_hr'!O$36:O$47)</f>
        <v>358810</v>
      </c>
      <c r="P50" s="573">
        <f>SUMPRODUCT('.c12_alloc'!$G$39:$G$50,'.c12_bi&amp;f_hr'!P$36:P$47)</f>
        <v>445210</v>
      </c>
      <c r="Q50" s="573">
        <f>SUMPRODUCT('.c12_alloc'!$G$39:$G$50,'.c12_bi&amp;f_hr'!Q$36:Q$47)</f>
        <v>858212.5</v>
      </c>
      <c r="R50" s="565">
        <f>SUMPRODUCT('.c12_alloc'!$G$39:$G$50,'.c12_bi&amp;f_hr'!R$36:R$47)</f>
        <v>2272552.5</v>
      </c>
      <c r="S50" s="565">
        <f>SUMPRODUCT('.c12_alloc'!$G$39:$G$50,'.c12_bi&amp;f_hr'!S$36:S$47)</f>
        <v>2272552.5</v>
      </c>
      <c r="T50" s="565">
        <f>SUMPRODUCT('.c12_alloc'!$G$39:$G$50,'.c12_bi&amp;f_hr'!T$36:T$47)</f>
        <v>2272552.5</v>
      </c>
      <c r="U50" s="565">
        <f>SUMPRODUCT('.c12_alloc'!$G$39:$G$50,'.c12_bi&amp;f_hr'!U$36:U$47)</f>
        <v>2272552.5</v>
      </c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</row>
    <row r="51" spans="1:61">
      <c r="A51" s="486" t="s">
        <v>106</v>
      </c>
      <c r="B51" s="458" t="s">
        <v>36</v>
      </c>
      <c r="C51" s="458" t="s">
        <v>107</v>
      </c>
      <c r="D51" s="446"/>
      <c r="E51" s="565"/>
      <c r="F51" s="565"/>
      <c r="G51" s="565"/>
      <c r="H51" s="565"/>
      <c r="I51" s="565"/>
      <c r="J51" s="573">
        <f>SUMPRODUCT('.c12_alloc'!$E$39:$E$50,'.c12_bi&amp;f_hr'!J$36:J$47)</f>
        <v>0</v>
      </c>
      <c r="K51" s="573">
        <f>SUMPRODUCT('.c12_alloc'!$E$39:$E$50,'.c12_bi&amp;f_hr'!K$36:K$47)</f>
        <v>0</v>
      </c>
      <c r="L51" s="573">
        <f>SUMPRODUCT('.c12_alloc'!$E$39:$E$50,'.c12_bi&amp;f_hr'!L$36:L$47)</f>
        <v>0</v>
      </c>
      <c r="M51" s="573">
        <f>SUMPRODUCT('.c12_alloc'!$E$39:$E$50,'.c12_bi&amp;f_hr'!M$36:M$47)</f>
        <v>0</v>
      </c>
      <c r="N51" s="573">
        <f>SUMPRODUCT('.c12_alloc'!$E$39:$E$50,'.c12_bi&amp;f_hr'!N$36:N$47)</f>
        <v>0</v>
      </c>
      <c r="O51" s="573">
        <f>SUMPRODUCT('.c12_alloc'!$E$39:$E$50,'.c12_bi&amp;f_hr'!O$36:O$47)</f>
        <v>0</v>
      </c>
      <c r="P51" s="573">
        <f>SUMPRODUCT('.c12_alloc'!$E$39:$E$50,'.c12_bi&amp;f_hr'!P$36:P$47)</f>
        <v>0</v>
      </c>
      <c r="Q51" s="573">
        <f>SUMPRODUCT('.c12_alloc'!$E$39:$E$50,'.c12_bi&amp;f_hr'!Q$36:Q$47)</f>
        <v>0</v>
      </c>
      <c r="R51" s="565">
        <f>SUMPRODUCT('.c12_alloc'!$E$39:$E$50,'.c12_bi&amp;f_hr'!R$36:R$47)</f>
        <v>0</v>
      </c>
      <c r="S51" s="565">
        <f>SUMPRODUCT('.c12_alloc'!$E$39:$E$50,'.c12_bi&amp;f_hr'!S$36:S$47)</f>
        <v>0</v>
      </c>
      <c r="T51" s="565">
        <f>SUMPRODUCT('.c12_alloc'!$E$39:$E$50,'.c12_bi&amp;f_hr'!T$36:T$47)</f>
        <v>0</v>
      </c>
      <c r="U51" s="565">
        <f>SUMPRODUCT('.c12_alloc'!$E$39:$E$50,'.c12_bi&amp;f_hr'!U$36:U$47)</f>
        <v>0</v>
      </c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</row>
    <row r="52" spans="1:61">
      <c r="A52" s="446"/>
      <c r="B52" s="446"/>
      <c r="C52" s="446"/>
      <c r="D52" s="446"/>
      <c r="E52" s="565"/>
      <c r="F52" s="565"/>
      <c r="G52" s="565"/>
      <c r="H52" s="565"/>
      <c r="I52" s="565"/>
      <c r="J52" s="565"/>
      <c r="K52" s="565"/>
      <c r="L52" s="565"/>
      <c r="M52" s="565"/>
      <c r="N52" s="565"/>
      <c r="O52" s="565"/>
      <c r="P52" s="565"/>
      <c r="Q52" s="565"/>
      <c r="R52" s="565"/>
      <c r="S52" s="565"/>
      <c r="T52" s="565"/>
      <c r="U52" s="565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</row>
    <row r="53" spans="1:61">
      <c r="A53" s="446"/>
      <c r="B53" s="446"/>
      <c r="C53" s="446"/>
      <c r="D53" s="446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U53" s="565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</row>
    <row r="54" spans="1:61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</row>
    <row r="55" spans="1:61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</row>
    <row r="56" spans="1:61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</row>
    <row r="57" spans="1:61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</row>
    <row r="58" spans="1:61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</row>
    <row r="59" spans="1:61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</row>
    <row r="60" spans="1:61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</row>
    <row r="61" spans="1:61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</row>
    <row r="62" spans="1:61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</row>
    <row r="63" spans="1:61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</row>
    <row r="64" spans="1:61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</row>
    <row r="65" spans="1:61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</row>
    <row r="66" spans="1:61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</row>
    <row r="67" spans="1:61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</row>
    <row r="68" spans="1:61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</row>
    <row r="69" spans="1:61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</row>
    <row r="70" spans="1:61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</row>
    <row r="71" spans="1:61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</row>
    <row r="72" spans="1:61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</row>
    <row r="73" spans="1:61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</row>
    <row r="74" spans="1:61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  <c r="BF74" s="446"/>
      <c r="BG74" s="446"/>
      <c r="BH74" s="446"/>
      <c r="BI74" s="446"/>
    </row>
    <row r="75" spans="1:61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  <c r="BF75" s="446"/>
      <c r="BG75" s="446"/>
      <c r="BH75" s="446"/>
      <c r="BI75" s="446"/>
    </row>
    <row r="76" spans="1:61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  <c r="BF76" s="446"/>
      <c r="BG76" s="446"/>
      <c r="BH76" s="446"/>
      <c r="BI76" s="446"/>
    </row>
    <row r="77" spans="1:61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  <c r="BF77" s="446"/>
      <c r="BG77" s="446"/>
      <c r="BH77" s="446"/>
      <c r="BI77" s="446"/>
    </row>
    <row r="78" spans="1:61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  <c r="BF78" s="446"/>
      <c r="BG78" s="446"/>
      <c r="BH78" s="446"/>
      <c r="BI78" s="446"/>
    </row>
    <row r="79" spans="1:61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</row>
    <row r="80" spans="1:61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  <c r="BF80" s="446"/>
      <c r="BG80" s="446"/>
      <c r="BH80" s="446"/>
      <c r="BI80" s="446"/>
    </row>
    <row r="81" spans="1:61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  <c r="BF81" s="446"/>
      <c r="BG81" s="446"/>
      <c r="BH81" s="446"/>
      <c r="BI81" s="446"/>
    </row>
    <row r="82" spans="1:61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  <c r="BF82" s="446"/>
      <c r="BG82" s="446"/>
      <c r="BH82" s="446"/>
      <c r="BI82" s="446"/>
    </row>
    <row r="83" spans="1:61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  <c r="BF83" s="446"/>
      <c r="BG83" s="446"/>
      <c r="BH83" s="446"/>
      <c r="BI83" s="446"/>
    </row>
    <row r="84" spans="1:61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  <c r="BF84" s="446"/>
      <c r="BG84" s="446"/>
      <c r="BH84" s="446"/>
      <c r="BI84" s="446"/>
    </row>
    <row r="85" spans="1:61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  <c r="BF85" s="446"/>
      <c r="BG85" s="446"/>
      <c r="BH85" s="446"/>
      <c r="BI85" s="446"/>
    </row>
    <row r="86" spans="1:61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  <c r="BF86" s="446"/>
      <c r="BG86" s="446"/>
      <c r="BH86" s="446"/>
      <c r="BI86" s="446"/>
    </row>
    <row r="87" spans="1:61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  <c r="BF87" s="446"/>
      <c r="BG87" s="446"/>
      <c r="BH87" s="446"/>
      <c r="BI87" s="446"/>
    </row>
    <row r="88" spans="1:61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  <c r="BF88" s="446"/>
      <c r="BG88" s="446"/>
      <c r="BH88" s="446"/>
      <c r="BI88" s="446"/>
    </row>
    <row r="89" spans="1:61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  <c r="BF89" s="446"/>
      <c r="BG89" s="446"/>
      <c r="BH89" s="446"/>
      <c r="BI89" s="446"/>
    </row>
    <row r="90" spans="1:61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  <c r="BF90" s="446"/>
      <c r="BG90" s="446"/>
      <c r="BH90" s="446"/>
      <c r="BI90" s="446"/>
    </row>
    <row r="91" spans="1:61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  <c r="BF91" s="446"/>
      <c r="BG91" s="446"/>
      <c r="BH91" s="446"/>
      <c r="BI91" s="446"/>
    </row>
    <row r="92" spans="1:61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  <c r="BF92" s="446"/>
      <c r="BG92" s="446"/>
      <c r="BH92" s="446"/>
      <c r="BI92" s="446"/>
    </row>
    <row r="93" spans="1:61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  <c r="BF93" s="446"/>
      <c r="BG93" s="446"/>
      <c r="BH93" s="446"/>
      <c r="BI93" s="446"/>
    </row>
    <row r="94" spans="1:61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  <c r="BF94" s="446"/>
      <c r="BG94" s="446"/>
      <c r="BH94" s="446"/>
      <c r="BI94" s="446"/>
    </row>
    <row r="95" spans="1:61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  <c r="BF95" s="446"/>
      <c r="BG95" s="446"/>
      <c r="BH95" s="446"/>
      <c r="BI95" s="446"/>
    </row>
    <row r="96" spans="1:61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</row>
    <row r="97" spans="1:61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  <c r="BF97" s="446"/>
      <c r="BG97" s="446"/>
      <c r="BH97" s="446"/>
      <c r="BI97" s="446"/>
    </row>
    <row r="98" spans="1:61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  <c r="BF98" s="446"/>
      <c r="BG98" s="446"/>
      <c r="BH98" s="446"/>
      <c r="BI98" s="446"/>
    </row>
    <row r="99" spans="1:61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  <c r="BF99" s="446"/>
      <c r="BG99" s="446"/>
      <c r="BH99" s="446"/>
      <c r="BI99" s="446"/>
    </row>
    <row r="100" spans="1:61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  <c r="BF100" s="446"/>
      <c r="BG100" s="446"/>
      <c r="BH100" s="446"/>
      <c r="BI100" s="446"/>
    </row>
    <row r="101" spans="1:61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  <c r="BF101" s="446"/>
      <c r="BG101" s="446"/>
      <c r="BH101" s="446"/>
      <c r="BI101" s="446"/>
    </row>
    <row r="102" spans="1:61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  <c r="BF102" s="446"/>
      <c r="BG102" s="446"/>
      <c r="BH102" s="446"/>
      <c r="BI102" s="446"/>
    </row>
    <row r="103" spans="1:61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  <c r="BF103" s="446"/>
      <c r="BG103" s="446"/>
      <c r="BH103" s="446"/>
      <c r="BI103" s="446"/>
    </row>
    <row r="104" spans="1:61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  <c r="BF104" s="446"/>
      <c r="BG104" s="446"/>
      <c r="BH104" s="446"/>
      <c r="BI104" s="446"/>
    </row>
    <row r="105" spans="1:61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  <c r="BF105" s="446"/>
      <c r="BG105" s="446"/>
      <c r="BH105" s="446"/>
      <c r="BI105" s="446"/>
    </row>
    <row r="106" spans="1:61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  <c r="BF106" s="446"/>
      <c r="BG106" s="446"/>
      <c r="BH106" s="446"/>
      <c r="BI106" s="446"/>
    </row>
    <row r="107" spans="1:61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  <c r="BF107" s="446"/>
      <c r="BG107" s="446"/>
      <c r="BH107" s="446"/>
      <c r="BI107" s="446"/>
    </row>
    <row r="108" spans="1:61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  <c r="BF108" s="446"/>
      <c r="BG108" s="446"/>
      <c r="BH108" s="446"/>
      <c r="BI108" s="446"/>
    </row>
    <row r="109" spans="1:61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  <c r="BF109" s="446"/>
      <c r="BG109" s="446"/>
      <c r="BH109" s="446"/>
      <c r="BI109" s="446"/>
    </row>
    <row r="110" spans="1:61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  <c r="BF110" s="446"/>
      <c r="BG110" s="446"/>
      <c r="BH110" s="446"/>
      <c r="BI110" s="446"/>
    </row>
    <row r="111" spans="1:61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  <c r="BF111" s="446"/>
      <c r="BG111" s="446"/>
      <c r="BH111" s="446"/>
      <c r="BI111" s="446"/>
    </row>
    <row r="112" spans="1:61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6"/>
      <c r="BG112" s="446"/>
      <c r="BH112" s="446"/>
      <c r="BI112" s="446"/>
    </row>
    <row r="113" spans="1:61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  <c r="BF113" s="446"/>
      <c r="BG113" s="446"/>
      <c r="BH113" s="446"/>
      <c r="BI113" s="446"/>
    </row>
    <row r="114" spans="1:61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</row>
    <row r="115" spans="1:61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</row>
    <row r="116" spans="1:61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</row>
    <row r="117" spans="1:61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</row>
    <row r="118" spans="1:61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</row>
    <row r="119" spans="1:61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</row>
    <row r="120" spans="1:61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</row>
    <row r="121" spans="1:61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  <c r="BF121" s="446"/>
      <c r="BG121" s="446"/>
      <c r="BH121" s="446"/>
      <c r="BI121" s="446"/>
    </row>
    <row r="122" spans="1:61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  <c r="BF122" s="446"/>
      <c r="BG122" s="446"/>
      <c r="BH122" s="446"/>
      <c r="BI122" s="446"/>
    </row>
    <row r="123" spans="1:61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  <c r="BF123" s="446"/>
      <c r="BG123" s="446"/>
      <c r="BH123" s="446"/>
      <c r="BI123" s="446"/>
    </row>
    <row r="124" spans="1:61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  <c r="BF124" s="446"/>
      <c r="BG124" s="446"/>
      <c r="BH124" s="446"/>
      <c r="BI124" s="446"/>
    </row>
    <row r="125" spans="1:61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  <c r="BF125" s="446"/>
      <c r="BG125" s="446"/>
      <c r="BH125" s="446"/>
      <c r="BI125" s="446"/>
    </row>
    <row r="126" spans="1:61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  <c r="BF126" s="446"/>
      <c r="BG126" s="446"/>
      <c r="BH126" s="446"/>
      <c r="BI126" s="446"/>
    </row>
    <row r="127" spans="1:61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  <c r="BF127" s="446"/>
      <c r="BG127" s="446"/>
      <c r="BH127" s="446"/>
      <c r="BI127" s="446"/>
    </row>
    <row r="128" spans="1:61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  <c r="BF128" s="446"/>
      <c r="BG128" s="446"/>
      <c r="BH128" s="446"/>
      <c r="BI128" s="446"/>
    </row>
    <row r="129" spans="1:61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  <c r="BF129" s="446"/>
      <c r="BG129" s="446"/>
      <c r="BH129" s="446"/>
      <c r="BI129" s="446"/>
    </row>
    <row r="130" spans="1:61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  <c r="BF130" s="446"/>
      <c r="BG130" s="446"/>
      <c r="BH130" s="446"/>
      <c r="BI130" s="446"/>
    </row>
    <row r="131" spans="1:61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  <c r="BF131" s="446"/>
      <c r="BG131" s="446"/>
      <c r="BH131" s="446"/>
      <c r="BI131" s="446"/>
    </row>
    <row r="132" spans="1:61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  <c r="BF132" s="446"/>
      <c r="BG132" s="446"/>
      <c r="BH132" s="446"/>
      <c r="BI132" s="446"/>
    </row>
    <row r="133" spans="1:61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  <c r="BF133" s="446"/>
      <c r="BG133" s="446"/>
      <c r="BH133" s="446"/>
      <c r="BI133" s="446"/>
    </row>
    <row r="134" spans="1:61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  <c r="BF134" s="446"/>
      <c r="BG134" s="446"/>
      <c r="BH134" s="446"/>
      <c r="BI134" s="446"/>
    </row>
    <row r="135" spans="1:61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  <c r="BF135" s="446"/>
      <c r="BG135" s="446"/>
      <c r="BH135" s="446"/>
      <c r="BI135" s="446"/>
    </row>
    <row r="136" spans="1:61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  <c r="BF136" s="446"/>
      <c r="BG136" s="446"/>
      <c r="BH136" s="446"/>
      <c r="BI136" s="446"/>
    </row>
    <row r="137" spans="1:61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</row>
    <row r="138" spans="1:61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  <c r="BF138" s="446"/>
      <c r="BG138" s="446"/>
      <c r="BH138" s="446"/>
      <c r="BI138" s="446"/>
    </row>
    <row r="139" spans="1:61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  <c r="BF139" s="446"/>
      <c r="BG139" s="446"/>
      <c r="BH139" s="446"/>
      <c r="BI139" s="446"/>
    </row>
    <row r="140" spans="1:61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  <c r="BF140" s="446"/>
      <c r="BG140" s="446"/>
      <c r="BH140" s="446"/>
      <c r="BI140" s="446"/>
    </row>
    <row r="141" spans="1:61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  <c r="BF141" s="446"/>
      <c r="BG141" s="446"/>
      <c r="BH141" s="446"/>
      <c r="BI141" s="446"/>
    </row>
    <row r="142" spans="1:61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</row>
    <row r="143" spans="1:61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  <c r="BF143" s="446"/>
      <c r="BG143" s="446"/>
      <c r="BH143" s="446"/>
      <c r="BI143" s="446"/>
    </row>
    <row r="144" spans="1:61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  <c r="BF144" s="446"/>
      <c r="BG144" s="446"/>
      <c r="BH144" s="446"/>
      <c r="BI144" s="446"/>
    </row>
    <row r="145" spans="1:61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  <c r="BF145" s="446"/>
      <c r="BG145" s="446"/>
      <c r="BH145" s="446"/>
      <c r="BI145" s="446"/>
    </row>
    <row r="146" spans="1:61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</row>
    <row r="147" spans="1:61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  <c r="BF147" s="446"/>
      <c r="BG147" s="446"/>
      <c r="BH147" s="446"/>
      <c r="BI147" s="446"/>
    </row>
    <row r="148" spans="1:61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  <c r="BA148" s="446"/>
      <c r="BB148" s="446"/>
      <c r="BC148" s="446"/>
      <c r="BD148" s="446"/>
      <c r="BE148" s="446"/>
      <c r="BF148" s="446"/>
      <c r="BG148" s="446"/>
      <c r="BH148" s="446"/>
      <c r="BI148" s="446"/>
    </row>
    <row r="149" spans="1:61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  <c r="BA149" s="446"/>
      <c r="BB149" s="446"/>
      <c r="BC149" s="446"/>
      <c r="BD149" s="446"/>
      <c r="BE149" s="446"/>
      <c r="BF149" s="446"/>
      <c r="BG149" s="446"/>
      <c r="BH149" s="446"/>
      <c r="BI149" s="44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E50"/>
  <sheetViews>
    <sheetView topLeftCell="A26" workbookViewId="0">
      <pane xSplit="4" ySplit="3" topLeftCell="E29" activePane="bottomRight" state="frozen"/>
      <selection pane="topRight"/>
      <selection pane="bottomLeft"/>
      <selection pane="bottomRight" sqref="A1:A1048576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426" customFormat="1">
      <c r="A1" s="446"/>
      <c r="B1" s="447"/>
      <c r="C1" s="448"/>
      <c r="D1" s="447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</row>
    <row r="2" spans="1:57">
      <c r="A2" s="449"/>
      <c r="B2" s="450"/>
      <c r="C2" s="450"/>
      <c r="D2" s="450" t="s">
        <v>108</v>
      </c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2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</row>
    <row r="3" spans="1:57">
      <c r="A3" s="449"/>
      <c r="B3" s="450"/>
      <c r="C3" s="450"/>
      <c r="D3" s="450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5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</row>
    <row r="4" spans="1:57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</row>
    <row r="5" spans="1:57">
      <c r="A5" s="458" t="s">
        <v>1101</v>
      </c>
      <c r="B5" s="447"/>
      <c r="C5" s="448"/>
      <c r="D5" s="447"/>
      <c r="E5" s="491"/>
      <c r="F5" s="491"/>
      <c r="G5" s="627"/>
      <c r="H5" s="581"/>
      <c r="I5" s="581"/>
      <c r="J5" s="581"/>
      <c r="K5" s="581"/>
      <c r="L5" s="581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71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</row>
    <row r="6" spans="1:57">
      <c r="A6" s="458" t="s">
        <v>871</v>
      </c>
      <c r="B6" s="447"/>
      <c r="C6" s="448"/>
      <c r="D6" s="447"/>
      <c r="E6" s="628" t="s">
        <v>1102</v>
      </c>
      <c r="F6" s="628" t="s">
        <v>1103</v>
      </c>
      <c r="G6" s="628" t="s">
        <v>1104</v>
      </c>
      <c r="H6" s="628" t="s">
        <v>1105</v>
      </c>
      <c r="I6" s="629" t="s">
        <v>1106</v>
      </c>
      <c r="J6" s="629" t="s">
        <v>1107</v>
      </c>
      <c r="K6" s="629" t="s">
        <v>53</v>
      </c>
      <c r="L6" s="629" t="s">
        <v>1108</v>
      </c>
      <c r="M6" s="629" t="s">
        <v>1109</v>
      </c>
      <c r="N6" s="629" t="s">
        <v>54</v>
      </c>
      <c r="O6" s="629" t="s">
        <v>1110</v>
      </c>
      <c r="P6" s="629" t="s">
        <v>1111</v>
      </c>
      <c r="Q6" s="446"/>
      <c r="R6" s="446"/>
      <c r="S6" s="446"/>
      <c r="T6" s="446"/>
      <c r="U6" s="446"/>
      <c r="V6" s="446"/>
      <c r="W6" s="471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</row>
    <row r="7" spans="1:57">
      <c r="A7" s="458" t="s">
        <v>1025</v>
      </c>
      <c r="B7" s="548" t="s">
        <v>12</v>
      </c>
      <c r="C7" s="546" t="s">
        <v>1112</v>
      </c>
      <c r="D7" s="548" t="s">
        <v>1113</v>
      </c>
      <c r="E7" s="510">
        <f t="shared" ref="E7:E12" si="0">1-F7</f>
        <v>0</v>
      </c>
      <c r="F7" s="630">
        <f t="shared" ref="F7:F12" si="1">G7+H7</f>
        <v>1</v>
      </c>
      <c r="G7" s="630">
        <f t="shared" ref="G7:G12" si="2">1-H7-P7</f>
        <v>1</v>
      </c>
      <c r="H7" s="630">
        <f t="shared" ref="H7:H12" si="3">+SUM(I7:O7)</f>
        <v>0</v>
      </c>
      <c r="I7" s="631">
        <v>0</v>
      </c>
      <c r="J7" s="631">
        <v>0</v>
      </c>
      <c r="K7" s="631">
        <v>0</v>
      </c>
      <c r="L7" s="631">
        <v>0</v>
      </c>
      <c r="M7" s="631">
        <v>0</v>
      </c>
      <c r="N7" s="536">
        <v>0</v>
      </c>
      <c r="O7" s="534">
        <v>0</v>
      </c>
      <c r="P7" s="534">
        <v>0</v>
      </c>
      <c r="Q7" s="446"/>
      <c r="R7" s="446"/>
      <c r="S7" s="446"/>
      <c r="T7" s="446"/>
      <c r="U7" s="446"/>
      <c r="V7" s="446"/>
      <c r="W7" s="471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</row>
    <row r="8" spans="1:57">
      <c r="A8" s="458" t="s">
        <v>1028</v>
      </c>
      <c r="B8" s="548" t="s">
        <v>12</v>
      </c>
      <c r="C8" s="546" t="s">
        <v>1112</v>
      </c>
      <c r="D8" s="548" t="s">
        <v>1114</v>
      </c>
      <c r="E8" s="510">
        <f t="shared" si="0"/>
        <v>0</v>
      </c>
      <c r="F8" s="630">
        <f t="shared" si="1"/>
        <v>1</v>
      </c>
      <c r="G8" s="630">
        <f t="shared" si="2"/>
        <v>0</v>
      </c>
      <c r="H8" s="630">
        <f t="shared" si="3"/>
        <v>1</v>
      </c>
      <c r="I8" s="632">
        <v>0</v>
      </c>
      <c r="J8" s="632">
        <v>0</v>
      </c>
      <c r="K8" s="632">
        <v>0</v>
      </c>
      <c r="L8" s="632">
        <v>0</v>
      </c>
      <c r="M8" s="632">
        <v>0</v>
      </c>
      <c r="N8" s="536">
        <v>0</v>
      </c>
      <c r="O8" s="534">
        <v>1</v>
      </c>
      <c r="P8" s="534">
        <v>0</v>
      </c>
      <c r="Q8" s="446"/>
      <c r="R8" s="446"/>
      <c r="S8" s="446"/>
      <c r="T8" s="446"/>
      <c r="U8" s="446"/>
      <c r="V8" s="446"/>
      <c r="W8" s="471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</row>
    <row r="9" spans="1:57">
      <c r="A9" s="458" t="s">
        <v>1030</v>
      </c>
      <c r="B9" s="548" t="s">
        <v>12</v>
      </c>
      <c r="C9" s="546" t="s">
        <v>1112</v>
      </c>
      <c r="D9" s="548" t="s">
        <v>1115</v>
      </c>
      <c r="E9" s="510">
        <f t="shared" si="0"/>
        <v>1</v>
      </c>
      <c r="F9" s="630">
        <f t="shared" si="1"/>
        <v>0</v>
      </c>
      <c r="G9" s="630">
        <f t="shared" si="2"/>
        <v>0</v>
      </c>
      <c r="H9" s="630">
        <f t="shared" si="3"/>
        <v>0</v>
      </c>
      <c r="I9" s="632">
        <v>0</v>
      </c>
      <c r="J9" s="632">
        <v>0</v>
      </c>
      <c r="K9" s="632">
        <v>0</v>
      </c>
      <c r="L9" s="632">
        <v>0</v>
      </c>
      <c r="M9" s="632">
        <v>0</v>
      </c>
      <c r="N9" s="536">
        <v>0</v>
      </c>
      <c r="O9" s="534">
        <v>0</v>
      </c>
      <c r="P9" s="534">
        <v>1</v>
      </c>
      <c r="Q9" s="446"/>
      <c r="R9" s="446"/>
      <c r="S9" s="446"/>
      <c r="T9" s="446"/>
      <c r="U9" s="446"/>
      <c r="V9" s="446"/>
      <c r="W9" s="471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</row>
    <row r="10" spans="1:57">
      <c r="A10" s="458" t="s">
        <v>1032</v>
      </c>
      <c r="B10" s="548" t="s">
        <v>12</v>
      </c>
      <c r="C10" s="546" t="s">
        <v>1112</v>
      </c>
      <c r="D10" s="548" t="s">
        <v>1116</v>
      </c>
      <c r="E10" s="510">
        <f t="shared" si="0"/>
        <v>1</v>
      </c>
      <c r="F10" s="630">
        <f t="shared" si="1"/>
        <v>0</v>
      </c>
      <c r="G10" s="630">
        <f t="shared" si="2"/>
        <v>0</v>
      </c>
      <c r="H10" s="630">
        <f t="shared" si="3"/>
        <v>0</v>
      </c>
      <c r="I10" s="632">
        <v>0</v>
      </c>
      <c r="J10" s="632">
        <v>0</v>
      </c>
      <c r="K10" s="632">
        <v>0</v>
      </c>
      <c r="L10" s="632">
        <v>0</v>
      </c>
      <c r="M10" s="632">
        <v>0</v>
      </c>
      <c r="N10" s="536">
        <v>0</v>
      </c>
      <c r="O10" s="534">
        <v>0</v>
      </c>
      <c r="P10" s="534">
        <v>1</v>
      </c>
      <c r="Q10" s="446"/>
      <c r="R10" s="446"/>
      <c r="S10" s="446"/>
      <c r="T10" s="446"/>
      <c r="U10" s="446"/>
      <c r="V10" s="446"/>
      <c r="W10" s="471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</row>
    <row r="11" spans="1:57">
      <c r="A11" s="458" t="s">
        <v>1034</v>
      </c>
      <c r="B11" s="548" t="s">
        <v>12</v>
      </c>
      <c r="C11" s="546" t="s">
        <v>1112</v>
      </c>
      <c r="D11" s="548" t="s">
        <v>1117</v>
      </c>
      <c r="E11" s="510">
        <f t="shared" si="0"/>
        <v>0</v>
      </c>
      <c r="F11" s="630">
        <f t="shared" si="1"/>
        <v>1</v>
      </c>
      <c r="G11" s="630">
        <f t="shared" si="2"/>
        <v>0</v>
      </c>
      <c r="H11" s="630">
        <f t="shared" si="3"/>
        <v>1</v>
      </c>
      <c r="I11" s="632">
        <v>0</v>
      </c>
      <c r="J11" s="632">
        <v>0</v>
      </c>
      <c r="K11" s="632">
        <v>0</v>
      </c>
      <c r="L11" s="632">
        <v>0</v>
      </c>
      <c r="M11" s="632">
        <v>0</v>
      </c>
      <c r="N11" s="536">
        <v>0</v>
      </c>
      <c r="O11" s="534">
        <v>1</v>
      </c>
      <c r="P11" s="534">
        <v>0</v>
      </c>
      <c r="Q11" s="446"/>
      <c r="R11" s="446"/>
      <c r="S11" s="446"/>
      <c r="T11" s="446"/>
      <c r="U11" s="446"/>
      <c r="V11" s="446"/>
      <c r="W11" s="471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</row>
    <row r="12" spans="1:57">
      <c r="A12" s="458" t="s">
        <v>1036</v>
      </c>
      <c r="B12" s="548" t="s">
        <v>12</v>
      </c>
      <c r="C12" s="546" t="s">
        <v>1112</v>
      </c>
      <c r="D12" s="548" t="s">
        <v>1118</v>
      </c>
      <c r="E12" s="510">
        <f t="shared" si="0"/>
        <v>0</v>
      </c>
      <c r="F12" s="630">
        <f t="shared" si="1"/>
        <v>1</v>
      </c>
      <c r="G12" s="630">
        <f t="shared" si="2"/>
        <v>1</v>
      </c>
      <c r="H12" s="630">
        <f t="shared" si="3"/>
        <v>0</v>
      </c>
      <c r="I12" s="632">
        <v>0</v>
      </c>
      <c r="J12" s="632">
        <v>0</v>
      </c>
      <c r="K12" s="632">
        <v>0</v>
      </c>
      <c r="L12" s="632">
        <v>0</v>
      </c>
      <c r="M12" s="632">
        <v>0</v>
      </c>
      <c r="N12" s="536">
        <v>0</v>
      </c>
      <c r="O12" s="534">
        <v>0</v>
      </c>
      <c r="P12" s="534">
        <v>0</v>
      </c>
      <c r="Q12" s="446"/>
      <c r="R12" s="446"/>
      <c r="S12" s="446"/>
      <c r="T12" s="446"/>
      <c r="U12" s="446"/>
      <c r="V12" s="446"/>
      <c r="W12" s="471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</row>
    <row r="13" spans="1:57" s="445" customFormat="1">
      <c r="A13" s="446"/>
      <c r="B13" s="447"/>
      <c r="C13" s="448"/>
      <c r="D13" s="447"/>
      <c r="E13" s="510"/>
      <c r="F13" s="510"/>
      <c r="G13" s="510"/>
      <c r="H13" s="510"/>
      <c r="I13" s="535"/>
      <c r="J13" s="535"/>
      <c r="K13" s="535"/>
      <c r="L13" s="535"/>
      <c r="M13" s="535"/>
      <c r="N13" s="536"/>
      <c r="O13" s="534"/>
      <c r="P13" s="534"/>
      <c r="Q13" s="446"/>
      <c r="R13" s="446"/>
      <c r="S13" s="446"/>
      <c r="T13" s="446"/>
      <c r="U13" s="446"/>
      <c r="V13" s="446"/>
      <c r="W13" s="471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</row>
    <row r="14" spans="1:57" ht="14.65" customHeight="1">
      <c r="A14" s="458" t="s">
        <v>1101</v>
      </c>
      <c r="B14" s="446"/>
      <c r="C14" s="446"/>
      <c r="D14" s="446"/>
      <c r="E14" s="581"/>
      <c r="F14" s="581"/>
      <c r="G14" s="581"/>
      <c r="H14" s="581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</row>
    <row r="15" spans="1:57" ht="14.65" customHeight="1">
      <c r="A15" s="458" t="s">
        <v>871</v>
      </c>
      <c r="B15" s="446"/>
      <c r="C15" s="446"/>
      <c r="D15" s="446"/>
      <c r="E15" s="628" t="s">
        <v>1102</v>
      </c>
      <c r="F15" s="628" t="s">
        <v>1103</v>
      </c>
      <c r="G15" s="628" t="s">
        <v>1104</v>
      </c>
      <c r="H15" s="628" t="s">
        <v>1105</v>
      </c>
      <c r="I15" s="629" t="s">
        <v>1106</v>
      </c>
      <c r="J15" s="629" t="s">
        <v>1107</v>
      </c>
      <c r="K15" s="629" t="s">
        <v>53</v>
      </c>
      <c r="L15" s="629" t="s">
        <v>1108</v>
      </c>
      <c r="M15" s="629" t="s">
        <v>1109</v>
      </c>
      <c r="N15" s="629" t="s">
        <v>54</v>
      </c>
      <c r="O15" s="629" t="s">
        <v>1110</v>
      </c>
      <c r="P15" s="629" t="s">
        <v>1111</v>
      </c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</row>
    <row r="16" spans="1:57" ht="14.65" customHeight="1">
      <c r="A16" s="458" t="s">
        <v>1042</v>
      </c>
      <c r="B16" s="446"/>
      <c r="C16" s="446"/>
      <c r="D16" s="446"/>
      <c r="E16" s="510">
        <f t="shared" ref="E16:E21" si="4">1-F16</f>
        <v>0</v>
      </c>
      <c r="F16" s="510">
        <f t="shared" ref="F16:F21" si="5">G16+H16</f>
        <v>1</v>
      </c>
      <c r="G16" s="510">
        <f t="shared" ref="G16:G21" si="6">1-H16</f>
        <v>1</v>
      </c>
      <c r="H16" s="510">
        <f t="shared" ref="H16:H21" si="7">+SUM(I16:O16)</f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536">
        <v>0</v>
      </c>
      <c r="O16" s="534">
        <v>0</v>
      </c>
      <c r="P16" s="534">
        <v>0</v>
      </c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</row>
    <row r="17" spans="1:57">
      <c r="A17" s="458" t="s">
        <v>1044</v>
      </c>
      <c r="B17" s="446"/>
      <c r="C17" s="446"/>
      <c r="D17" s="446"/>
      <c r="E17" s="510">
        <f t="shared" si="4"/>
        <v>0</v>
      </c>
      <c r="F17" s="510">
        <f t="shared" si="5"/>
        <v>1</v>
      </c>
      <c r="G17" s="510">
        <f t="shared" si="6"/>
        <v>0</v>
      </c>
      <c r="H17" s="510">
        <f t="shared" si="7"/>
        <v>1</v>
      </c>
      <c r="I17" s="535">
        <v>0.25</v>
      </c>
      <c r="J17" s="535">
        <v>0.25</v>
      </c>
      <c r="K17" s="535">
        <v>0.25</v>
      </c>
      <c r="L17" s="535">
        <v>0</v>
      </c>
      <c r="M17" s="535">
        <v>0.25</v>
      </c>
      <c r="N17" s="536">
        <v>0</v>
      </c>
      <c r="O17" s="534">
        <v>0</v>
      </c>
      <c r="P17" s="534">
        <v>0</v>
      </c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</row>
    <row r="18" spans="1:57">
      <c r="A18" s="458" t="s">
        <v>1046</v>
      </c>
      <c r="B18" s="446"/>
      <c r="C18" s="446"/>
      <c r="D18" s="446"/>
      <c r="E18" s="510">
        <f t="shared" si="4"/>
        <v>0</v>
      </c>
      <c r="F18" s="510">
        <f t="shared" si="5"/>
        <v>1</v>
      </c>
      <c r="G18" s="510">
        <f t="shared" si="6"/>
        <v>0</v>
      </c>
      <c r="H18" s="510">
        <f t="shared" si="7"/>
        <v>1</v>
      </c>
      <c r="I18" s="535">
        <v>0.25</v>
      </c>
      <c r="J18" s="535">
        <v>0.25</v>
      </c>
      <c r="K18" s="535">
        <v>0.25</v>
      </c>
      <c r="L18" s="535">
        <v>0</v>
      </c>
      <c r="M18" s="535">
        <v>0.25</v>
      </c>
      <c r="N18" s="536">
        <v>0</v>
      </c>
      <c r="O18" s="534">
        <v>0</v>
      </c>
      <c r="P18" s="534">
        <v>0</v>
      </c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</row>
    <row r="19" spans="1:57">
      <c r="A19" s="458" t="s">
        <v>1048</v>
      </c>
      <c r="B19" s="446"/>
      <c r="C19" s="446"/>
      <c r="D19" s="446"/>
      <c r="E19" s="510">
        <f t="shared" si="4"/>
        <v>0</v>
      </c>
      <c r="F19" s="510">
        <f t="shared" si="5"/>
        <v>1</v>
      </c>
      <c r="G19" s="510">
        <f t="shared" si="6"/>
        <v>0</v>
      </c>
      <c r="H19" s="510">
        <f t="shared" si="7"/>
        <v>1</v>
      </c>
      <c r="I19" s="535">
        <v>0.25</v>
      </c>
      <c r="J19" s="535">
        <v>0.25</v>
      </c>
      <c r="K19" s="535">
        <v>0.25</v>
      </c>
      <c r="L19" s="535">
        <v>0</v>
      </c>
      <c r="M19" s="535">
        <v>0.25</v>
      </c>
      <c r="N19" s="536">
        <v>0</v>
      </c>
      <c r="O19" s="534">
        <v>0</v>
      </c>
      <c r="P19" s="534">
        <v>0</v>
      </c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</row>
    <row r="20" spans="1:57">
      <c r="A20" s="458" t="s">
        <v>1050</v>
      </c>
      <c r="B20" s="446"/>
      <c r="C20" s="446"/>
      <c r="D20" s="446"/>
      <c r="E20" s="510">
        <f t="shared" si="4"/>
        <v>0</v>
      </c>
      <c r="F20" s="510">
        <f t="shared" si="5"/>
        <v>1</v>
      </c>
      <c r="G20" s="510">
        <f t="shared" si="6"/>
        <v>0</v>
      </c>
      <c r="H20" s="510">
        <f t="shared" si="7"/>
        <v>1</v>
      </c>
      <c r="I20" s="535">
        <v>0.25</v>
      </c>
      <c r="J20" s="535">
        <v>0.25</v>
      </c>
      <c r="K20" s="535">
        <v>0.25</v>
      </c>
      <c r="L20" s="535">
        <v>0</v>
      </c>
      <c r="M20" s="535">
        <v>0.25</v>
      </c>
      <c r="N20" s="536">
        <v>0</v>
      </c>
      <c r="O20" s="534">
        <v>0</v>
      </c>
      <c r="P20" s="534">
        <v>0</v>
      </c>
      <c r="Q20" s="446"/>
      <c r="R20" s="446"/>
      <c r="S20" s="446"/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</row>
    <row r="21" spans="1:57">
      <c r="A21" s="458" t="s">
        <v>1052</v>
      </c>
      <c r="B21" s="446"/>
      <c r="C21" s="446"/>
      <c r="D21" s="446"/>
      <c r="E21" s="510">
        <f t="shared" si="4"/>
        <v>0</v>
      </c>
      <c r="F21" s="510">
        <f t="shared" si="5"/>
        <v>1</v>
      </c>
      <c r="G21" s="510">
        <f t="shared" si="6"/>
        <v>0</v>
      </c>
      <c r="H21" s="510">
        <f t="shared" si="7"/>
        <v>1</v>
      </c>
      <c r="I21" s="535">
        <v>0</v>
      </c>
      <c r="J21" s="535">
        <v>0</v>
      </c>
      <c r="K21" s="535">
        <v>0.5</v>
      </c>
      <c r="L21" s="535">
        <v>0</v>
      </c>
      <c r="M21" s="535">
        <v>0.5</v>
      </c>
      <c r="N21" s="536">
        <v>0</v>
      </c>
      <c r="O21" s="534">
        <v>0</v>
      </c>
      <c r="P21" s="534">
        <v>0</v>
      </c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</row>
    <row r="22" spans="1:57" s="444" customFormat="1">
      <c r="A22" s="446"/>
      <c r="B22" s="447"/>
      <c r="C22" s="448"/>
      <c r="D22" s="447"/>
      <c r="E22" s="510"/>
      <c r="F22" s="510"/>
      <c r="G22" s="510"/>
      <c r="H22" s="510"/>
      <c r="I22" s="535"/>
      <c r="J22" s="535"/>
      <c r="K22" s="535"/>
      <c r="L22" s="535"/>
      <c r="M22" s="535"/>
      <c r="N22" s="536"/>
      <c r="O22" s="534"/>
      <c r="P22" s="534"/>
      <c r="Q22" s="446"/>
      <c r="R22" s="446"/>
      <c r="S22" s="446"/>
      <c r="T22" s="446"/>
      <c r="U22" s="446"/>
      <c r="V22" s="446"/>
      <c r="W22" s="471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</row>
    <row r="23" spans="1:57" ht="14.65" customHeight="1">
      <c r="A23" s="458" t="s">
        <v>1101</v>
      </c>
      <c r="B23" s="447"/>
      <c r="C23" s="448"/>
      <c r="D23" s="447"/>
      <c r="E23" s="581"/>
      <c r="F23" s="581"/>
      <c r="G23" s="581"/>
      <c r="H23" s="581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</row>
    <row r="24" spans="1:57" ht="14.65" customHeight="1">
      <c r="A24" s="458" t="s">
        <v>1119</v>
      </c>
      <c r="B24" s="447"/>
      <c r="C24" s="448"/>
      <c r="D24" s="447"/>
      <c r="E24" s="628" t="s">
        <v>1102</v>
      </c>
      <c r="F24" s="628" t="s">
        <v>1103</v>
      </c>
      <c r="G24" s="628" t="s">
        <v>1104</v>
      </c>
      <c r="H24" s="628" t="s">
        <v>1105</v>
      </c>
      <c r="I24" s="629" t="s">
        <v>1106</v>
      </c>
      <c r="J24" s="629" t="s">
        <v>1107</v>
      </c>
      <c r="K24" s="629" t="s">
        <v>53</v>
      </c>
      <c r="L24" s="629" t="s">
        <v>1108</v>
      </c>
      <c r="M24" s="629" t="s">
        <v>1109</v>
      </c>
      <c r="N24" s="629" t="s">
        <v>54</v>
      </c>
      <c r="O24" s="629" t="s">
        <v>1110</v>
      </c>
      <c r="P24" s="629" t="s">
        <v>1111</v>
      </c>
      <c r="Q24" s="446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</row>
    <row r="25" spans="1:57" ht="14.65" customHeight="1">
      <c r="A25" s="458" t="s">
        <v>1055</v>
      </c>
      <c r="B25" s="548" t="s">
        <v>12</v>
      </c>
      <c r="C25" s="546" t="s">
        <v>1112</v>
      </c>
      <c r="D25" s="548" t="s">
        <v>1120</v>
      </c>
      <c r="E25" s="510">
        <f t="shared" ref="E25:E35" si="8">1-F25</f>
        <v>0</v>
      </c>
      <c r="F25" s="630">
        <f t="shared" ref="F25:F35" si="9">G25+H25</f>
        <v>1</v>
      </c>
      <c r="G25" s="630">
        <f t="shared" ref="G25:G35" si="10">1-H25</f>
        <v>1</v>
      </c>
      <c r="H25" s="630">
        <f t="shared" ref="H25:H35" si="11">+SUM(I25:O25)</f>
        <v>0</v>
      </c>
      <c r="I25" s="631">
        <v>0</v>
      </c>
      <c r="J25" s="631">
        <v>0</v>
      </c>
      <c r="K25" s="631">
        <v>0</v>
      </c>
      <c r="L25" s="631">
        <v>0</v>
      </c>
      <c r="M25" s="631">
        <v>0</v>
      </c>
      <c r="N25" s="536">
        <v>0</v>
      </c>
      <c r="O25" s="534">
        <v>0</v>
      </c>
      <c r="P25" s="534">
        <v>0</v>
      </c>
      <c r="Q25" s="446"/>
      <c r="R25" s="446"/>
      <c r="S25" s="446"/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</row>
    <row r="26" spans="1:57">
      <c r="A26" s="458" t="s">
        <v>1057</v>
      </c>
      <c r="B26" s="548" t="s">
        <v>12</v>
      </c>
      <c r="C26" s="546" t="s">
        <v>1112</v>
      </c>
      <c r="D26" s="548" t="s">
        <v>1121</v>
      </c>
      <c r="E26" s="510">
        <f t="shared" si="8"/>
        <v>0</v>
      </c>
      <c r="F26" s="630">
        <f t="shared" si="9"/>
        <v>1</v>
      </c>
      <c r="G26" s="630">
        <f t="shared" si="10"/>
        <v>0</v>
      </c>
      <c r="H26" s="630">
        <f t="shared" si="11"/>
        <v>1</v>
      </c>
      <c r="I26" s="632">
        <v>0</v>
      </c>
      <c r="J26" s="632">
        <v>0</v>
      </c>
      <c r="K26" s="632">
        <v>0.5</v>
      </c>
      <c r="L26" s="632">
        <v>0.5</v>
      </c>
      <c r="M26" s="632">
        <v>0</v>
      </c>
      <c r="N26" s="536">
        <v>0</v>
      </c>
      <c r="O26" s="534">
        <v>0</v>
      </c>
      <c r="P26" s="534">
        <v>0</v>
      </c>
      <c r="Q26" s="446"/>
      <c r="R26" s="446"/>
      <c r="S26" s="446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</row>
    <row r="27" spans="1:57">
      <c r="A27" s="458" t="s">
        <v>1059</v>
      </c>
      <c r="B27" s="548" t="s">
        <v>12</v>
      </c>
      <c r="C27" s="546" t="s">
        <v>1112</v>
      </c>
      <c r="D27" s="548" t="s">
        <v>1122</v>
      </c>
      <c r="E27" s="510">
        <f t="shared" si="8"/>
        <v>0</v>
      </c>
      <c r="F27" s="630">
        <f t="shared" si="9"/>
        <v>1</v>
      </c>
      <c r="G27" s="630">
        <f t="shared" si="10"/>
        <v>0</v>
      </c>
      <c r="H27" s="630">
        <f t="shared" si="11"/>
        <v>1</v>
      </c>
      <c r="I27" s="632">
        <v>0</v>
      </c>
      <c r="J27" s="632">
        <v>0</v>
      </c>
      <c r="K27" s="632">
        <v>0.5</v>
      </c>
      <c r="L27" s="632">
        <v>0.5</v>
      </c>
      <c r="M27" s="632">
        <v>0</v>
      </c>
      <c r="N27" s="536">
        <v>0</v>
      </c>
      <c r="O27" s="534">
        <v>0</v>
      </c>
      <c r="P27" s="534">
        <v>0</v>
      </c>
      <c r="Q27" s="446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</row>
    <row r="28" spans="1:57">
      <c r="A28" s="458" t="s">
        <v>1061</v>
      </c>
      <c r="B28" s="548" t="s">
        <v>12</v>
      </c>
      <c r="C28" s="546" t="s">
        <v>1112</v>
      </c>
      <c r="D28" s="548" t="s">
        <v>1123</v>
      </c>
      <c r="E28" s="510">
        <f t="shared" si="8"/>
        <v>0</v>
      </c>
      <c r="F28" s="630">
        <f t="shared" si="9"/>
        <v>1</v>
      </c>
      <c r="G28" s="630">
        <f t="shared" si="10"/>
        <v>1</v>
      </c>
      <c r="H28" s="630">
        <f t="shared" si="11"/>
        <v>0</v>
      </c>
      <c r="I28" s="632">
        <v>0</v>
      </c>
      <c r="J28" s="632">
        <v>0</v>
      </c>
      <c r="K28" s="632">
        <v>0</v>
      </c>
      <c r="L28" s="632">
        <v>0</v>
      </c>
      <c r="M28" s="632">
        <v>0</v>
      </c>
      <c r="N28" s="536">
        <v>0</v>
      </c>
      <c r="O28" s="534">
        <v>0</v>
      </c>
      <c r="P28" s="534">
        <v>0</v>
      </c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</row>
    <row r="29" spans="1:57">
      <c r="A29" s="458" t="s">
        <v>1063</v>
      </c>
      <c r="B29" s="548" t="s">
        <v>12</v>
      </c>
      <c r="C29" s="546" t="s">
        <v>1112</v>
      </c>
      <c r="D29" s="548" t="s">
        <v>1124</v>
      </c>
      <c r="E29" s="510">
        <f t="shared" si="8"/>
        <v>0</v>
      </c>
      <c r="F29" s="630">
        <f t="shared" si="9"/>
        <v>1</v>
      </c>
      <c r="G29" s="630">
        <f t="shared" si="10"/>
        <v>1</v>
      </c>
      <c r="H29" s="630">
        <f t="shared" si="11"/>
        <v>0</v>
      </c>
      <c r="I29" s="632">
        <v>0</v>
      </c>
      <c r="J29" s="632">
        <v>0</v>
      </c>
      <c r="K29" s="632">
        <v>0</v>
      </c>
      <c r="L29" s="632">
        <v>0</v>
      </c>
      <c r="M29" s="632">
        <v>0</v>
      </c>
      <c r="N29" s="536">
        <v>0</v>
      </c>
      <c r="O29" s="534">
        <v>0</v>
      </c>
      <c r="P29" s="534">
        <v>0</v>
      </c>
      <c r="Q29" s="446"/>
      <c r="R29" s="446"/>
      <c r="S29" s="446"/>
      <c r="T29" s="446"/>
      <c r="U29" s="446"/>
      <c r="V29" s="446"/>
      <c r="W29" s="446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</row>
    <row r="30" spans="1:57">
      <c r="A30" s="458" t="s">
        <v>1065</v>
      </c>
      <c r="B30" s="548" t="s">
        <v>12</v>
      </c>
      <c r="C30" s="546" t="s">
        <v>1112</v>
      </c>
      <c r="D30" s="548" t="s">
        <v>1125</v>
      </c>
      <c r="E30" s="510">
        <f t="shared" si="8"/>
        <v>0</v>
      </c>
      <c r="F30" s="630">
        <f t="shared" si="9"/>
        <v>1</v>
      </c>
      <c r="G30" s="630">
        <f t="shared" si="10"/>
        <v>1</v>
      </c>
      <c r="H30" s="630">
        <f t="shared" si="11"/>
        <v>0</v>
      </c>
      <c r="I30" s="632">
        <v>0</v>
      </c>
      <c r="J30" s="632">
        <v>0</v>
      </c>
      <c r="K30" s="632">
        <v>0</v>
      </c>
      <c r="L30" s="632">
        <v>0</v>
      </c>
      <c r="M30" s="632">
        <v>0</v>
      </c>
      <c r="N30" s="536">
        <v>0</v>
      </c>
      <c r="O30" s="534">
        <v>0</v>
      </c>
      <c r="P30" s="534">
        <v>0</v>
      </c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</row>
    <row r="31" spans="1:57">
      <c r="A31" s="458" t="s">
        <v>1067</v>
      </c>
      <c r="B31" s="548" t="s">
        <v>12</v>
      </c>
      <c r="C31" s="546" t="s">
        <v>1112</v>
      </c>
      <c r="D31" s="548" t="s">
        <v>1126</v>
      </c>
      <c r="E31" s="510">
        <f t="shared" si="8"/>
        <v>0</v>
      </c>
      <c r="F31" s="630">
        <f t="shared" si="9"/>
        <v>1</v>
      </c>
      <c r="G31" s="630">
        <f t="shared" si="10"/>
        <v>1</v>
      </c>
      <c r="H31" s="630">
        <f t="shared" si="11"/>
        <v>0</v>
      </c>
      <c r="I31" s="632">
        <v>0</v>
      </c>
      <c r="J31" s="632">
        <v>0</v>
      </c>
      <c r="K31" s="632">
        <v>0</v>
      </c>
      <c r="L31" s="632">
        <v>0</v>
      </c>
      <c r="M31" s="632">
        <v>0</v>
      </c>
      <c r="N31" s="536">
        <v>0</v>
      </c>
      <c r="O31" s="534">
        <v>0</v>
      </c>
      <c r="P31" s="534">
        <v>0</v>
      </c>
      <c r="Q31" s="446"/>
      <c r="R31" s="446"/>
      <c r="S31" s="446"/>
      <c r="T31" s="446"/>
      <c r="U31" s="446"/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</row>
    <row r="32" spans="1:57">
      <c r="A32" s="458" t="s">
        <v>1069</v>
      </c>
      <c r="B32" s="548" t="s">
        <v>12</v>
      </c>
      <c r="C32" s="546" t="s">
        <v>1112</v>
      </c>
      <c r="D32" s="548" t="s">
        <v>1127</v>
      </c>
      <c r="E32" s="510">
        <f t="shared" si="8"/>
        <v>0</v>
      </c>
      <c r="F32" s="630">
        <f t="shared" si="9"/>
        <v>1</v>
      </c>
      <c r="G32" s="630">
        <f t="shared" si="10"/>
        <v>1</v>
      </c>
      <c r="H32" s="630">
        <f t="shared" si="11"/>
        <v>0</v>
      </c>
      <c r="I32" s="632">
        <v>0</v>
      </c>
      <c r="J32" s="632">
        <v>0</v>
      </c>
      <c r="K32" s="632">
        <v>0</v>
      </c>
      <c r="L32" s="632">
        <v>0</v>
      </c>
      <c r="M32" s="632">
        <v>0</v>
      </c>
      <c r="N32" s="536">
        <v>0</v>
      </c>
      <c r="O32" s="534">
        <v>0</v>
      </c>
      <c r="P32" s="534">
        <v>0</v>
      </c>
      <c r="Q32" s="446"/>
      <c r="R32" s="446"/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</row>
    <row r="33" spans="1:57">
      <c r="A33" s="458" t="s">
        <v>1071</v>
      </c>
      <c r="B33" s="548" t="s">
        <v>12</v>
      </c>
      <c r="C33" s="546" t="s">
        <v>1112</v>
      </c>
      <c r="D33" s="548" t="s">
        <v>1128</v>
      </c>
      <c r="E33" s="510">
        <f t="shared" si="8"/>
        <v>0</v>
      </c>
      <c r="F33" s="630">
        <f t="shared" si="9"/>
        <v>1</v>
      </c>
      <c r="G33" s="630">
        <f t="shared" si="10"/>
        <v>1</v>
      </c>
      <c r="H33" s="630">
        <f t="shared" si="11"/>
        <v>0</v>
      </c>
      <c r="I33" s="632">
        <v>0</v>
      </c>
      <c r="J33" s="632">
        <v>0</v>
      </c>
      <c r="K33" s="632">
        <v>0</v>
      </c>
      <c r="L33" s="632">
        <v>0</v>
      </c>
      <c r="M33" s="632">
        <v>0</v>
      </c>
      <c r="N33" s="536">
        <v>0</v>
      </c>
      <c r="O33" s="534">
        <v>0</v>
      </c>
      <c r="P33" s="534">
        <v>0</v>
      </c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</row>
    <row r="34" spans="1:57">
      <c r="A34" s="458" t="s">
        <v>1073</v>
      </c>
      <c r="B34" s="548" t="s">
        <v>12</v>
      </c>
      <c r="C34" s="546" t="s">
        <v>1112</v>
      </c>
      <c r="D34" s="548" t="s">
        <v>1129</v>
      </c>
      <c r="E34" s="510">
        <f t="shared" si="8"/>
        <v>0</v>
      </c>
      <c r="F34" s="630">
        <f t="shared" si="9"/>
        <v>1</v>
      </c>
      <c r="G34" s="630">
        <f t="shared" si="10"/>
        <v>1</v>
      </c>
      <c r="H34" s="630">
        <f t="shared" si="11"/>
        <v>0</v>
      </c>
      <c r="I34" s="632">
        <v>0</v>
      </c>
      <c r="J34" s="632">
        <v>0</v>
      </c>
      <c r="K34" s="632">
        <v>0</v>
      </c>
      <c r="L34" s="632">
        <v>0</v>
      </c>
      <c r="M34" s="632">
        <v>0</v>
      </c>
      <c r="N34" s="536">
        <v>0</v>
      </c>
      <c r="O34" s="534">
        <v>0</v>
      </c>
      <c r="P34" s="534">
        <v>0</v>
      </c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</row>
    <row r="35" spans="1:57">
      <c r="A35" s="458" t="s">
        <v>1075</v>
      </c>
      <c r="B35" s="548" t="s">
        <v>12</v>
      </c>
      <c r="C35" s="546" t="s">
        <v>1112</v>
      </c>
      <c r="D35" s="548" t="s">
        <v>1130</v>
      </c>
      <c r="E35" s="510">
        <f t="shared" si="8"/>
        <v>0</v>
      </c>
      <c r="F35" s="630">
        <f t="shared" si="9"/>
        <v>1</v>
      </c>
      <c r="G35" s="630">
        <f t="shared" si="10"/>
        <v>1</v>
      </c>
      <c r="H35" s="630">
        <f t="shared" si="11"/>
        <v>0</v>
      </c>
      <c r="I35" s="632">
        <v>0</v>
      </c>
      <c r="J35" s="632">
        <v>0</v>
      </c>
      <c r="K35" s="632">
        <v>0</v>
      </c>
      <c r="L35" s="632">
        <v>0</v>
      </c>
      <c r="M35" s="632">
        <v>0</v>
      </c>
      <c r="N35" s="536">
        <v>0</v>
      </c>
      <c r="O35" s="534">
        <v>0</v>
      </c>
      <c r="P35" s="534">
        <v>0</v>
      </c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</row>
    <row r="36" spans="1:57">
      <c r="A36" s="446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</row>
    <row r="37" spans="1:57" ht="14.65" customHeight="1">
      <c r="A37" s="458" t="s">
        <v>1101</v>
      </c>
      <c r="B37" s="447"/>
      <c r="C37" s="448"/>
      <c r="D37" s="447"/>
      <c r="E37" s="581"/>
      <c r="F37" s="581"/>
      <c r="G37" s="581"/>
      <c r="H37" s="581"/>
      <c r="I37" s="446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</row>
    <row r="38" spans="1:57" ht="14.65" customHeight="1">
      <c r="A38" s="458" t="s">
        <v>1077</v>
      </c>
      <c r="B38" s="447"/>
      <c r="C38" s="448"/>
      <c r="D38" s="447"/>
      <c r="E38" s="628" t="s">
        <v>1102</v>
      </c>
      <c r="F38" s="628" t="s">
        <v>1103</v>
      </c>
      <c r="G38" s="628" t="s">
        <v>1104</v>
      </c>
      <c r="H38" s="628" t="s">
        <v>1105</v>
      </c>
      <c r="I38" s="629" t="s">
        <v>1106</v>
      </c>
      <c r="J38" s="629" t="s">
        <v>1107</v>
      </c>
      <c r="K38" s="629" t="s">
        <v>53</v>
      </c>
      <c r="L38" s="629" t="s">
        <v>1108</v>
      </c>
      <c r="M38" s="629" t="s">
        <v>1109</v>
      </c>
      <c r="N38" s="629" t="s">
        <v>54</v>
      </c>
      <c r="O38" s="629" t="s">
        <v>1110</v>
      </c>
      <c r="P38" s="629" t="s">
        <v>1111</v>
      </c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</row>
    <row r="39" spans="1:57" ht="14.65" customHeight="1">
      <c r="A39" s="458" t="s">
        <v>1078</v>
      </c>
      <c r="B39" s="548" t="s">
        <v>12</v>
      </c>
      <c r="C39" s="546" t="s">
        <v>1112</v>
      </c>
      <c r="D39" s="548" t="s">
        <v>1131</v>
      </c>
      <c r="E39" s="510">
        <f t="shared" ref="E39:E50" si="12">1-F39</f>
        <v>0</v>
      </c>
      <c r="F39" s="630">
        <f t="shared" ref="F39:F50" si="13">G39+H39</f>
        <v>1</v>
      </c>
      <c r="G39" s="630">
        <f>1-H39</f>
        <v>1</v>
      </c>
      <c r="H39" s="630">
        <f t="shared" ref="H39:H50" si="14">+SUM(I39:O39)</f>
        <v>0</v>
      </c>
      <c r="I39" s="631">
        <v>0</v>
      </c>
      <c r="J39" s="631">
        <v>0</v>
      </c>
      <c r="K39" s="631">
        <v>0</v>
      </c>
      <c r="L39" s="631">
        <v>0</v>
      </c>
      <c r="M39" s="631">
        <v>0</v>
      </c>
      <c r="N39" s="536">
        <v>0</v>
      </c>
      <c r="O39" s="534">
        <v>0</v>
      </c>
      <c r="P39" s="534">
        <v>0</v>
      </c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</row>
    <row r="40" spans="1:57">
      <c r="A40" s="458" t="s">
        <v>1080</v>
      </c>
      <c r="B40" s="548" t="s">
        <v>12</v>
      </c>
      <c r="C40" s="546" t="s">
        <v>1112</v>
      </c>
      <c r="D40" s="548" t="s">
        <v>1132</v>
      </c>
      <c r="E40" s="510">
        <f t="shared" si="12"/>
        <v>0</v>
      </c>
      <c r="F40" s="630">
        <f t="shared" si="13"/>
        <v>1</v>
      </c>
      <c r="G40" s="630">
        <f>1-H40</f>
        <v>1</v>
      </c>
      <c r="H40" s="630">
        <f t="shared" si="14"/>
        <v>0</v>
      </c>
      <c r="I40" s="632">
        <v>0</v>
      </c>
      <c r="J40" s="632">
        <v>0</v>
      </c>
      <c r="K40" s="632">
        <v>0</v>
      </c>
      <c r="L40" s="632">
        <v>0</v>
      </c>
      <c r="M40" s="632">
        <v>0</v>
      </c>
      <c r="N40" s="536">
        <v>0</v>
      </c>
      <c r="O40" s="534">
        <v>0</v>
      </c>
      <c r="P40" s="534">
        <v>0</v>
      </c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</row>
    <row r="41" spans="1:57">
      <c r="A41" s="458" t="s">
        <v>1082</v>
      </c>
      <c r="B41" s="548" t="s">
        <v>12</v>
      </c>
      <c r="C41" s="546" t="s">
        <v>1112</v>
      </c>
      <c r="D41" s="548" t="s">
        <v>1133</v>
      </c>
      <c r="E41" s="510">
        <f t="shared" si="12"/>
        <v>0</v>
      </c>
      <c r="F41" s="630">
        <f t="shared" si="13"/>
        <v>1</v>
      </c>
      <c r="G41" s="630">
        <f>1-H41</f>
        <v>1</v>
      </c>
      <c r="H41" s="630">
        <f t="shared" si="14"/>
        <v>0</v>
      </c>
      <c r="I41" s="632">
        <v>0</v>
      </c>
      <c r="J41" s="632">
        <v>0</v>
      </c>
      <c r="K41" s="632">
        <v>0</v>
      </c>
      <c r="L41" s="632">
        <v>0</v>
      </c>
      <c r="M41" s="632">
        <v>0</v>
      </c>
      <c r="N41" s="536">
        <v>0</v>
      </c>
      <c r="O41" s="534">
        <v>0</v>
      </c>
      <c r="P41" s="534">
        <v>0</v>
      </c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</row>
    <row r="42" spans="1:57">
      <c r="A42" s="458" t="s">
        <v>1084</v>
      </c>
      <c r="B42" s="548" t="s">
        <v>12</v>
      </c>
      <c r="C42" s="546" t="s">
        <v>1112</v>
      </c>
      <c r="D42" s="548" t="s">
        <v>1134</v>
      </c>
      <c r="E42" s="510">
        <f t="shared" si="12"/>
        <v>0</v>
      </c>
      <c r="F42" s="630">
        <f t="shared" si="13"/>
        <v>1</v>
      </c>
      <c r="G42" s="630">
        <f>1-H42</f>
        <v>0</v>
      </c>
      <c r="H42" s="630">
        <f t="shared" si="14"/>
        <v>1</v>
      </c>
      <c r="I42" s="632">
        <v>0.25</v>
      </c>
      <c r="J42" s="632">
        <v>0.25</v>
      </c>
      <c r="K42" s="632">
        <v>0.25</v>
      </c>
      <c r="L42" s="632">
        <v>0</v>
      </c>
      <c r="M42" s="632">
        <v>0.25</v>
      </c>
      <c r="N42" s="536">
        <v>0</v>
      </c>
      <c r="O42" s="534">
        <v>0</v>
      </c>
      <c r="P42" s="534">
        <v>0</v>
      </c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</row>
    <row r="43" spans="1:57">
      <c r="A43" s="458" t="s">
        <v>1086</v>
      </c>
      <c r="B43" s="548" t="s">
        <v>12</v>
      </c>
      <c r="C43" s="546" t="s">
        <v>1112</v>
      </c>
      <c r="D43" s="548" t="s">
        <v>1135</v>
      </c>
      <c r="E43" s="510">
        <f t="shared" si="12"/>
        <v>0</v>
      </c>
      <c r="F43" s="630">
        <f t="shared" si="13"/>
        <v>1</v>
      </c>
      <c r="G43" s="630">
        <f>1-H43</f>
        <v>1</v>
      </c>
      <c r="H43" s="630">
        <f t="shared" si="14"/>
        <v>0</v>
      </c>
      <c r="I43" s="632">
        <v>0</v>
      </c>
      <c r="J43" s="632">
        <v>0</v>
      </c>
      <c r="K43" s="632">
        <v>0</v>
      </c>
      <c r="L43" s="632">
        <v>0</v>
      </c>
      <c r="M43" s="632">
        <v>0</v>
      </c>
      <c r="N43" s="536">
        <v>0</v>
      </c>
      <c r="O43" s="534">
        <v>0</v>
      </c>
      <c r="P43" s="534">
        <v>0</v>
      </c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</row>
    <row r="44" spans="1:57">
      <c r="A44" s="458" t="s">
        <v>1087</v>
      </c>
      <c r="B44" s="548" t="s">
        <v>12</v>
      </c>
      <c r="C44" s="546" t="s">
        <v>1112</v>
      </c>
      <c r="D44" s="548" t="s">
        <v>1136</v>
      </c>
      <c r="E44" s="510">
        <f t="shared" si="12"/>
        <v>0</v>
      </c>
      <c r="F44" s="630">
        <f t="shared" si="13"/>
        <v>1</v>
      </c>
      <c r="G44" s="630">
        <f>1-H44-P44</f>
        <v>1</v>
      </c>
      <c r="H44" s="630">
        <f t="shared" si="14"/>
        <v>0</v>
      </c>
      <c r="I44" s="632">
        <v>0</v>
      </c>
      <c r="J44" s="632">
        <v>0</v>
      </c>
      <c r="K44" s="632">
        <v>0</v>
      </c>
      <c r="L44" s="632">
        <v>0</v>
      </c>
      <c r="M44" s="632">
        <v>0</v>
      </c>
      <c r="N44" s="536">
        <v>0</v>
      </c>
      <c r="O44" s="534">
        <v>0</v>
      </c>
      <c r="P44" s="534">
        <v>0</v>
      </c>
      <c r="Q44" s="446"/>
      <c r="R44" s="446"/>
      <c r="S44" s="446"/>
      <c r="T44" s="446"/>
      <c r="U44" s="446"/>
      <c r="V44" s="446"/>
      <c r="W44" s="471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</row>
    <row r="45" spans="1:57">
      <c r="A45" s="458" t="s">
        <v>1089</v>
      </c>
      <c r="B45" s="548" t="s">
        <v>12</v>
      </c>
      <c r="C45" s="546" t="s">
        <v>1112</v>
      </c>
      <c r="D45" s="548" t="s">
        <v>1137</v>
      </c>
      <c r="E45" s="510">
        <f t="shared" si="12"/>
        <v>0</v>
      </c>
      <c r="F45" s="630">
        <f t="shared" si="13"/>
        <v>1</v>
      </c>
      <c r="G45" s="630">
        <f t="shared" ref="G45:G50" si="15">1-H45</f>
        <v>0</v>
      </c>
      <c r="H45" s="630">
        <f t="shared" si="14"/>
        <v>1</v>
      </c>
      <c r="I45" s="632">
        <v>0.25</v>
      </c>
      <c r="J45" s="632">
        <v>0.25</v>
      </c>
      <c r="K45" s="632">
        <v>0.25</v>
      </c>
      <c r="L45" s="632">
        <v>0</v>
      </c>
      <c r="M45" s="632">
        <v>0.25</v>
      </c>
      <c r="N45" s="536">
        <v>0</v>
      </c>
      <c r="O45" s="534">
        <v>0</v>
      </c>
      <c r="P45" s="534">
        <v>0</v>
      </c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</row>
    <row r="46" spans="1:57">
      <c r="A46" s="458" t="s">
        <v>1091</v>
      </c>
      <c r="B46" s="548" t="s">
        <v>12</v>
      </c>
      <c r="C46" s="546" t="s">
        <v>1112</v>
      </c>
      <c r="D46" s="548" t="s">
        <v>1138</v>
      </c>
      <c r="E46" s="510">
        <f t="shared" si="12"/>
        <v>0</v>
      </c>
      <c r="F46" s="630">
        <f t="shared" si="13"/>
        <v>1</v>
      </c>
      <c r="G46" s="630">
        <f t="shared" si="15"/>
        <v>1</v>
      </c>
      <c r="H46" s="630">
        <f t="shared" si="14"/>
        <v>0</v>
      </c>
      <c r="I46" s="632">
        <v>0</v>
      </c>
      <c r="J46" s="632">
        <v>0</v>
      </c>
      <c r="K46" s="632">
        <v>0</v>
      </c>
      <c r="L46" s="632">
        <v>0</v>
      </c>
      <c r="M46" s="632">
        <v>0</v>
      </c>
      <c r="N46" s="536">
        <v>0</v>
      </c>
      <c r="O46" s="534">
        <v>0</v>
      </c>
      <c r="P46" s="534">
        <v>0</v>
      </c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</row>
    <row r="47" spans="1:57">
      <c r="A47" s="458" t="s">
        <v>1093</v>
      </c>
      <c r="B47" s="548" t="s">
        <v>12</v>
      </c>
      <c r="C47" s="546" t="s">
        <v>1112</v>
      </c>
      <c r="D47" s="548" t="s">
        <v>1139</v>
      </c>
      <c r="E47" s="510">
        <f t="shared" si="12"/>
        <v>0</v>
      </c>
      <c r="F47" s="630">
        <f t="shared" si="13"/>
        <v>1</v>
      </c>
      <c r="G47" s="630">
        <f t="shared" si="15"/>
        <v>0</v>
      </c>
      <c r="H47" s="630">
        <f t="shared" si="14"/>
        <v>1</v>
      </c>
      <c r="I47" s="632">
        <v>0.25</v>
      </c>
      <c r="J47" s="632">
        <v>0.25</v>
      </c>
      <c r="K47" s="632">
        <v>0.25</v>
      </c>
      <c r="L47" s="632">
        <v>0</v>
      </c>
      <c r="M47" s="632">
        <v>0.25</v>
      </c>
      <c r="N47" s="536">
        <v>0</v>
      </c>
      <c r="O47" s="534">
        <v>0</v>
      </c>
      <c r="P47" s="534">
        <v>0</v>
      </c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</row>
    <row r="48" spans="1:57">
      <c r="A48" s="458" t="s">
        <v>1095</v>
      </c>
      <c r="B48" s="548" t="s">
        <v>12</v>
      </c>
      <c r="C48" s="546" t="s">
        <v>1112</v>
      </c>
      <c r="D48" s="548" t="s">
        <v>1140</v>
      </c>
      <c r="E48" s="510">
        <f t="shared" si="12"/>
        <v>0</v>
      </c>
      <c r="F48" s="630">
        <f t="shared" si="13"/>
        <v>1</v>
      </c>
      <c r="G48" s="630">
        <f t="shared" si="15"/>
        <v>0</v>
      </c>
      <c r="H48" s="630">
        <f t="shared" si="14"/>
        <v>1</v>
      </c>
      <c r="I48" s="632">
        <v>0.25</v>
      </c>
      <c r="J48" s="632">
        <v>0.25</v>
      </c>
      <c r="K48" s="632">
        <v>0.25</v>
      </c>
      <c r="L48" s="632">
        <v>0</v>
      </c>
      <c r="M48" s="632">
        <v>0.25</v>
      </c>
      <c r="N48" s="536">
        <v>0</v>
      </c>
      <c r="O48" s="534">
        <v>0</v>
      </c>
      <c r="P48" s="534">
        <v>0</v>
      </c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</row>
    <row r="49" spans="1:57">
      <c r="A49" s="458" t="s">
        <v>1097</v>
      </c>
      <c r="B49" s="548" t="s">
        <v>12</v>
      </c>
      <c r="C49" s="546" t="s">
        <v>1112</v>
      </c>
      <c r="D49" s="548" t="s">
        <v>1141</v>
      </c>
      <c r="E49" s="510">
        <f t="shared" si="12"/>
        <v>0</v>
      </c>
      <c r="F49" s="630">
        <f t="shared" si="13"/>
        <v>1</v>
      </c>
      <c r="G49" s="630">
        <f t="shared" si="15"/>
        <v>1</v>
      </c>
      <c r="H49" s="630">
        <f t="shared" si="14"/>
        <v>0</v>
      </c>
      <c r="I49" s="632">
        <v>0</v>
      </c>
      <c r="J49" s="632">
        <v>0</v>
      </c>
      <c r="K49" s="632">
        <v>0</v>
      </c>
      <c r="L49" s="632">
        <v>0</v>
      </c>
      <c r="M49" s="632">
        <v>0</v>
      </c>
      <c r="N49" s="536">
        <v>0</v>
      </c>
      <c r="O49" s="534">
        <v>0</v>
      </c>
      <c r="P49" s="534">
        <v>0</v>
      </c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</row>
    <row r="50" spans="1:57">
      <c r="A50" s="458" t="s">
        <v>1099</v>
      </c>
      <c r="B50" s="548" t="s">
        <v>12</v>
      </c>
      <c r="C50" s="546" t="s">
        <v>1112</v>
      </c>
      <c r="D50" s="548" t="s">
        <v>1142</v>
      </c>
      <c r="E50" s="510">
        <f t="shared" si="12"/>
        <v>0</v>
      </c>
      <c r="F50" s="630">
        <f t="shared" si="13"/>
        <v>1</v>
      </c>
      <c r="G50" s="630">
        <f t="shared" si="15"/>
        <v>1</v>
      </c>
      <c r="H50" s="630">
        <f t="shared" si="14"/>
        <v>0</v>
      </c>
      <c r="I50" s="632">
        <v>0</v>
      </c>
      <c r="J50" s="632">
        <v>0</v>
      </c>
      <c r="K50" s="632">
        <v>0</v>
      </c>
      <c r="L50" s="632">
        <v>0</v>
      </c>
      <c r="M50" s="632">
        <v>0</v>
      </c>
      <c r="N50" s="536">
        <v>0</v>
      </c>
      <c r="O50" s="534">
        <v>0</v>
      </c>
      <c r="P50" s="534">
        <v>0</v>
      </c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</vt:i4>
      </vt:variant>
    </vt:vector>
  </HeadingPairs>
  <TitlesOfParts>
    <vt:vector size="36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2026-05-26T18:53:11Z</dcterms:modified>
</cp:coreProperties>
</file>